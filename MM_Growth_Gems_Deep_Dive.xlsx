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Gems Overview" sheetId="2" state="visible" r:id="rId4"/>
    <sheet name="Revenue" sheetId="3" state="visible" r:id="rId5"/>
    <sheet name="EBITDA" sheetId="4" state="visible" r:id="rId6"/>
    <sheet name="PAT" sheetId="5" state="visible" r:id="rId7"/>
    <sheet name="Group Contribution" sheetId="6" state="visible" r:id="rId8"/>
    <sheet name="Balance Sheet &amp; CF" sheetId="7" state="visible" r:id="rId9"/>
    <sheet name="Growth Drivers" sheetId="8" state="visible" r:id="rId10"/>
    <sheet name="Group Financials" sheetId="9" state="visible" r:id="rId11"/>
    <sheet name="Milestones" sheetId="10" state="visible" r:id="rId12"/>
    <sheet name="Data Quality Log" sheetId="11" state="visible" r:id="rId13"/>
    <sheet name="Sources"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<sst xmlns="http://schemas.openxmlformats.org/spreadsheetml/2006/main" count="869" uniqueCount="492">
  <si>
    <t xml:space="preserve">M&amp;M Growth Gems — Financial &amp; Qualitative Deep Dive</t>
  </si>
  <si>
    <t xml:space="preserve">Bernstein India Autos | Companion to the SOTP scenario framework | All figures Rs cr unless stated</t>
  </si>
  <si>
    <t xml:space="preserve">PURPOSE</t>
  </si>
  <si>
    <t xml:space="preserve">Ten Growth Gems in one place: what each business does, how it is performing, what is driving growth, and what we expect through FY30. Feeds the valuation scenarios in the companion SOTP workbook.</t>
  </si>
  <si>
    <t xml:space="preserve">HOW TO READ THE NUMBERS</t>
  </si>
  <si>
    <t xml:space="preserve">BLACK figures = reported actuals, sourced to a named document (see the Source column on every sheet).
BLUE figures = our estimates or extrapolations. NOT reported. Every one has its basis stated.
GREY 'n/l' = not located in any accessible disclosure. Deliberately left empty rather than guessed.
FY27E-FY30E column headers are shaded gold to make the actual/estimate break obvious at a glance.</t>
  </si>
  <si>
    <t xml:space="preserve">ACCURACY DISCIPLINE</t>
  </si>
  <si>
    <t xml:space="preserve">No number is presented as reported unless a source is named. Where sources conflict (e.g. M&amp;M's own press-release PAT vs Screener's net-profit line), BOTH are shown and the conflict is logged. The unlisted gems are thinly disclosed — roughly a third of the historic cells are genuinely unavailable in public sources. Read the Data Quality Log before circulating anything.</t>
  </si>
  <si>
    <t xml:space="preserve">THE ONE THING TO DO NEXT</t>
  </si>
  <si>
    <t xml:space="preserve">Pull Form AOC-1 (Statement of salient features of subsidiaries, s.129(3)) from the M&amp;M FY25 and FY26 Integrated Annual Report PDFs on bseindia.com. It discloses, per subsidiary: share capital, reserves, total assets, total liabilities, turnover, PBT, tax, PAT and % shareholding. That single document closes most of the 'n/l' cells on the Revenue, PAT and Balance Sheet tabs.</t>
  </si>
  <si>
    <t xml:space="preserve">TAB GUIDE</t>
  </si>
  <si>
    <t xml:space="preserve">Gems Overview ......... what each gem does, market position, recent milestones, management targets
Revenue ............... FY21A-FY26A actuals, FY27E-FY30E estimates, CAGR, growth-driver commentary
EBITDA ................ EBITDA and margins, with margin-driver commentary
PAT ................... PAT and margins
Group Contribution .... M&amp;M share of gem PAT and % of group PAT
Balance Sheet &amp; CF .... net worth, gearing, capital intensity, self-funding status
Growth Drivers ........ per gem: what's driving revenue now, margins, FY30 outlook, what breaks the thesis
Group Financials ...... M&amp;M consolidated and standalone FY21-FY26 for context
Milestones ............ dated events over the last 24 months and forward catalysts
Data Quality Log ...... every conflict, ambiguity and gap, named
Sources ............... master source list</t>
  </si>
  <si>
    <t xml:space="preserve">TAXONOMY NOTE</t>
  </si>
  <si>
    <t xml:space="preserve">The gem list is verified against Anish Shah's Q4 FY25 call (5 May 2025) and the second Mahindra Investor Day (20-21 Nov 2025). Six Scalable gems carry a US$2-3bn valuation target each by 2030; four Emerging gems carry US$1bn. Bristlecone, Agri/Krish-e, Teqo, HZPC, Summit, Solarize and the Manulife life-insurance JV are NOT Growth Gems and are excluded.</t>
  </si>
  <si>
    <t xml:space="preserve">The Ten Growth Gems — what they are and where they stand</t>
  </si>
  <si>
    <t xml:space="preserve">Taxonomy verified against the Q4 FY25 call (5 May 2025) and the Nov-2025 Investor Day</t>
  </si>
  <si>
    <t xml:space="preserve">Gem</t>
  </si>
  <si>
    <t xml:space="preserve">Category</t>
  </si>
  <si>
    <t xml:space="preserve">M&amp;M stake</t>
  </si>
  <si>
    <t xml:space="preserve">What it does</t>
  </si>
  <si>
    <t xml:space="preserve">Market position</t>
  </si>
  <si>
    <t xml:space="preserve">Recent milestones (last 24 months, dated)</t>
  </si>
  <si>
    <t xml:space="preserve">Management target</t>
  </si>
  <si>
    <t xml:space="preserve">Stake / structure note</t>
  </si>
  <si>
    <t xml:space="preserve">Mahindra Last Mile Mobility</t>
  </si>
  <si>
    <t xml:space="preserve">Scalable</t>
  </si>
  <si>
    <t xml:space="preserve">India's #1 electric commercial vehicle maker — electric and ICE/CNG three-wheelers (Treo, Zor, Alfa) and small four-wheel last-mile cargo/passenger vehicles (Jeeto). Carved out of M&amp;M standalone: asset transfer approved 22-Mar-23, entity incorporated 29-May-23, commercial operations from Sep-23.</t>
  </si>
  <si>
    <t xml:space="preserve">c.40% share of the L5 electric three-wheeler segment (FY26). India's #1 electric-3W company four years running. 136,855 vehicles sold in FY26, of which 100,000+ electric. Electric 3W penetration itself went from 12% to 40% in two years.</t>
  </si>
  <si>
    <t xml:space="preserve">30-Jul-26: unicorn — Rs 322cr raised led by Lightrock (with IFC and the India-Japan Fund/NIIF) at a Rs 10,822cr ($1.24bn) post-money valuation; M&amp;M stake 78.11% to 75.79%. Aug-26: crossed 400,000 cumulative EV sales, India's first CV maker to do so. New Telangana plant. Exports to 10+ markets. Prior: IFC Rs 600cr at up to Rs 6,020cr (2023); India-Japan Fund Rs 400cr (Jan-24).</t>
  </si>
  <si>
    <t xml:space="preserve">1 million EVs on Indian roads by 2031; 50% portfolio electrification by FY30; category to grow c.2x industry; IPO planned H2 FY27.</t>
  </si>
  <si>
    <t xml:space="preserve">Post Lightrock round, 30-Jul-26 (was 78.11%)</t>
  </si>
  <si>
    <t xml:space="preserve">Mahindra Trucks &amp; Buses (MTBD + SML)</t>
  </si>
  <si>
    <t xml:space="preserve">Trucks and buses above 3.5T (ILCV and HCV) under the Mahindra Truck &amp; Bus (Blazo, Furio) and SML brands. MTBD has historically been a division inside M&amp;M standalone, not a separate legal entity; SML is separately listed as SML Mahindra.</t>
  </si>
  <si>
    <t xml:space="preserve">6.0% share of &gt;3.5T CV in FY26, up from c.3% pre-SML. India's 3rd-largest ILCV bus player. Nov-25 combined T&amp;B sales 2,232 units, +57% YoY (SML +102%).</t>
  </si>
  <si>
    <t xml:space="preserve">Apr-25: agreed to buy 58.96% of SML Isuzu for Rs 555cr (Rs 650/share; open offer Rs 1,554.60). Jun-25: CCI clearance. Aug-25: completed, renamed SML Mahindra. 29-Jul-26: announced transfer of the MTBD division into listed SML Mahindra for Rs 525cr (c.$55m), closing by Jan-27 — consolidating all &gt;3.5T CV under one listed entity.</t>
  </si>
  <si>
    <t xml:space="preserve">Rs 15,000cr combined business by FY31; 10-12% CV share by FY31 and 20%+ by FY36. India CV market seen going from c.Rs 1,50,000cr (FY25) to c.Rs 2,00,000cr (FY31).</t>
  </si>
  <si>
    <t xml:space="preserve">SML Mahindra 58.96%; MTBD 100% (inside M&amp;M standalone until the Jan-27 transfer)</t>
  </si>
  <si>
    <t xml:space="preserve">Mahindra Susten</t>
  </si>
  <si>
    <t xml:space="preserve">Renewable-energy developer/IPP and solar EPC — solar, hybrid and battery storage. The legal entity (Mahindra Susten Pvt Ltd) also houses Mahindra Teqo and MachinePulse. Seeded India's largest renewables InvIT, listed Aug-23 at c.1.54 GWp.</t>
  </si>
  <si>
    <t xml:space="preserve">Leading renewable IPP/EPC. c.6.4 GWp of total connectivity secured (FY26 Integrated Annual Report); 560 MWp commissioned in FY26.</t>
  </si>
  <si>
    <t xml:space="preserve">2025: 560 MWp solar commissioned in Gujarat and Rajasthan. Mar-26: Rs 1,025cr financing for a 300 MW Rajasthan project. Dec-24: Rs 1,448cr financing for 560 MW. Jan-25: SBTi approval. 15 MWh BESS at Modhera. Avinash Rao appointed MD &amp; CEO. Sep-22: Ontario Teachers' bought 30% at c.Rs 2,371cr equity value ($300m), with an option for a further 9.99%.</t>
  </si>
  <si>
    <t xml:space="preserve">5x scale-up by 2030; c.1.5 GW to c.7 GW. InvIT provides a repeatable capital-recycling route (ROFO to the Trust).</t>
  </si>
  <si>
    <t xml:space="preserve">ESTIMATE. OTPP holds 30% (Sep-22) with an option for a further 9.99% — confirm via AOC-1</t>
  </si>
  <si>
    <t xml:space="preserve">Mahindra Logistics (MAHLOG IN)</t>
  </si>
  <si>
    <t xml:space="preserve">India's largest non-captive third-party logistics provider — contract logistics and warehousing, B2B express, freight forwarding, last-mile delivery, and enterprise/B2C mobility (Alyte). 400+ corporate clients.</t>
  </si>
  <si>
    <t xml:space="preserve">#1 non-captive 3PL in India by revenue.</t>
  </si>
  <si>
    <t xml:space="preserve">FY26: returned to profitability. MD &amp; CEO Hemant Sikka: after 11 straight quarters of losses, the company returned to profit on sharper execution. Express reached a positive gross margin (1.3% in FY26); white space cut from 1.6m to 0.7m sq ft; freight-forwarding EBITDA +48%; mobility revenue +22%. Rights issue completed in FY26.</t>
  </si>
  <si>
    <t xml:space="preserve">Sustained margin expansion off the turnaround; scale the asset-right 3PL model.</t>
  </si>
  <si>
    <t xml:space="preserve">Listed</t>
  </si>
  <si>
    <t xml:space="preserve">Mahindra Holidays / Club Mahindra (MHRIL IN)</t>
  </si>
  <si>
    <t xml:space="preserve">India's #1 vacation-ownership and leisure-hospitality brand (Club Mahindra), plus the European arm Holiday Club Resorts (HCRO, Finland). 6,228 keys across 125+ resorts as at FY26.</t>
  </si>
  <si>
    <t xml:space="preserve">#1 in Indian vacation ownership. Deferred revenue of c.Rs 5,700cr+ underpins forward visibility.</t>
  </si>
  <si>
    <t xml:space="preserve">FY26: c.900 gross keys added — a record — taking inventory to 6,228. New Keystone membership product. Premiumisation lifted AUR c.83% in Q4 FY26. A c.Rs 234cr Mauritius/HCRO impairment hit consolidated FY26 PAT. Acquiring Aditatva Estates (Chikmagalur) for Rs 37.5cr for a new resort.</t>
  </si>
  <si>
    <t xml:space="preserve">10,000 rooms by FY30; '3x keys, 3x revenue, 4x PAT this decade'; aspiration to be India's #1 leisure hospitality player.</t>
  </si>
  <si>
    <t xml:space="preserve">Mahindra Lifespace Developers (MAHLIFE IN)</t>
  </si>
  <si>
    <t xml:space="preserve">Residential real estate (Mahindra Lifespaces) plus integrated cities and industrial clusters (IC&amp;IC), including the Mahindra World City JVs.</t>
  </si>
  <si>
    <t xml:space="preserve">Mid-sized listed developer with a c.Rs 50,000cr GDV pipeline and a net-cash balance sheet (net debt/equity -0.27 at FY26).</t>
  </si>
  <si>
    <t xml:space="preserve">FY26: consolidated PAT up 386% to Rs 298.17cr from Rs 61.35cr. Residential pre-sales Rs 3,405cr (+21%); consolidated sales Rs 4,118cr (+25%); GDV additions Rs 18,060cr; total GDV pipeline c.Rs 50,000cr. Rights issue completed. Kandivali deal added Rs 5,600cr GDV; Bhandup (Rs 12,400cr GDV) and Mahalaxmi launches slated Q4 FY26/Q1 FY27.</t>
  </si>
  <si>
    <t xml:space="preserve">Rs 8,000-10,000cr annual pre-sales and 5x scale by FY30. FY27 pre-sales guidance Rs 4,500-5,000cr with Rs 10,000cr of launches. IC&amp;IC Rs 400-500cr revenue and Rs 100-150cr PAT annually. Total-PAT ambition c.Rs 1,500cr.</t>
  </si>
  <si>
    <t xml:space="preserve">Mahindra Accelo</t>
  </si>
  <si>
    <t xml:space="preserve">Emerging</t>
  </si>
  <si>
    <t xml:space="preserve">Steel processing and service centres, high-end electrical-steel and EV components, and India's largest organised auto-recycling network (CERO; Mahindra MSTC Recycling — 7 RVSFs and 42 collection centres).</t>
  </si>
  <si>
    <t xml:space="preserve">#1 organised auto recycler in India; a top electrical-steel component supplier. Note it also acts as a captive steel service centre for M&amp;M's UV business, so revenue tracks M&amp;M volumes and steel prices.</t>
  </si>
  <si>
    <t xml:space="preserve">Oct-24: Zero Waste to Landfill certification. 2025/26: recognised as top ELV recycler. FY25 Integrated Annual Report cites a 5-year revenue CAGR of 30.85% and PAT CAGR of 49.21%, with net debt/equity at 0.10.</t>
  </si>
  <si>
    <t xml:space="preserve">c.25% share of organised recycling by FY28; $1bn valuation.</t>
  </si>
  <si>
    <t xml:space="preserve">ESTIMATE — confirm via AOC-1</t>
  </si>
  <si>
    <t xml:space="preserve">Mahindra Aerostructures</t>
  </si>
  <si>
    <t xml:space="preserve">Tier-1 aerostructures supplier — metallic assemblies and machined components to Boeing, Airbus and Embraer. Direct Tier-1 to Boeing and Airbus since FY18.</t>
  </si>
  <si>
    <t xml:space="preserve">Small but strategically positioned. Named one of the top four most advanced manufacturing sites globally by Aero Excellence International — the only Indian firm on that list. Retains Airbus SQIP 'Accredited' status.</t>
  </si>
  <si>
    <t xml:space="preserve">Order book inflected hard: c.$1bn of orders secured in just over a year, against roughly $150m accumulated over the preceding fifteen years combined (Raksha Anirveda, Nov-25). Anchored by the Jun-25 Aernnova contract of c.$300m (Rs 2,585cr) for Airbus/Embraer work. Novavayu Aerospace Ltd set up for aircraft and defence manufacturing.</t>
  </si>
  <si>
    <t xml:space="preserve">c.12x revenue growth this decade; top-10 global aerostructures supplier; $1bn valuation.</t>
  </si>
  <si>
    <t xml:space="preserve">100% indirect via Mahindra Aerospace</t>
  </si>
  <si>
    <t xml:space="preserve">Classic Legends (Jawa / Yezdi / BSA)</t>
  </si>
  <si>
    <t xml:space="preserve">Mass-premium motorcycles under the Jawa, Yezdi and BSA brands. Founded 2015, operations from 2018; co-founders Anupam Thareja and Boman Irani, Mahindra-backed.</t>
  </si>
  <si>
    <t xml:space="preserve">c.5% of India's mass-premium motorcycle segment, against Royal Enfield at 80%+ and over 1.2m units a year. Retail units: FY23 44,000, FY24 36,680, FY25 32,482, FY26 45,409 (+40%).</t>
  </si>
  <si>
    <t xml:space="preserve">FY26 was the first profitable year in the company's history, on 45,409 retails (+40% YoY), with H2 FY26 up 100% YoY. The manufacturing facility was acquired from Mahindra at no cost, so there is no depreciation or interest burden. Rs 350cr invested in product development across 12 products. Aug-25: c.5,000 units held up at US Customs amid tariff disruption.</t>
  </si>
  <si>
    <t xml:space="preserve">2028 IPO; global expansion — BSA into Western markets, Jawa into Eastern Europe and South America, Yezdi in India; dealer network from c.350 to 500+; $1bn valuation aspiration.</t>
  </si>
  <si>
    <t xml:space="preserve">Car&amp;Bike / Mahindra First Choice Wheels</t>
  </si>
  <si>
    <t xml:space="preserve">India's largest used-car enterprise-services platform — Car&amp;Bike retail and franchise, YMS, AutoInspekt (inspections) and eDiig (auctions). Distinct from Mahindra First Choice Services (workshops), which was sold to TVS Automobile Solutions in Feb-21.</t>
  </si>
  <si>
    <t xml:space="preserve">Largest enterprise-services platform in the organised used-car market, competing with Cars24, Spinny and CarTrade. Prior valuation c.$265m (2018).</t>
  </si>
  <si>
    <t xml:space="preserve">FY25 revenue fell c.59% to Rs 313cr, which most likely reflects a shift from principal sales to a platform/franchise-fee model rather than a collapse in activity — this needs verification before use. Book net worth fell c.34.65% in FY24.</t>
  </si>
  <si>
    <t xml:space="preserve">$1bn valuation (emerging gem).</t>
  </si>
  <si>
    <t xml:space="preserve">M&amp;M/parent c.54.5%; funds c.32%</t>
  </si>
  <si>
    <t xml:space="preserve">Growth Gems — revenue</t>
  </si>
  <si>
    <t xml:space="preserve">Black = reported actual (source named). Blue = our estimate. Grey n/l = not disclosed anywhere located.</t>
  </si>
  <si>
    <t xml:space="preserve">Gem (Rs cr)</t>
  </si>
  <si>
    <t xml:space="preserve">FY21A</t>
  </si>
  <si>
    <t xml:space="preserve">FY22A</t>
  </si>
  <si>
    <t xml:space="preserve">FY23A</t>
  </si>
  <si>
    <t xml:space="preserve">FY24A</t>
  </si>
  <si>
    <t xml:space="preserve">FY25A</t>
  </si>
  <si>
    <t xml:space="preserve">FY26A</t>
  </si>
  <si>
    <t xml:space="preserve">FY27E</t>
  </si>
  <si>
    <t xml:space="preserve">FY28E</t>
  </si>
  <si>
    <t xml:space="preserve">FY29E</t>
  </si>
  <si>
    <t xml:space="preserve">FY30E</t>
  </si>
  <si>
    <t xml:space="preserve">CAGR FY26-30E</t>
  </si>
  <si>
    <t xml:space="preserve">Source / basis</t>
  </si>
  <si>
    <t xml:space="preserve">n/l</t>
  </si>
  <si>
    <t xml:space="preserve">Mint/TradingView (2026), Tracxn. Entity incorporated 29-May-23; commercial ops from Sep-23, so no FY21-FY23 standalone.</t>
  </si>
  <si>
    <t xml:space="preserve">FY26 = MTBD Rs 2,989cr + SML Rs 2,838cr (Reuters/Zerodha, Jul-26). FY24 = SML only (M&amp;M release, 26-Apr-25). MTBD sat inside M&amp;M standalone historically.</t>
  </si>
  <si>
    <t xml:space="preserve">FY24 Board's Report (mahindrasusten.com); FY25 Tracxn. FY26 total income not located — mine AOC-1.</t>
  </si>
  <si>
    <t xml:space="preserve">MLL press releases Q4 FY25 (21-Apr-25) and Q4 FY26 (23-Apr-26). FY22/FY23 not located in sources used.</t>
  </si>
  <si>
    <t xml:space="preserve">MHRIL results/press releases; ICICIdirect; tradebrains. FY24/FY25 are approximations from secondary sources — verify against the audited AR.</t>
  </si>
  <si>
    <t xml:space="preserve">MLDL results; Business Standard; Whalesbook. WARNING: the FY26 Rs 4,118cr is reported as 'consolidated sales' (sales value) — this is NOT directly comparable to the FY24/FY25 Ind-AS revenue line. See Data Quality Log.</t>
  </si>
  <si>
    <t xml:space="preserve">FY23 entity data; FY24 'highest ever' c.Rs 4,600cr per M&amp;M FY24 Integrated AR. FY25/FY26 not located — mine AOC-1. Scope (consolidated vs standalone) unconfirmed.</t>
  </si>
  <si>
    <t xml:space="preserve">CARE Ratings press release, 12-Jun-25 (FY25 revenue Rs 258cr, +10% YoY, implying FY24 c.Rs 235cr). FY26 not located — mine AOC-1.</t>
  </si>
  <si>
    <t xml:space="preserve">ESTIMATE throughout. Tracxn gives only a Rs 500-1,000cr band for FY25. FY25/FY26 derived from retail units x c.Rs 1.8-2.0L ASP. Treat as indicative only.</t>
  </si>
  <si>
    <t xml:space="preserve">Tracxn (FY24 &gt;Rs 500cr; FY25 Rs 313cr). The c.59% FY25 drop likely reflects a revenue-recognition shift to platform/franchise fees, not a business collapse — verify before use.</t>
  </si>
  <si>
    <t xml:space="preserve">Total (populated cells only)</t>
  </si>
  <si>
    <t xml:space="preserve">NOT a like-for-like portfolio total — historic columns are incomplete because several gems are not disclosed. Use for the FY27E-FY30E columns only.</t>
  </si>
  <si>
    <t xml:space="preserve">FORECAST BASIS: LMM c.23% CAGR (management's 'c.2x industry' and 1m-EVs-by-2031 framing). T&amp;B ramped toward the stated Rs 15,000cr FY31 ambition, with FY30E deliberately below it on a back-ended synergy ramp. Susten tied to the 1.5-to-7 GW roadmap (revenue is lumpy on EPC-vs-IPP mix). Logistics c.15% CAGR. Club Mahindra tied to the 10,000-room roadmap plus premiumisation. Lifespaces anchored to explicit FY27 pre-sales guidance and the FY30 Rs 10,000cr ambition. Accelo c.14%. Aerostructures c.25-30% off the c.$1bn order book. Classic Legends off unit trajectory. Car&amp;Bike low-confidence given the model shift.</t>
  </si>
  <si>
    <t xml:space="preserve">Growth Gems — EBITDA</t>
  </si>
  <si>
    <t xml:space="preserve">Sparsely disclosed for the unlisted gems. Where absent, we have NOT back-solved a number.</t>
  </si>
  <si>
    <t xml:space="preserve">Not disclosed. FY26 margin c.7-8% is an estimate.</t>
  </si>
  <si>
    <t xml:space="preserve">FY24 = SML only (Rs 179cr, M&amp;M acquisition release 26-Apr-25). Combined EBITDA not disclosed.</t>
  </si>
  <si>
    <t xml:space="preserve">Not disclosed.</t>
  </si>
  <si>
    <t xml:space="preserve">MLL press releases. FY21 approximate.</t>
  </si>
  <si>
    <t xml:space="preserve">FY24 Rs 628.9cr, FY25 Rs 707.8cr. FY26 consolidated EBITDA not located; FY26 standalone EBITDA was Rs 592.67cr.</t>
  </si>
  <si>
    <t xml:space="preserve">Not disclosed on a comparable basis; real-estate EBITDA is distorted by JV equity accounting.</t>
  </si>
  <si>
    <t xml:space="preserve">FY25 Rs 332.77cr per the Mahindra Accelo FY25 Integrated Annual Report.</t>
  </si>
  <si>
    <t xml:space="preserve">Derived from CARE's 8.62% FY25 operating margin on Rs 258cr revenue; FY24 derived on c.8%.</t>
  </si>
  <si>
    <t xml:space="preserve">EBITDA MARGIN (%) — calculated; blank where either input is not disclosed</t>
  </si>
  <si>
    <t xml:space="preserve">Comment</t>
  </si>
  <si>
    <t xml:space="preserve">Margins are computed against the Revenue tab. A blank means at least one of revenue or EBITDA is not disclosed for that year — it does not mean zero.</t>
  </si>
  <si>
    <t xml:space="preserve">Growth Gems — profit after tax</t>
  </si>
  <si>
    <t xml:space="preserve">Note the one-offs: Susten FY24 and Club Mahindra FY26 are both distorted. Read the Source column.</t>
  </si>
  <si>
    <t xml:space="preserve">FY24 Rs 26cr, FY26 Rs 185cr (Mint/TradingView 2026, Tracxn). FY25 not located.</t>
  </si>
  <si>
    <t xml:space="preserve">Not disclosed on a combined basis. SML is separately listed — pull SML's own P&amp;L for the listed portion.</t>
  </si>
  <si>
    <t xml:space="preserve">FY24 Rs 852cr INCLUDES large exceptional gains from the InvIT monetisation — NOT a clean operating number. Do not use as a run-rate.</t>
  </si>
  <si>
    <t xml:space="preserve">MLL press releases. FY26 reported PAT Rs 2.3cr (operational Rs 8.2cr); FY25 was an operational loss. FY21 approximate.</t>
  </si>
  <si>
    <t xml:space="preserve">FY26 consolidated PAT Rs 67cr is depressed by a c.Rs 234cr HCRO/Mauritius impairment; ex-one-off c.Rs 136.3cr.</t>
  </si>
  <si>
    <t xml:space="preserve">FY26 consolidated PAT Rs 298.17cr vs Rs 61.35cr in FY25 (+386%). MLDL results / BRSR filed 30-Jun-26.</t>
  </si>
  <si>
    <t xml:space="preserve">FY22 Rs 180.5cr, FY23 Rs 146.6cr (-19% YoY). FY24-FY26 not located — mine AOC-1.</t>
  </si>
  <si>
    <t xml:space="preserve">FY25 net loss c.Rs 7.8cr per CARE Ratings (12-Jun-25). FY24 approximate.</t>
  </si>
  <si>
    <t xml:space="preserve">Loss-making every year from 2018 until FY26, which was the first profitable year (co-founder Anupam Thareja to Autocar Professional). Quantum not disclosed.</t>
  </si>
  <si>
    <t xml:space="preserve">Not disclosed. Book net worth fell c.34.65% in FY24.</t>
  </si>
  <si>
    <t xml:space="preserve">PAT MARGIN (%) — calculated; blank where either input is not disclosed</t>
  </si>
  <si>
    <t xml:space="preserve">Susten FY24 margin is meaningless (exceptional InvIT gain on a small revenue base). Club Mahindra FY26 is depressed by the c.Rs 234cr impairment.</t>
  </si>
  <si>
    <t xml:space="preserve">Growth Gems — contribution to M&amp;M group earnings</t>
  </si>
  <si>
    <t xml:space="preserve">M&amp;M share of gem PAT = gem PAT x M&amp;M stake. Compared against M&amp;M consolidated PAT.</t>
  </si>
  <si>
    <t xml:space="preserve">Gem — M&amp;M share of PAT (Rs cr)</t>
  </si>
  <si>
    <t xml:space="preserve">Note</t>
  </si>
  <si>
    <t xml:space="preserve">Aggregate M&amp;M share of gem PAT</t>
  </si>
  <si>
    <t xml:space="preserve">M&amp;M consolidated PAT (reported)</t>
  </si>
  <si>
    <t xml:space="preserve">M&amp;M press-release basis. See Data Quality Log for the conflict with Screener's net-profit line. Group forecasts are out of scope of this pack.</t>
  </si>
  <si>
    <t xml:space="preserve">Gems as % of group PAT (populated cells only)</t>
  </si>
  <si>
    <t xml:space="preserve">UNDERSTATED — several gems have no disclosed PAT, so the numerator is incomplete. Treat as a floor, not a measure.</t>
  </si>
  <si>
    <t xml:space="preserve">COMPANY-DISCLOSED CROSS-CHECK: M&amp;M's FY26 results press release (5 May 2026) states that the Growth Gems delivered PAT growth of 50%, footnoted as 'M&amp;M share of PAT', led by Real Estate, Logistics and Accelo. That is the only aggregate the company publishes — it does not disclose the absolute rupee figure. Our aggregate above is built bottom-up from the gems where PAT is disclosed and is therefore incomplete; do not present it as the company's number.</t>
  </si>
  <si>
    <t xml:space="preserve">VALUE-CREATION CROSS-CHECK: per Autocar Professional's Investor Day coverage (Nov 2025), the gems' share of group market capitalisation grew sevenfold between March 2020 and November 2025, reaching Rs 56,000cr. The '5x Challenge' targets a c.5x value increase over FY25-FY30. Group ROE was 20.1% in FY26, above the 18% hurdle.</t>
  </si>
  <si>
    <t xml:space="preserve">Growth Gems — balance sheet and cash flow metrics</t>
  </si>
  <si>
    <t xml:space="preserve">Deliberately sparse. The unlisted gems do not publish these; AOC-1 will close most of the gaps.</t>
  </si>
  <si>
    <t xml:space="preserve">Net worth / equity</t>
  </si>
  <si>
    <t xml:space="preserve">Borrowings / gearing</t>
  </si>
  <si>
    <t xml:space="preserve">Capital intensity &amp; capex</t>
  </si>
  <si>
    <t xml:space="preserve">Cash flow / self-funding</t>
  </si>
  <si>
    <t xml:space="preserve">Capital infused by M&amp;M</t>
  </si>
  <si>
    <t xml:space="preserve">What is disclosed, and what is not</t>
  </si>
  <si>
    <t xml:space="preserve">n/l — mine AOC-1</t>
  </si>
  <si>
    <t xml:space="preserve">Capacity build ahead of demand; new Telangana plant</t>
  </si>
  <si>
    <t xml:space="preserve">Improving; external capital funds the ramp</t>
  </si>
  <si>
    <t xml:space="preserve">c.Rs 1,300cr of external capital raised (IFC Rs 600cr, India-Japan Fund Rs 400cr, Lightrock-led Rs 322cr) rather than M&amp;M equity</t>
  </si>
  <si>
    <t xml:space="preserve">Entity-level balance sheet not published. AOC-1 in the FY25/FY26 annual report will give share capital, reserves, total assets and total liabilities.</t>
  </si>
  <si>
    <t xml:space="preserve">SML: available in SML Mahindra's own filings</t>
  </si>
  <si>
    <t xml:space="preserve">SML: available in SML filings</t>
  </si>
  <si>
    <t xml:space="preserve">Manufacturing-heavy; SML plant utilisation is the lever</t>
  </si>
  <si>
    <t xml:space="preserve">SML profitable and largely self-funding</t>
  </si>
  <si>
    <t xml:space="preserve">Rs 555cr for the 58.96% SML stake (Apr-25) plus Rs 525cr for the MTBD division transfer (announced Jul-26)</t>
  </si>
  <si>
    <t xml:space="preserve">SML is separately listed — pull its audited balance sheet directly. MTBD has no standalone balance sheet because it sits inside M&amp;M standalone until the Jan-27 transfer.</t>
  </si>
  <si>
    <t xml:space="preserve">Project-level debt: Rs 1,025cr (Mar-26, 300 MW Rajasthan) and Rs 1,448cr (Dec-24, 560 MW)</t>
  </si>
  <si>
    <t xml:space="preserve">Highly capital-intensive; GW build-out</t>
  </si>
  <si>
    <t xml:space="preserve">Capital recycling via the InvIT (ROFO to the Trust) is the funding model</t>
  </si>
  <si>
    <t xml:space="preserve">Rs 1,799.61cr rights issue (Aug-25) at Rs 60.40/share; OTPP equity of c.$300m for 30% (Sep-22)</t>
  </si>
  <si>
    <t xml:space="preserve">Project financing is disclosed via news flow; the entity balance sheet is not. The InvIT's own filings are a useful proxy for the monetised assets.</t>
  </si>
  <si>
    <t xml:space="preserve">Listed — audited BS available</t>
  </si>
  <si>
    <t xml:space="preserve">Listed — audited; asset-right model, modest gearing</t>
  </si>
  <si>
    <t xml:space="preserve">Asset-light 3PL; leases dominate</t>
  </si>
  <si>
    <t xml:space="preserve">Returned to positive operating profitability in FY26</t>
  </si>
  <si>
    <t xml:space="preserve">Rights issue completed FY26</t>
  </si>
  <si>
    <t xml:space="preserve">Fully disclosed. Pull the audited annual report for the complete FY21-FY26 series.</t>
  </si>
  <si>
    <t xml:space="preserve">Listed — audited; net cash</t>
  </si>
  <si>
    <t xml:space="preserve">Resort development is capex-heavy; c.900 keys added in FY26</t>
  </si>
  <si>
    <t xml:space="preserve">Strongly cash-generative; deferred revenue of c.Rs 5,700cr+ funds the build</t>
  </si>
  <si>
    <t xml:space="preserve">None recently — self-funding</t>
  </si>
  <si>
    <t xml:space="preserve">Fully disclosed. Note the c.Rs 234cr HCRO/Mauritius impairment in FY26 and the NFRA directive on vacation-ownership revenue recognition flagged in the FY26 audit.</t>
  </si>
  <si>
    <t xml:space="preserve">Net debt/equity -0.27 at FY26 (net cash)</t>
  </si>
  <si>
    <t xml:space="preserve">Land and development capex; Rs 18,060cr of GDV added in FY26</t>
  </si>
  <si>
    <t xml:space="preserve">Self-funding; rights issue completed FY26</t>
  </si>
  <si>
    <t xml:space="preserve">Fully disclosed. GDV pipeline c.Rs 50,000cr. Revenue recognition is completion-method under Ind-AS 115, so the P&amp;L lags pre-sales materially.</t>
  </si>
  <si>
    <t xml:space="preserve">Net debt/equity 0.10 at FY25 (Accelo FY25 Integrated Annual Report)</t>
  </si>
  <si>
    <t xml:space="preserve">Steel service centres and RVSF recycling infrastructure</t>
  </si>
  <si>
    <t xml:space="preserve">Largely self-funding</t>
  </si>
  <si>
    <t xml:space="preserve">Publishes its own Integrated Annual Report with selected ratios, but not a full comparable series. FY25 EBITDA Rs 332.77cr, 5-year revenue CAGR 30.85%, PAT CAGR 49.21%.</t>
  </si>
  <si>
    <t xml:space="preserve">Rs 159.5cr at FY25 (CARE Ratings, 12-Jun-25)</t>
  </si>
  <si>
    <t xml:space="preserve">Gearing 1.31x at FY25; no external bank debt</t>
  </si>
  <si>
    <t xml:space="preserve">Industrialisation capex ahead of the order-book ramp</t>
  </si>
  <si>
    <t xml:space="preserve">NOT self-funding — dependent on M&amp;M support</t>
  </si>
  <si>
    <t xml:space="preserve">c.Rs 100cr of inter-corporate deposits from M&amp;M in FY25; paid-up capital Rs 577.84cr</t>
  </si>
  <si>
    <t xml:space="preserve">CARE's rating rationale is the best available source. The funding structure (ICDs rather than bank debt) is the key point: this gem still consumes group capital.</t>
  </si>
  <si>
    <t xml:space="preserve">Accumulated losses since 2018 — quantum n/l</t>
  </si>
  <si>
    <t xml:space="preserve">Very low — the plant was acquired from Mahindra at no cost, so there is no depreciation or interest burden (co-founder cites 'infinite' ROCE)</t>
  </si>
  <si>
    <t xml:space="preserve">First profitable year in FY26</t>
  </si>
  <si>
    <t xml:space="preserve">Rs 350cr invested in product development across 12 products; paid-up capital c.Rs 754.66cr (FY23)</t>
  </si>
  <si>
    <t xml:space="preserve">The zero-cost plant is the single most important structural fact about this gem's economics and is not obvious from any financial statement.</t>
  </si>
  <si>
    <t xml:space="preserve">Book net worth fell c.34.65% in FY24</t>
  </si>
  <si>
    <t xml:space="preserve">Asset-light platform</t>
  </si>
  <si>
    <t xml:space="preserve">NOT self-funding</t>
  </si>
  <si>
    <t xml:space="preserve">Thinly disclosed. The FY25 revenue drop needs to be diagnosed before any forecast is relied on.</t>
  </si>
  <si>
    <t xml:space="preserve">Roughly half of this tab is genuinely unavailable. That is a disclosure fact about M&amp;M's unlisted subsidiaries, not a gap in the work. Form AOC-1 in the FY25 and FY26 Integrated Annual Reports (s.129(3)) discloses share capital, reserves &amp; surplus, total assets, total liabilities, investments, turnover, PBT, tax, PAT and % shareholding for every subsidiary — that single schedule closes most of these cells.</t>
  </si>
  <si>
    <t xml:space="preserve">Growth Gems — what is actually driving the numbers</t>
  </si>
  <si>
    <t xml:space="preserve">The qualitative layer behind the forecasts: revenue drivers, margin drivers, the FY30 view, and what breaks it</t>
  </si>
  <si>
    <t xml:space="preserve">What is driving revenue right now</t>
  </si>
  <si>
    <t xml:space="preserve">What drives the margin, and where it goes</t>
  </si>
  <si>
    <t xml:space="preserve">What drives growth through FY30</t>
  </si>
  <si>
    <t xml:space="preserve">What breaks the thesis</t>
  </si>
  <si>
    <t xml:space="preserve">Capital intensity / self-funding</t>
  </si>
  <si>
    <t xml:space="preserve">Structural L5 electrification — electric 3W penetration went from 12% to 40% in two years. Policy support (FAME/PM E-DRIVE-type schemes), urban last-mile e-commerce demand, and product-band expansion from 3W into small 4W cargo. 136,855 units in FY26 with 100,000+ electric.</t>
  </si>
  <si>
    <t xml:space="preserve">Scale, localisation and battery-cost deflation. Margin is thin today (we estimate c.7-8% EBITDA in FY26) and should creep toward c.10% by FY30 as volume and the higher-value L5/4W mix build.</t>
  </si>
  <si>
    <t xml:space="preserve">The 1m-EVs-by-2031 and 50%-electrification-by-FY30 targets. Exports to 10+ markets. The H2 FY27 IPO would fund capacity and put a public mark on the business.</t>
  </si>
  <si>
    <t xml:space="preserve">Subsidy or policy withdrawal is the biggest single risk on a sub-10% margin. Battery-metal cost spikes. New entrants and legacy OEMs compressing the c.40% L5 share.</t>
  </si>
  <si>
    <t xml:space="preserve">Improving. Funded by external capital (c.Rs 1,300cr across IFC, India-Japan Fund and Lightrock) rather than M&amp;M equity — which is itself a signal of confidence.</t>
  </si>
  <si>
    <t xml:space="preserve">SML integration — combined share went from c.3% to 6.0% of &gt;3.5T CV in FY26. Nov-25 combined volumes +57% YoY with SML +102%. GST 2.0 replacement demand and infrastructure/e-commerce freight.</t>
  </si>
  <si>
    <t xml:space="preserve">Platform consolidation, shared sourcing and network, and plant-utilisation leverage off SML's frugal manufacturing base. The Jan-27 MTBD transfer into SML is what unlocks the synergy.</t>
  </si>
  <si>
    <t xml:space="preserve">The stated Rs 15,000cr-by-FY31 ambition, 10-12% CV share by FY31 and 20%+ by FY36, against a CV market going from c.Rs 1,50,000cr to c.Rs 2,00,000cr.</t>
  </si>
  <si>
    <t xml:space="preserve">A CV-cycle downturn — this is the most cyclical gem in the portfolio. Integration missteps on the MTBD transfer. HCV competitive intensity from Tata and Ashok Leyland, where M&amp;M has never had scale.</t>
  </si>
  <si>
    <t xml:space="preserve">Rs 555cr acquisition plus Rs 525cr division transfer. SML is profitable and largely self-funding.</t>
  </si>
  <si>
    <t xml:space="preserve">India's solar build-out — c.6.4 GWp of connectivity secured, 560 MWp commissioned in FY26. Project wins and the hybrid/BESS extension (15 MWh at Modhera).</t>
  </si>
  <si>
    <t xml:space="preserve">The mix shift from lumpy EPC toward annuity IPP improves earnings quality but lowers headline revenue recognition. Read revenue and margin together here, never separately.</t>
  </si>
  <si>
    <t xml:space="preserve">The 1.5-to-7 GW roadmap and the 5x-by-2030 target, funded through the InvIT capital-recycling model.</t>
  </si>
  <si>
    <t xml:space="preserve">Module-price volatility, tariff aggression in auctions, and execution risk on land and grid connectivity. Also note FY24 PAT was inflated by an exceptional InvIT gain — the underlying earnings base is much smaller.</t>
  </si>
  <si>
    <t xml:space="preserve">Highly capital-intensive. Part-funded by OTPP equity and the InvIT recycling model with a ROFO to the Trust.</t>
  </si>
  <si>
    <t xml:space="preserve">The turnaround itself. Express reached a positive gross margin (1.3% in FY26), white space was cut from 1.6m to 0.7m sq ft, freight-forwarding EBITDA rose 48% and mobility revenue 22%. 400+ corporate clients.</t>
  </si>
  <si>
    <t xml:space="preserve">Operating leverage on a fixed warehousing base plus mix shift toward higher-margin freight forwarding and mobility. From 5.4% in FY26 toward c.7% by FY30 on our numbers.</t>
  </si>
  <si>
    <t xml:space="preserve">Warehousing formalisation post-GST, e-commerce and 3PL outsourcing penetration, and continued white-space reduction.</t>
  </si>
  <si>
    <t xml:space="preserve">3PL price competition is brutal and margins are structurally thin — a 100bp miss is most of the PAT. Captive-mix concentration with M&amp;M. Cyclical freight rates.</t>
  </si>
  <si>
    <t xml:space="preserve">Asset-right model; largely self-funding post-turnaround. Rights issue completed FY26.</t>
  </si>
  <si>
    <t xml:space="preserve">Inventory addition — a record c.900 gross keys in FY26 taking the estate to 6,228 — plus premiumisation, with AUR up c.83% in Q4 FY26, and the new Keystone membership product.</t>
  </si>
  <si>
    <t xml:space="preserve">Premiumisation and occupancy on a largely fixed resort cost base. Note that consolidated margins are dragged by the European HCRO arm, which took a c.Rs 234cr impairment in FY26.</t>
  </si>
  <si>
    <t xml:space="preserve">The 10,000-rooms-by-FY30 roadmap and the '3x keys, 3x revenue, 4x PAT this decade' framing. Deferred revenue of c.Rs 5,700cr+ underpins the visibility.</t>
  </si>
  <si>
    <t xml:space="preserve">Member additions slowing — this is a subscription business and gross adds are the leading indicator. The HCRO European drag. Regulatory scrutiny of vacation-ownership revenue recognition (NFRA directive flagged in the FY26 audit) is a genuine accounting risk.</t>
  </si>
  <si>
    <t xml:space="preserve">Resort development is capex-heavy but funded from deferred revenue and c.Rs 1,500cr+ of cash. Self-funding.</t>
  </si>
  <si>
    <t xml:space="preserve">Pre-sales momentum — Rs 3,405cr in FY26, +21% — and a step-change in project additions: Rs 18,060cr of GDV added, taking the pipeline to c.Rs 50,000cr. Kandivali added Rs 5,600cr of GDV.</t>
  </si>
  <si>
    <t xml:space="preserve">Project mix and the completion-method recognition cycle. FY26 PAT rose 386% as earlier pre-sales converted to revenue — expect continued but lumpy operating leverage.</t>
  </si>
  <si>
    <t xml:space="preserve">The FY27 guidance of Rs 4,500-5,000cr of pre-sales with Rs 10,000cr of launches, building toward Rs 8,000-10,000cr of annual pre-sales and 5x scale by FY30. Bhandup (Rs 12,400cr GDV) and Mahalaxmi are the near-term launches. IC&amp;IC adds Rs 400-500cr revenue and Rs 100-150cr PAT annually.</t>
  </si>
  <si>
    <t xml:space="preserve">A housing-cycle downturn. Launch and approval delays — real-estate timelines slip routinely. Premium mix compressing margins. And note the P&amp;L is lumpy by construction, so a weak year is not necessarily a weak business.</t>
  </si>
  <si>
    <t xml:space="preserve">Self-funding with a net-cash balance sheet (net debt/equity -0.27 at FY26). Rights issue completed FY26.</t>
  </si>
  <si>
    <t xml:space="preserve">Steel processing volumes tracking M&amp;M's own UV growth (it is partly a captive service centre), plus electrical-steel and EV-component demand and the recycling network build-out (7 RVSFs, 42 collection centres).</t>
  </si>
  <si>
    <t xml:space="preserve">Spread over steel input costs plus the mix shift toward higher-value electrical steel and recycling, which carries better margins than commodity processing.</t>
  </si>
  <si>
    <t xml:space="preserve">Vehicle-scrappage mandates driving organised recycling toward the c.25%-share-by-FY28 target; EV component localisation under PLI; electrical steel for renewables.</t>
  </si>
  <si>
    <t xml:space="preserve">Steel-price and spread volatility, which flows straight through. Slow scrappage-policy rollout — the recycling thesis is entirely policy-dependent. And the captive linkage means M&amp;M volume weakness hits twice.</t>
  </si>
  <si>
    <t xml:space="preserve">Largely self-funding; net debt/equity 0.10 at FY25.</t>
  </si>
  <si>
    <t xml:space="preserve">The order-book inflection. c.$1bn of orders in just over a year against c.$150m accumulated over the preceding fifteen years, anchored by the Jun-25 Aernnova contract of c.$300m for Airbus/Embraer work.</t>
  </si>
  <si>
    <t xml:space="preserve">Industrialisation and learning-curve effects on new programmes. FY25 operating margin was 8.62% with a small net loss; margin should build as programmes mature, but slowly.</t>
  </si>
  <si>
    <t xml:space="preserve">The c.12x-revenue-this-decade ambition and the top-10-global-supplier goal, plus the new Novavayu Aerospace entity for aircraft and defence manufacturing.</t>
  </si>
  <si>
    <t xml:space="preserve">Client concentration on Boeing and Airbus. Order deferrals — an order book is not revenue, and aerospace lead times are long. Ramp and industrialisation delays. Note this gem still loses money and consumes group capital.</t>
  </si>
  <si>
    <t xml:space="preserve">NOT self-funding. M&amp;M provided c.Rs 100cr of inter-corporate deposits in FY25; gearing 1.31x with no external bank debt.</t>
  </si>
  <si>
    <t xml:space="preserve">Volume recovery — 45,409 retails in FY26, +40%, with H2 up 100% YoY after two years of decline (FY24 36,680, FY25 32,482). New launches, dealer expansion and GST 2.0.</t>
  </si>
  <si>
    <t xml:space="preserve">The structural point: the plant was acquired from Mahindra at no cost, so there is no depreciation or interest burden. That is why FY26 turned profitable at only c.45k units, and why incremental volume drops through hard.</t>
  </si>
  <si>
    <t xml:space="preserve">The 2028 IPO ambition, global expansion (BSA into Western markets, Jawa into Eastern Europe and South America), dealer network from c.350 to 500+, and new scramblers.</t>
  </si>
  <si>
    <t xml:space="preserve">Royal Enfield at 80%+ share, with Triumph and Harley now in the segment. Quality and distribution execution — this business has stumbled before. US tariff and customs disruption (c.5,000 units held at US Customs in Aug-25) is a live export risk.</t>
  </si>
  <si>
    <t xml:space="preserve">Very low capital intensity given the zero-cost plant. Rs 350cr invested in product development.</t>
  </si>
  <si>
    <t xml:space="preserve">Formalisation of the organised used-car market and monetisation of the platform and data assets (AutoInspekt inspections, eDiig auctions, YMS).</t>
  </si>
  <si>
    <t xml:space="preserve">The FY25 revenue drop of c.59% most likely reflects a shift from principal sales to platform and franchise fees — which would mean lower revenue at a much higher margin. This must be verified before any margin forecast is used.</t>
  </si>
  <si>
    <t xml:space="preserve">Used-car market formalisation and platform/data monetisation.</t>
  </si>
  <si>
    <t xml:space="preserve">Intense competition from Cars24, Spinny and CarTrade, all better capitalised in the consumer-facing layer. The path to profitability is unproven. This is the weakest gem in the portfolio on disclosed evidence.</t>
  </si>
  <si>
    <t xml:space="preserve">NOT self-funding. Book net worth fell c.34.65% in FY24.</t>
  </si>
  <si>
    <t xml:space="preserve">M&amp;M group financials — FY21 to FY26 (reported actuals)</t>
  </si>
  <si>
    <t xml:space="preserve">Context for the gems' contribution. Note the consolidated-PAT source conflict, shown in full.</t>
  </si>
  <si>
    <t xml:space="preserve">Rs cr unless stated</t>
  </si>
  <si>
    <t xml:space="preserve">Source / note</t>
  </si>
  <si>
    <t xml:space="preserve">Consolidated revenue</t>
  </si>
  <si>
    <t xml:space="preserve">M&amp;M press releases FY22-FY26; FY25 &amp; FY26 Integrated Annual Reports.</t>
  </si>
  <si>
    <t xml:space="preserve">Consolidated PAT — M&amp;M press-release basis</t>
  </si>
  <si>
    <t xml:space="preserve">M&amp;M's own KPI framing, after non-controlling interest. FY21 is ambiguous: Rs 1,512cr includes discontinued SsangYong operations; Business Today (28-May-21) reports Rs 3,702cr on a continuing-operations basis.</t>
  </si>
  <si>
    <t xml:space="preserve">Consolidated PAT — Screener 'Net Profit' basis</t>
  </si>
  <si>
    <t xml:space="preserve">screener.in/company/M&amp;M/consolidated. Consistently HIGHER than M&amp;M's press-release PAT (different consolidation and exceptional-item scope). Both shown deliberately — pick one basis and state it.</t>
  </si>
  <si>
    <t xml:space="preserve">Consolidated EPS (Rs)</t>
  </si>
  <si>
    <t xml:space="preserve">M&amp;M basis. FY22 and FY23 are derived and approximate.</t>
  </si>
  <si>
    <t xml:space="preserve">Consolidated ROE (%)</t>
  </si>
  <si>
    <t xml:space="preserve">FY21 and FY22 approximate. M&amp;M runs a minimum 18% consolidated ROE hurdle — cleared in FY23, FY24, FY25 and FY26.</t>
  </si>
  <si>
    <t xml:space="preserve">Standalone revenue</t>
  </si>
  <si>
    <t xml:space="preserve">FY21 approximate. Minor restatement: standalone FY23 revenue was Rs 84,960cr in the FY23 release vs Rs 86,645cr in the FY24 comparative.</t>
  </si>
  <si>
    <t xml:space="preserve">Standalone PAT</t>
  </si>
  <si>
    <t xml:space="preserve">FY21 not located.</t>
  </si>
  <si>
    <t xml:space="preserve">CAPITAL ALLOCATION — the credibility anchor</t>
  </si>
  <si>
    <t xml:space="preserve">M&amp;M runs a minimum 18% consolidated ROE hurdle with a turn-around-or-exit discipline. Delivered 19.9% / 18.4% / 18.1% / 20.1% in FY23-FY26.</t>
  </si>
  <si>
    <t xml:space="preserve">Under Anish Shah (Group CEO/MD from April 2021), M&amp;M has exited c.15 underperforming businesses: SsangYong (deconsolidated Dec-20), Mahindra First Choice Services workshops (sold to TVS Automobile Solutions, Feb-21), Peugeot Motocycles (control to Mutares, early 2023), GenZe (US e-mobility), the general-aviation aircraft business (wound down 2023), Sampo Rosenlew (Finland, sold FY26), Erkunt Traktor (Turkey, sale announced, completion FY27) and MAM Japan / Mitsubishi Agricultural Machinery (liquidation, wind-down FY27).</t>
  </si>
  <si>
    <t xml:space="preserve">The '5x Challenge' targets a c.5x value increase for the gems over FY25-FY30. Per Autocar Professional's Investor Day coverage (Nov 2025), the gems' share of group market capitalisation grew sevenfold between March 2020 and November 2025, reaching Rs 56,000cr; M&amp;M stock rose c.14x from April 2020 to November 2025 against c.3x for the Nifty.</t>
  </si>
  <si>
    <t xml:space="preserve">Dated milestones and forward catalysts</t>
  </si>
  <si>
    <t xml:space="preserve">Last 24 months of events, then what to watch</t>
  </si>
  <si>
    <t xml:space="preserve">Date</t>
  </si>
  <si>
    <t xml:space="preserve">Event</t>
  </si>
  <si>
    <t xml:space="preserve">Sep 2022</t>
  </si>
  <si>
    <t xml:space="preserve">Susten</t>
  </si>
  <si>
    <t xml:space="preserve">Ontario Teachers' Pension Plan acquires 30% at c.Rs 2,371cr equity value (c.$300m), with an option for a further 9.99%.</t>
  </si>
  <si>
    <t xml:space="preserve">Mar 2023</t>
  </si>
  <si>
    <t xml:space="preserve">LMM</t>
  </si>
  <si>
    <t xml:space="preserve">IFC commits Rs 600cr at a valuation of up to Rs 6,020cr.</t>
  </si>
  <si>
    <t xml:space="preserve">May 2023</t>
  </si>
  <si>
    <t xml:space="preserve">Mahindra Last Mile Mobility Ltd incorporated (CIN U29102MH2023PLC403752); commercial operations from Sep-23.</t>
  </si>
  <si>
    <t xml:space="preserve">Aug 2023</t>
  </si>
  <si>
    <t xml:space="preserve">India's largest renewables InvIT lists, seeded with c.1.54 GWp.</t>
  </si>
  <si>
    <t xml:space="preserve">Jan 2024</t>
  </si>
  <si>
    <t xml:space="preserve">NIIF's India-Japan Fund invests Rs 400cr.</t>
  </si>
  <si>
    <t xml:space="preserve">Oct 2024</t>
  </si>
  <si>
    <t xml:space="preserve">Accelo</t>
  </si>
  <si>
    <t xml:space="preserve">Zero Waste to Landfill certification.</t>
  </si>
  <si>
    <t xml:space="preserve">Dec 2024</t>
  </si>
  <si>
    <t xml:space="preserve">Rs 1,448cr project financing for 560 MW.</t>
  </si>
  <si>
    <t xml:space="preserve">Jan 2025</t>
  </si>
  <si>
    <t xml:space="preserve">SBTi approval.</t>
  </si>
  <si>
    <t xml:space="preserve">Apr 2025</t>
  </si>
  <si>
    <t xml:space="preserve">T&amp;B</t>
  </si>
  <si>
    <t xml:space="preserve">M&amp;M agrees to acquire 58.96% of SML Isuzu for Rs 555cr (Rs 650/share; open offer at Rs 1,554.60/share).</t>
  </si>
  <si>
    <t xml:space="preserve">May 2025</t>
  </si>
  <si>
    <t xml:space="preserve">All</t>
  </si>
  <si>
    <t xml:space="preserve">Q4 FY25 call (5 May): Anish Shah formalises the Scalable ($2-3bn) vs Emerging ($1bn) gem taxonomy and the 5x Challenge.</t>
  </si>
  <si>
    <t xml:space="preserve">Jun 2025</t>
  </si>
  <si>
    <t xml:space="preserve">Aerostructures</t>
  </si>
  <si>
    <t xml:space="preserve">Aernnova contract of c.$300m (Rs 2,585cr) for multi-year Airbus/Embraer work.</t>
  </si>
  <si>
    <t xml:space="preserve">CCI clears the SML acquisition.</t>
  </si>
  <si>
    <t xml:space="preserve">Aug 2025</t>
  </si>
  <si>
    <t xml:space="preserve">SML acquisition completes; renamed SML Mahindra.</t>
  </si>
  <si>
    <t xml:space="preserve">Classic Legends</t>
  </si>
  <si>
    <t xml:space="preserve">c.5,000 units held at US Customs amid tariff disruption.</t>
  </si>
  <si>
    <t xml:space="preserve">Rs 1,799.61cr rights issue at Rs 60.40/share.</t>
  </si>
  <si>
    <t xml:space="preserve">Nov 2025</t>
  </si>
  <si>
    <t xml:space="preserve">Second Mahindra Investor Day (20-21 Nov, 300+ investors): gems' share of group market cap up sevenfold since Mar-20 to Rs 56,000cr.</t>
  </si>
  <si>
    <t xml:space="preserve">Order book reported at c.$1bn, against c.$150m accumulated over the preceding fifteen years.</t>
  </si>
  <si>
    <t xml:space="preserve">Group</t>
  </si>
  <si>
    <t xml:space="preserve">Manulife 50:50 life-insurance JV announced (each partner up to US$400m) — NOT a Growth Gem.</t>
  </si>
  <si>
    <t xml:space="preserve">Mar 2026</t>
  </si>
  <si>
    <t xml:space="preserve">Rs 1,025cr financing for a 300 MW Rajasthan project.</t>
  </si>
  <si>
    <t xml:space="preserve">Apr 2026</t>
  </si>
  <si>
    <t xml:space="preserve">Logistics</t>
  </si>
  <si>
    <t xml:space="preserve">FY26 results: return to profitability after 11 straight loss-making quarters.</t>
  </si>
  <si>
    <t xml:space="preserve">May 2026</t>
  </si>
  <si>
    <t xml:space="preserve">FY26 results: consolidated PAT Rs 17,099cr (+35% ex one-offs), ROE 20.1%; Growth Gems PAT (M&amp;M share) +50%.</t>
  </si>
  <si>
    <t xml:space="preserve">Jun 2026</t>
  </si>
  <si>
    <t xml:space="preserve">Lifespaces</t>
  </si>
  <si>
    <t xml:space="preserve">FY26 BRSR filed: consolidated PAT Rs 298.17cr, +386% YoY; pre-sales Rs 3,405cr.</t>
  </si>
  <si>
    <t xml:space="preserve">Jul 2026</t>
  </si>
  <si>
    <t xml:space="preserve">M&amp;M announces transfer of the MTBD division into listed SML Mahindra for Rs 525cr, closing by Jan-27.</t>
  </si>
  <si>
    <t xml:space="preserve">Unicorn: Rs 322cr raised led by Lightrock at Rs 10,822cr ($1.24bn); M&amp;M stake 78.11% to 75.79%. IPO planned H2 FY27.</t>
  </si>
  <si>
    <t xml:space="preserve">Aug 2026</t>
  </si>
  <si>
    <t xml:space="preserve">Crosses 400,000 cumulative EV sales — India's first CV maker to do so.</t>
  </si>
  <si>
    <t xml:space="preserve">FORWARD</t>
  </si>
  <si>
    <t xml:space="preserve">Catalysts to track — these are what move the gems from book value to market value</t>
  </si>
  <si>
    <t xml:space="preserve">Jan 2027</t>
  </si>
  <si>
    <t xml:space="preserve">MTBD transfer into SML Mahindra completes — consolidates all &gt;3.5T CV under one listed entity. The CV re-rating trigger.</t>
  </si>
  <si>
    <t xml:space="preserve">H2 FY27</t>
  </si>
  <si>
    <t xml:space="preserve">IPO. The single most important event in the portfolio: it puts a public mark on the largest unlisted gem and validates or breaks the private-mark approach. A delay is the clearest signal to cut gem-value assumptions.</t>
  </si>
  <si>
    <t xml:space="preserve">FY27</t>
  </si>
  <si>
    <t xml:space="preserve">Delivery against the Rs 4,500-5,000cr FY27 pre-sales guidance and Rs 10,000cr of launches (Bhandup, Mahalaxmi).</t>
  </si>
  <si>
    <t xml:space="preserve">Sustaining EBITDA margin above c.6% and keeping reported PAT positive — the turnaround has to hold for more than one year.</t>
  </si>
  <si>
    <t xml:space="preserve">Sustaining FY26's first-ever profitability into a second year.</t>
  </si>
  <si>
    <t xml:space="preserve">Open</t>
  </si>
  <si>
    <t xml:space="preserve">InvIT asset monetisation — crystallises a yield-based mark and creates a repeatable template for the rest of the portfolio.</t>
  </si>
  <si>
    <t xml:space="preserve">2028</t>
  </si>
  <si>
    <t xml:space="preserve">Targeted IPO.</t>
  </si>
  <si>
    <t xml:space="preserve">FY30</t>
  </si>
  <si>
    <t xml:space="preserve">The 5x Challenge scorecard: $2-3bn per scalable gem, $1bn per emerging gem. If two or more scalable gems miss their FY27 milestones, haircut the aggregate.</t>
  </si>
  <si>
    <t xml:space="preserve">Data quality log — every conflict, ambiguity and gap</t>
  </si>
  <si>
    <t xml:space="preserve">Read this before circulating. Nothing here is hidden in a footnote.</t>
  </si>
  <si>
    <t xml:space="preserve">Item</t>
  </si>
  <si>
    <t xml:space="preserve">Severity</t>
  </si>
  <si>
    <t xml:space="preserve">What the issue is and what to do about it</t>
  </si>
  <si>
    <t xml:space="preserve">M&amp;M consolidated PAT</t>
  </si>
  <si>
    <t xml:space="preserve">HIGH — conflict</t>
  </si>
  <si>
    <t xml:space="preserve">M&amp;M's press-release PAT and Screener's 'Net Profit' line differ every single year (FY25: 12,929 vs 14,073; FY26: 17,099 vs 18,622) because of differing consolidation and exceptional-item scope. Both are shown on the Group Financials tab. Pick one basis, state it explicitly in the client note, and do not mix them.</t>
  </si>
  <si>
    <t xml:space="preserve">M&amp;M FY21 consolidated PAT</t>
  </si>
  <si>
    <t xml:space="preserve">HIGH — ambiguous</t>
  </si>
  <si>
    <t xml:space="preserve">Rs 1,512cr includes discontinued SsangYong operations; Business Today (28-May-21) reports Rs 3,702cr on a continuing-operations basis. FY21 was distorted by the SsangYong deconsolidation (28-Dec-20) and international write-offs. Do not use FY21 as a clean base year for any CAGR.</t>
  </si>
  <si>
    <t xml:space="preserve">Lifespaces FY26 revenue</t>
  </si>
  <si>
    <t xml:space="preserve">HIGH — not comparable</t>
  </si>
  <si>
    <t xml:space="preserve">The Rs 4,118cr FY26 figure is reported as 'consolidated sales' (sales value), which is NOT the same as the Ind-AS revenue line used for FY24 (Rs 279cr) and FY25 (Rs 464cr). The apparent 9x jump is largely a definitional break, not organic growth. Do not compute a revenue CAGR across that break. Pre-sales (Rs 2,328 / 2,804 / 3,405cr) is the consistent operating series — use that.</t>
  </si>
  <si>
    <t xml:space="preserve">Susten FY24 PAT</t>
  </si>
  <si>
    <t xml:space="preserve">HIGH — one-off</t>
  </si>
  <si>
    <t xml:space="preserve">Rs 852cr includes large exceptional gains from the InvIT monetisation on total income of only Rs 195cr. It is not an operating number and implies a nonsensical margin. Never use as a run-rate or a base for growth.</t>
  </si>
  <si>
    <t xml:space="preserve">Club Mahindra FY26 PAT</t>
  </si>
  <si>
    <t xml:space="preserve">MEDIUM — one-off</t>
  </si>
  <si>
    <t xml:space="preserve">Consolidated PAT of Rs 67cr is depressed by a c.Rs 234cr HCRO/Mauritius impairment; ex-one-off is c.Rs 136.3cr. Use the ex-one-off figure for trend analysis and disclose the adjustment.</t>
  </si>
  <si>
    <t xml:space="preserve">Car&amp;Bike FY25 revenue</t>
  </si>
  <si>
    <t xml:space="preserve">MEDIUM — needs diagnosis</t>
  </si>
  <si>
    <t xml:space="preserve">Revenue fell c.59% to Rs 313cr from &gt;Rs 500cr. Most likely a revenue-recognition shift from principal sales to platform and franchise fees, which would imply lower revenue at higher margin. Verify against AOC-1 before using the FY27E-FY30E forecasts, which are low-confidence as a result.</t>
  </si>
  <si>
    <t xml:space="preserve">Accelo scope</t>
  </si>
  <si>
    <t xml:space="preserve">MEDIUM — scope unclear</t>
  </si>
  <si>
    <t xml:space="preserve">Entity-level revenue of c.Rs 4,600cr (FY24) far exceeds the 'Rs 1,000cr+' band some commercial databases show. Confirm whether the figure is consolidated or standalone in AOC-1 before quoting it. Also note Accelo is partly a captive steel service centre for M&amp;M's UV business, so its revenue is not fully third-party.</t>
  </si>
  <si>
    <t xml:space="preserve">Classic Legends financials</t>
  </si>
  <si>
    <t xml:space="preserve">HIGH — estimated throughout</t>
  </si>
  <si>
    <t xml:space="preserve">Tracxn gives only a Rs 500-1,000cr band for FY25. Our FY25 and FY26 revenue figures are derived from retail units multiplied by an assumed c.Rs 1.8-2.0L ASP. They are marked blue and should be treated as indicative only. FY26 profitability is confirmed qualitatively by the co-founder but the quantum is not disclosed.</t>
  </si>
  <si>
    <t xml:space="preserve">M&amp;M shareholding percentages</t>
  </si>
  <si>
    <t xml:space="preserve">MEDIUM — partly estimated</t>
  </si>
  <si>
    <t xml:space="preserve">Firm: LMM 75.79% (post Jul-26), SML 58.96%, Club Mahindra c.67%, Logistics c.58%, Lifespaces c.51%, Aerostructures 100% (indirect). ESTIMATED and needing AOC-1 confirmation: Susten c.70%, Accelo 100%, Classic Legends c.60%. The Group Contribution tab is sensitive to these.</t>
  </si>
  <si>
    <t xml:space="preserve">Trucks &amp; Buses entity structure</t>
  </si>
  <si>
    <t xml:space="preserve">MEDIUM — structural</t>
  </si>
  <si>
    <t xml:space="preserve">MTBD has no standalone historic financials because it sat inside M&amp;M standalone as a division. The FY26 combined figure (Rs 5,827cr) is the first meaningful combined datapoint, and even that is a sum of two separately reported numbers. A clean series only begins after the Jan-27 transfer completes.</t>
  </si>
  <si>
    <t xml:space="preserve">Historic coverage gaps</t>
  </si>
  <si>
    <t xml:space="preserve">MEDIUM — disclosure fact</t>
  </si>
  <si>
    <t xml:space="preserve">FY21-FY23 is largely blank for the unlisted gems. LMM did not exist as an entity before May-23. Logistics FY22 and FY23 were not located in the sources used and should be pulled from its own annual reports. Roughly a third of the historic cells across the pack are genuinely unavailable in public disclosure.</t>
  </si>
  <si>
    <t xml:space="preserve">All FY27E-FY30E figures</t>
  </si>
  <si>
    <t xml:space="preserve">BY DESIGN — estimates</t>
  </si>
  <si>
    <t xml:space="preserve">None are reported. Each is anchored either to explicit management guidance, to consensus for the three listed gems, or to a stated CAGR assumption with its basis given on the Revenue tab. They are shown in blue with gold column headers throughout. Never present them as company figures.</t>
  </si>
  <si>
    <t xml:space="preserve">Aggregate gems PAT</t>
  </si>
  <si>
    <t xml:space="preserve">MEDIUM — incomplete</t>
  </si>
  <si>
    <t xml:space="preserve">The aggregate on the Group Contribution tab sums only the gems where PAT is disclosed, so it understates the true figure. M&amp;M itself discloses only a growth rate (+50% in FY26, M&amp;M share of PAT), never an absolute. Present ours as a floor, not as the company's number.</t>
  </si>
  <si>
    <t xml:space="preserve">Master source list</t>
  </si>
  <si>
    <t xml:space="preserve">Document, date and location for every reported figure in this pack</t>
  </si>
  <si>
    <t xml:space="preserve">Document</t>
  </si>
  <si>
    <t xml:space="preserve">Where / note</t>
  </si>
  <si>
    <t xml:space="preserve">M&amp;M FY26 results press release</t>
  </si>
  <si>
    <t xml:space="preserve">5 May 2026</t>
  </si>
  <si>
    <t xml:space="preserve">mahindra.com/news-room/press-release/en/m-and-m-results-q4-f26-and-fy26 — group FY26 financials, Growth Gems PAT +50%</t>
  </si>
  <si>
    <t xml:space="preserve">M&amp;M FY25 results press release</t>
  </si>
  <si>
    <t xml:space="preserve">5 May 2025</t>
  </si>
  <si>
    <t xml:space="preserve">mahindra.com — group FY25 financials; Anish Shah's Scalable vs Emerging gem taxonomy</t>
  </si>
  <si>
    <t xml:space="preserve">M&amp;M FY24 results press release</t>
  </si>
  <si>
    <t xml:space="preserve">16 May 2024</t>
  </si>
  <si>
    <t xml:space="preserve">mahindra.com — group FY24 financials</t>
  </si>
  <si>
    <t xml:space="preserve">M&amp;M Integrated Annual Report FY26</t>
  </si>
  <si>
    <t xml:space="preserve">FY2025-26</t>
  </si>
  <si>
    <t xml:space="preserve">mahindra.com/annual-report-FY2026/ — Susten 560 MWp and Rs 443cr; T&amp;B 6.0% share; 'Other Emerging Businesses' grouping. CONTAINS FORM AOC-1.</t>
  </si>
  <si>
    <t xml:space="preserve">M&amp;M Integrated Annual Report FY25</t>
  </si>
  <si>
    <t xml:space="preserve">FY2024-25</t>
  </si>
  <si>
    <t xml:space="preserve">mahindra.com/annual-report-FY2025/ — CONTAINS FORM AOC-1 (s.129(3) subsidiary schedule)</t>
  </si>
  <si>
    <t xml:space="preserve">Screener.in</t>
  </si>
  <si>
    <t xml:space="preserve">ongoing</t>
  </si>
  <si>
    <t xml:space="preserve">screener.in/company/M&amp;M/consolidated — alternative consolidated PAT basis</t>
  </si>
  <si>
    <t xml:space="preserve">Autocar Professional — Investor Day coverage</t>
  </si>
  <si>
    <t xml:space="preserve">20 Nov 2025</t>
  </si>
  <si>
    <t xml:space="preserve">Gems' market-cap share up sevenfold since Mar-20 to Rs 56,000cr; $2bn+ scalable-gem targets</t>
  </si>
  <si>
    <t xml:space="preserve">Autocar Professional — 'Mahindra Bets Big on Growth Gems'</t>
  </si>
  <si>
    <t xml:space="preserve">Q4 FY25 call coverage; gem taxonomy</t>
  </si>
  <si>
    <t xml:space="preserve">AlphaStreet — M&amp;M Q4 FY25 call highlights</t>
  </si>
  <si>
    <t xml:space="preserve">5x Challenge framing</t>
  </si>
  <si>
    <t xml:space="preserve">M&amp;M press release — MLMML achieves Unicorn Status</t>
  </si>
  <si>
    <t xml:space="preserve">30 July 2026</t>
  </si>
  <si>
    <t xml:space="preserve">Rs 322cr Lightrock-led round at Rs 10,822cr; stake 78.11% to 75.79%; IPO H2 FY27; 100,000+ cumulative e-3W in FY26</t>
  </si>
  <si>
    <t xml:space="preserve">Business Today / Business Standard — LMM unicorn</t>
  </si>
  <si>
    <t xml:space="preserve">Corroborating coverage of the Lightrock round</t>
  </si>
  <si>
    <t xml:space="preserve">M&amp;M press release — LMM valued up to Rs 6,020cr by IFC</t>
  </si>
  <si>
    <t xml:space="preserve">11 Oct 2023</t>
  </si>
  <si>
    <t xml:space="preserve">IFC Rs 600cr commitment</t>
  </si>
  <si>
    <t xml:space="preserve">Business Standard — India-Japan Fund into LMM</t>
  </si>
  <si>
    <t xml:space="preserve">NIIF India-Japan Fund Rs 400cr</t>
  </si>
  <si>
    <t xml:space="preserve">M&amp;M press release — SML Isuzu acquisition</t>
  </si>
  <si>
    <t xml:space="preserve">26 April 2025</t>
  </si>
  <si>
    <t xml:space="preserve">58.96% for Rs 555cr; SML FY24 revenue Rs 2,196cr and EBITDA Rs 179cr</t>
  </si>
  <si>
    <t xml:space="preserve">M&amp;M press release — SML acquisition completion</t>
  </si>
  <si>
    <t xml:space="preserve">Completion; renamed SML Mahindra</t>
  </si>
  <si>
    <t xml:space="preserve">Reuters / Zerodha — MTBD transfer to SML Mahindra</t>
  </si>
  <si>
    <t xml:space="preserve">29 July 2026</t>
  </si>
  <si>
    <t xml:space="preserve">Rs 525cr division transfer; MTBD FY26 revenue Rs 2,989cr; SML FY26 Rs 2,838cr</t>
  </si>
  <si>
    <t xml:space="preserve">Mahindra Susten FY24 Board's Report</t>
  </si>
  <si>
    <t xml:space="preserve">FY2023-24</t>
  </si>
  <si>
    <t xml:space="preserve">mahindrasusten.com — FY24 total income Rs 194.8cr; FY24 PAT Rs 852cr incl. exceptional InvIT gains</t>
  </si>
  <si>
    <t xml:space="preserve">Business Standard — OTPP invests in Susten</t>
  </si>
  <si>
    <t xml:space="preserve">17 Sep 2022</t>
  </si>
  <si>
    <t xml:space="preserve">30% at c.Rs 2,371cr equity value (c.$300m)</t>
  </si>
  <si>
    <t xml:space="preserve">Mahindra Logistics Q4 FY26 press release</t>
  </si>
  <si>
    <t xml:space="preserve">23 April 2026</t>
  </si>
  <si>
    <t xml:space="preserve">mahindralogistics.com — FY26 revenue Rs 6,999cr, EBITDA Rs 376cr, PAT Rs 2.3cr; Hemant Sikka on the turnaround</t>
  </si>
  <si>
    <t xml:space="preserve">Mahindra Logistics Q4 FY25 press release</t>
  </si>
  <si>
    <t xml:space="preserve">21 April 2025</t>
  </si>
  <si>
    <t xml:space="preserve">FY25 revenue Rs 6,105cr, EBITDA Rs 284cr</t>
  </si>
  <si>
    <t xml:space="preserve">MHRIL results and press releases</t>
  </si>
  <si>
    <t xml:space="preserve">FY24-FY26</t>
  </si>
  <si>
    <t xml:space="preserve">mahindra.com / clubmahindra.com — FY26 total income Rs 3,116cr; standalone Rs 1,613cr, PAT Rs 4.55cr; consolidated PAT Rs 67cr after c.Rs 234cr impairment; 6,228 keys</t>
  </si>
  <si>
    <t xml:space="preserve">Mahindra Lifespaces FY26 results and BRSR</t>
  </si>
  <si>
    <t xml:space="preserve">filed 30 June 2026</t>
  </si>
  <si>
    <t xml:space="preserve">mahindralifespaces.com — consolidated PAT Rs 298.17cr (+386%); pre-sales Rs 3,405cr; GDV additions Rs 18,060cr; net debt/equity -0.27</t>
  </si>
  <si>
    <t xml:space="preserve">Mahindra Accelo Integrated Annual Report FY25</t>
  </si>
  <si>
    <t xml:space="preserve">mahindraaccelo.com — EBITDA Rs 332.77cr; net debt/equity 0.10; 5-yr revenue CAGR 30.85%, PAT CAGR 49.21%</t>
  </si>
  <si>
    <t xml:space="preserve">CARE Ratings — Mahindra Aerostructures</t>
  </si>
  <si>
    <t xml:space="preserve">12 June 2025</t>
  </si>
  <si>
    <t xml:space="preserve">FY25 revenue Rs 258cr (+10%), operating margin 8.62%, net loss c.Rs 7.8cr, net worth Rs 159.5cr, gearing 1.31x, c.Rs 100cr M&amp;M ICDs</t>
  </si>
  <si>
    <t xml:space="preserve">Raksha Anirveda — Mahindra aerospace order book</t>
  </si>
  <si>
    <t xml:space="preserve">c.$1bn of orders in just over a year vs c.$150m over the preceding fifteen years</t>
  </si>
  <si>
    <t xml:space="preserve">Autocar Professional — Classic Legends</t>
  </si>
  <si>
    <t xml:space="preserve">2026</t>
  </si>
  <si>
    <t xml:space="preserve">FY26 retails 45,409 (+40%); first profitable year; Anupam Thareja commentary; zero-cost plant</t>
  </si>
  <si>
    <t xml:space="preserve">Business Standard — Jawa/Yezdi US tariff disruption</t>
  </si>
  <si>
    <t xml:space="preserve">12 Aug 2025</t>
  </si>
  <si>
    <t xml:space="preserve">c.5,000 units held at US Customs</t>
  </si>
  <si>
    <t xml:space="preserve">Tracxn / Tofler</t>
  </si>
  <si>
    <t xml:space="preserve">Entity-level data for LMM, Susten, Classic Legends, MFCWL. Secondary — treat as indicative, verify against AOC-1.</t>
  </si>
  <si>
    <t xml:space="preserve">Business Today — Anish Shah's five years</t>
  </si>
  <si>
    <t xml:space="preserve">3 April 2026</t>
  </si>
  <si>
    <t xml:space="preserve">Capital allocation discipline; business exits</t>
  </si>
  <si>
    <t xml:space="preserve">Business Today — M&amp;M FY21 results</t>
  </si>
  <si>
    <t xml:space="preserve">28 May 2021</t>
  </si>
  <si>
    <t xml:space="preserve">FY21 continuing-operations PAT Rs 3,702cr</t>
  </si>
</sst>
</file>

<file path=xl/styles.xml><?xml version="1.0" encoding="utf-8"?>
<styleSheet xmlns="http://schemas.openxmlformats.org/spreadsheetml/2006/main">
  <numFmts count="4">
    <numFmt numFmtId="164" formatCode="General"/>
    <numFmt numFmtId="165" formatCode="0.0%;\(0.0%\);\-"/>
    <numFmt numFmtId="166" formatCode="#,##0;\(#,##0\);\-"/>
    <numFmt numFmtId="167" formatCode="#,##0.0;\(#,##0.0\);\-"/>
  </numFmts>
  <fonts count="15">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FFFFFF"/>
      <name val="Arial"/>
      <family val="0"/>
      <charset val="1"/>
    </font>
    <font>
      <b val="true"/>
      <sz val="10"/>
      <name val="Arial"/>
      <family val="0"/>
      <charset val="1"/>
    </font>
    <font>
      <sz val="10"/>
      <name val="Arial"/>
      <family val="0"/>
      <charset val="1"/>
    </font>
    <font>
      <b val="true"/>
      <sz val="10"/>
      <color rgb="FFFFFFFF"/>
      <name val="Arial"/>
      <family val="0"/>
      <charset val="1"/>
    </font>
    <font>
      <i val="true"/>
      <sz val="9"/>
      <color rgb="FF404040"/>
      <name val="Arial"/>
      <family val="0"/>
      <charset val="1"/>
    </font>
    <font>
      <b val="true"/>
      <sz val="10"/>
      <color rgb="FFFFFF99"/>
      <name val="Arial"/>
      <family val="0"/>
      <charset val="1"/>
    </font>
    <font>
      <i val="true"/>
      <sz val="10"/>
      <color rgb="FF808080"/>
      <name val="Arial"/>
      <family val="0"/>
      <charset val="1"/>
    </font>
    <font>
      <sz val="10"/>
      <color rgb="FF0000FF"/>
      <name val="Arial"/>
      <family val="0"/>
      <charset val="1"/>
    </font>
    <font>
      <i val="true"/>
      <sz val="8"/>
      <color rgb="FF606060"/>
      <name val="Arial"/>
      <family val="0"/>
      <charset val="1"/>
    </font>
    <font>
      <b val="true"/>
      <sz val="10"/>
      <color rgb="FF0000FF"/>
      <name val="Arial"/>
      <family val="0"/>
      <charset val="1"/>
    </font>
  </fonts>
  <fills count="10">
    <fill>
      <patternFill patternType="none"/>
    </fill>
    <fill>
      <patternFill patternType="gray125"/>
    </fill>
    <fill>
      <patternFill patternType="solid">
        <fgColor rgb="FF3B3B3B"/>
        <bgColor rgb="FF404040"/>
      </patternFill>
    </fill>
    <fill>
      <patternFill patternType="solid">
        <fgColor rgb="FF595959"/>
        <bgColor rgb="FF606060"/>
      </patternFill>
    </fill>
    <fill>
      <patternFill patternType="solid">
        <fgColor rgb="FF7A6A2F"/>
        <bgColor rgb="FF606060"/>
      </patternFill>
    </fill>
    <fill>
      <patternFill patternType="solid">
        <fgColor rgb="FFBFBFBF"/>
        <bgColor rgb="FFD9D9D9"/>
      </patternFill>
    </fill>
    <fill>
      <patternFill patternType="solid">
        <fgColor rgb="FFFFF2CC"/>
        <bgColor rgb="FFFFFFFF"/>
      </patternFill>
    </fill>
    <fill>
      <patternFill patternType="solid">
        <fgColor rgb="FFD9D9D9"/>
        <bgColor rgb="FFFFC7CE"/>
      </patternFill>
    </fill>
    <fill>
      <patternFill patternType="solid">
        <fgColor rgb="FF4EC9A0"/>
        <bgColor rgb="FF339966"/>
      </patternFill>
    </fill>
    <fill>
      <patternFill patternType="solid">
        <fgColor rgb="FFFFC7CE"/>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2" borderId="0" xfId="0" applyFont="true" applyBorder="true" applyAlignment="true" applyProtection="false">
      <alignment horizontal="general" vertical="center" textRotation="0" wrapText="false" indent="1"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6" fontId="6" fillId="5"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9" fillId="6" borderId="0"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false" applyProtection="false">
      <alignment horizontal="general" vertical="bottom" textRotation="0" wrapText="fals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6" fillId="9" borderId="1" xfId="0" applyFont="tru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A6A2F"/>
      <rgbColor rgb="FF800080"/>
      <rgbColor rgb="FF008080"/>
      <rgbColor rgb="FFBFBFBF"/>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4EC9A0"/>
      <rgbColor rgb="FF99CC00"/>
      <rgbColor rgb="FFFFCC00"/>
      <rgbColor rgb="FFFF9900"/>
      <rgbColor rgb="FFFF6600"/>
      <rgbColor rgb="FF606060"/>
      <rgbColor rgb="FF969696"/>
      <rgbColor rgb="FF003366"/>
      <rgbColor rgb="FF339966"/>
      <rgbColor rgb="FF003300"/>
      <rgbColor rgb="FF404040"/>
      <rgbColor rgb="FF993300"/>
      <rgbColor rgb="FF993366"/>
      <rgbColor rgb="FF595959"/>
      <rgbColor rgb="FF3B3B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96"/>
  </cols>
  <sheetData>
    <row r="1" customFormat="false" ht="25.5" hidden="false" customHeight="true" outlineLevel="0" collapsed="false">
      <c r="A1" s="1" t="s">
        <v>0</v>
      </c>
      <c r="B1" s="1"/>
    </row>
    <row r="2" customFormat="false" ht="15.75" hidden="false" customHeight="true" outlineLevel="0" collapsed="false">
      <c r="A2" s="2" t="s">
        <v>1</v>
      </c>
      <c r="B2" s="2"/>
    </row>
    <row r="4" customFormat="false" ht="30" hidden="false" customHeight="true" outlineLevel="0" collapsed="false">
      <c r="A4" s="3" t="s">
        <v>2</v>
      </c>
      <c r="B4" s="4" t="s">
        <v>3</v>
      </c>
    </row>
    <row r="6" customFormat="false" ht="105" hidden="false" customHeight="true" outlineLevel="0" collapsed="false">
      <c r="A6" s="3" t="s">
        <v>4</v>
      </c>
      <c r="B6" s="4" t="s">
        <v>5</v>
      </c>
    </row>
    <row r="8" customFormat="false" ht="60" hidden="false" customHeight="true" outlineLevel="0" collapsed="false">
      <c r="A8" s="3" t="s">
        <v>6</v>
      </c>
      <c r="B8" s="4" t="s">
        <v>7</v>
      </c>
    </row>
    <row r="10" customFormat="false" ht="60" hidden="false" customHeight="true" outlineLevel="0" collapsed="false">
      <c r="A10" s="3" t="s">
        <v>8</v>
      </c>
      <c r="B10" s="4" t="s">
        <v>9</v>
      </c>
    </row>
    <row r="12" customFormat="false" ht="285" hidden="false" customHeight="true" outlineLevel="0" collapsed="false">
      <c r="A12" s="3" t="s">
        <v>10</v>
      </c>
      <c r="B12" s="4" t="s">
        <v>11</v>
      </c>
    </row>
    <row r="14" customFormat="false" ht="60" hidden="false" customHeight="true" outlineLevel="0" collapsed="false">
      <c r="A14" s="3" t="s">
        <v>12</v>
      </c>
      <c r="B14" s="4" t="s">
        <v>13</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
    <col collapsed="false" customWidth="true" hidden="false" outlineLevel="0" max="3" min="3" style="0" width="10"/>
    <col collapsed="false" customWidth="true" hidden="false" outlineLevel="0" max="4" min="4" style="0" width="62"/>
    <col collapsed="false" customWidth="true" hidden="false" outlineLevel="0" max="5" min="5" style="0" width="46"/>
    <col collapsed="false" customWidth="true" hidden="false" outlineLevel="0" max="6" min="6" style="0" width="66"/>
    <col collapsed="false" customWidth="true" hidden="false" outlineLevel="0" max="7" min="7" style="0" width="40"/>
    <col collapsed="false" customWidth="true" hidden="false" outlineLevel="0" max="8" min="8" style="0" width="34"/>
  </cols>
  <sheetData>
    <row r="1" customFormat="false" ht="25.5" hidden="false" customHeight="true" outlineLevel="0" collapsed="false">
      <c r="A1" s="1" t="s">
        <v>14</v>
      </c>
      <c r="B1" s="1"/>
      <c r="C1" s="1"/>
      <c r="D1" s="1"/>
      <c r="E1" s="1"/>
      <c r="F1" s="1"/>
      <c r="G1" s="1"/>
      <c r="H1" s="1"/>
    </row>
    <row r="2" customFormat="false" ht="15.75" hidden="false" customHeight="true" outlineLevel="0" collapsed="false">
      <c r="A2" s="2" t="s">
        <v>15</v>
      </c>
      <c r="B2" s="2"/>
      <c r="C2" s="2"/>
      <c r="D2" s="2"/>
      <c r="E2" s="2"/>
      <c r="F2" s="2"/>
      <c r="G2" s="2"/>
      <c r="H2" s="2"/>
    </row>
    <row r="4" customFormat="false" ht="33.75" hidden="false" customHeight="true" outlineLevel="0" collapsed="false">
      <c r="A4" s="5" t="s">
        <v>16</v>
      </c>
      <c r="B4" s="5" t="s">
        <v>17</v>
      </c>
      <c r="C4" s="5" t="s">
        <v>18</v>
      </c>
      <c r="D4" s="5" t="s">
        <v>19</v>
      </c>
      <c r="E4" s="5" t="s">
        <v>20</v>
      </c>
      <c r="F4" s="5" t="s">
        <v>21</v>
      </c>
      <c r="G4" s="5" t="s">
        <v>22</v>
      </c>
      <c r="H4" s="5" t="s">
        <v>23</v>
      </c>
    </row>
    <row r="5" customFormat="false" ht="117.75" hidden="false" customHeight="true" outlineLevel="0" collapsed="false">
      <c r="A5" s="6" t="s">
        <v>24</v>
      </c>
      <c r="B5" s="7" t="s">
        <v>25</v>
      </c>
      <c r="C5" s="8" t="n">
        <v>0.7579</v>
      </c>
      <c r="D5" s="9" t="s">
        <v>26</v>
      </c>
      <c r="E5" s="9" t="s">
        <v>27</v>
      </c>
      <c r="F5" s="9" t="s">
        <v>28</v>
      </c>
      <c r="G5" s="9" t="s">
        <v>29</v>
      </c>
      <c r="H5" s="10" t="s">
        <v>30</v>
      </c>
    </row>
    <row r="6" customFormat="false" ht="117.75" hidden="false" customHeight="true" outlineLevel="0" collapsed="false">
      <c r="A6" s="6" t="s">
        <v>31</v>
      </c>
      <c r="B6" s="7" t="s">
        <v>25</v>
      </c>
      <c r="C6" s="8" t="n">
        <v>0.5896</v>
      </c>
      <c r="D6" s="9" t="s">
        <v>32</v>
      </c>
      <c r="E6" s="9" t="s">
        <v>33</v>
      </c>
      <c r="F6" s="9" t="s">
        <v>34</v>
      </c>
      <c r="G6" s="9" t="s">
        <v>35</v>
      </c>
      <c r="H6" s="10" t="s">
        <v>36</v>
      </c>
    </row>
    <row r="7" customFormat="false" ht="117.75" hidden="false" customHeight="true" outlineLevel="0" collapsed="false">
      <c r="A7" s="6" t="s">
        <v>37</v>
      </c>
      <c r="B7" s="7" t="s">
        <v>25</v>
      </c>
      <c r="C7" s="8" t="n">
        <v>0.7</v>
      </c>
      <c r="D7" s="9" t="s">
        <v>38</v>
      </c>
      <c r="E7" s="9" t="s">
        <v>39</v>
      </c>
      <c r="F7" s="9" t="s">
        <v>40</v>
      </c>
      <c r="G7" s="9" t="s">
        <v>41</v>
      </c>
      <c r="H7" s="10" t="s">
        <v>42</v>
      </c>
    </row>
    <row r="8" customFormat="false" ht="117.75" hidden="false" customHeight="true" outlineLevel="0" collapsed="false">
      <c r="A8" s="6" t="s">
        <v>43</v>
      </c>
      <c r="B8" s="7" t="s">
        <v>25</v>
      </c>
      <c r="C8" s="8" t="n">
        <v>0.58</v>
      </c>
      <c r="D8" s="9" t="s">
        <v>44</v>
      </c>
      <c r="E8" s="9" t="s">
        <v>45</v>
      </c>
      <c r="F8" s="9" t="s">
        <v>46</v>
      </c>
      <c r="G8" s="9" t="s">
        <v>47</v>
      </c>
      <c r="H8" s="10" t="s">
        <v>48</v>
      </c>
    </row>
    <row r="9" customFormat="false" ht="117.75" hidden="false" customHeight="true" outlineLevel="0" collapsed="false">
      <c r="A9" s="6" t="s">
        <v>49</v>
      </c>
      <c r="B9" s="7" t="s">
        <v>25</v>
      </c>
      <c r="C9" s="8" t="n">
        <v>0.67</v>
      </c>
      <c r="D9" s="9" t="s">
        <v>50</v>
      </c>
      <c r="E9" s="9" t="s">
        <v>51</v>
      </c>
      <c r="F9" s="9" t="s">
        <v>52</v>
      </c>
      <c r="G9" s="9" t="s">
        <v>53</v>
      </c>
      <c r="H9" s="10" t="s">
        <v>48</v>
      </c>
    </row>
    <row r="10" customFormat="false" ht="117.75" hidden="false" customHeight="true" outlineLevel="0" collapsed="false">
      <c r="A10" s="6" t="s">
        <v>54</v>
      </c>
      <c r="B10" s="7" t="s">
        <v>25</v>
      </c>
      <c r="C10" s="8" t="n">
        <v>0.51</v>
      </c>
      <c r="D10" s="9" t="s">
        <v>55</v>
      </c>
      <c r="E10" s="9" t="s">
        <v>56</v>
      </c>
      <c r="F10" s="9" t="s">
        <v>57</v>
      </c>
      <c r="G10" s="9" t="s">
        <v>58</v>
      </c>
      <c r="H10" s="10" t="s">
        <v>48</v>
      </c>
    </row>
    <row r="11" customFormat="false" ht="117.75" hidden="false" customHeight="true" outlineLevel="0" collapsed="false">
      <c r="A11" s="6" t="s">
        <v>59</v>
      </c>
      <c r="B11" s="7" t="s">
        <v>60</v>
      </c>
      <c r="C11" s="8" t="n">
        <v>1</v>
      </c>
      <c r="D11" s="9" t="s">
        <v>61</v>
      </c>
      <c r="E11" s="9" t="s">
        <v>62</v>
      </c>
      <c r="F11" s="9" t="s">
        <v>63</v>
      </c>
      <c r="G11" s="9" t="s">
        <v>64</v>
      </c>
      <c r="H11" s="10" t="s">
        <v>65</v>
      </c>
    </row>
    <row r="12" customFormat="false" ht="117.75" hidden="false" customHeight="true" outlineLevel="0" collapsed="false">
      <c r="A12" s="6" t="s">
        <v>66</v>
      </c>
      <c r="B12" s="7" t="s">
        <v>60</v>
      </c>
      <c r="C12" s="8" t="n">
        <v>1</v>
      </c>
      <c r="D12" s="9" t="s">
        <v>67</v>
      </c>
      <c r="E12" s="9" t="s">
        <v>68</v>
      </c>
      <c r="F12" s="9" t="s">
        <v>69</v>
      </c>
      <c r="G12" s="9" t="s">
        <v>70</v>
      </c>
      <c r="H12" s="10" t="s">
        <v>71</v>
      </c>
    </row>
    <row r="13" customFormat="false" ht="117.75" hidden="false" customHeight="true" outlineLevel="0" collapsed="false">
      <c r="A13" s="6" t="s">
        <v>72</v>
      </c>
      <c r="B13" s="7" t="s">
        <v>60</v>
      </c>
      <c r="C13" s="8" t="n">
        <v>0.6</v>
      </c>
      <c r="D13" s="9" t="s">
        <v>73</v>
      </c>
      <c r="E13" s="9" t="s">
        <v>74</v>
      </c>
      <c r="F13" s="9" t="s">
        <v>75</v>
      </c>
      <c r="G13" s="9" t="s">
        <v>76</v>
      </c>
      <c r="H13" s="10" t="s">
        <v>65</v>
      </c>
    </row>
    <row r="14" customFormat="false" ht="117.75" hidden="false" customHeight="true" outlineLevel="0" collapsed="false">
      <c r="A14" s="6" t="s">
        <v>77</v>
      </c>
      <c r="B14" s="7" t="s">
        <v>60</v>
      </c>
      <c r="C14" s="8" t="n">
        <v>0.545</v>
      </c>
      <c r="D14" s="9" t="s">
        <v>78</v>
      </c>
      <c r="E14" s="9" t="s">
        <v>79</v>
      </c>
      <c r="F14" s="9" t="s">
        <v>80</v>
      </c>
      <c r="G14" s="9" t="s">
        <v>81</v>
      </c>
      <c r="H14" s="10" t="s">
        <v>82</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11" min="2" style="0" width="10"/>
    <col collapsed="false" customWidth="true" hidden="false" outlineLevel="0" max="12" min="12" style="0" width="12"/>
    <col collapsed="false" customWidth="true" hidden="false" outlineLevel="0" max="13" min="13" style="0" width="78"/>
    <col collapsed="false" customWidth="true" hidden="false" outlineLevel="0" max="14" min="14" style="0" width="3"/>
  </cols>
  <sheetData>
    <row r="1" customFormat="false" ht="25.5" hidden="false" customHeight="true" outlineLevel="0" collapsed="false">
      <c r="A1" s="1" t="s">
        <v>83</v>
      </c>
      <c r="B1" s="1"/>
      <c r="C1" s="1"/>
      <c r="D1" s="1"/>
      <c r="E1" s="1"/>
      <c r="F1" s="1"/>
      <c r="G1" s="1"/>
      <c r="H1" s="1"/>
      <c r="I1" s="1"/>
      <c r="J1" s="1"/>
      <c r="K1" s="1"/>
      <c r="L1" s="1"/>
      <c r="M1" s="1"/>
      <c r="N1" s="1"/>
    </row>
    <row r="2" customFormat="false" ht="15.75" hidden="false" customHeight="true" outlineLevel="0" collapsed="false">
      <c r="A2" s="2" t="s">
        <v>84</v>
      </c>
      <c r="B2" s="2"/>
      <c r="C2" s="2"/>
      <c r="D2" s="2"/>
      <c r="E2" s="2"/>
      <c r="F2" s="2"/>
      <c r="G2" s="2"/>
      <c r="H2" s="2"/>
      <c r="I2" s="2"/>
      <c r="J2" s="2"/>
      <c r="K2" s="2"/>
      <c r="L2" s="2"/>
      <c r="M2" s="2"/>
      <c r="N2" s="2"/>
    </row>
    <row r="4" customFormat="false" ht="27.75" hidden="false" customHeight="true" outlineLevel="0" collapsed="false">
      <c r="A4" s="5" t="s">
        <v>85</v>
      </c>
      <c r="B4" s="5" t="s">
        <v>86</v>
      </c>
      <c r="C4" s="5" t="s">
        <v>87</v>
      </c>
      <c r="D4" s="5" t="s">
        <v>88</v>
      </c>
      <c r="E4" s="5" t="s">
        <v>89</v>
      </c>
      <c r="F4" s="5" t="s">
        <v>90</v>
      </c>
      <c r="G4" s="5" t="s">
        <v>91</v>
      </c>
      <c r="H4" s="11" t="s">
        <v>92</v>
      </c>
      <c r="I4" s="11" t="s">
        <v>93</v>
      </c>
      <c r="J4" s="11" t="s">
        <v>94</v>
      </c>
      <c r="K4" s="11" t="s">
        <v>95</v>
      </c>
      <c r="L4" s="5" t="s">
        <v>96</v>
      </c>
      <c r="M4" s="5" t="s">
        <v>97</v>
      </c>
    </row>
    <row r="5" customFormat="false" ht="43.5" hidden="false" customHeight="true" outlineLevel="0" collapsed="false">
      <c r="A5" s="6" t="s">
        <v>24</v>
      </c>
      <c r="B5" s="12" t="s">
        <v>98</v>
      </c>
      <c r="C5" s="12" t="s">
        <v>98</v>
      </c>
      <c r="D5" s="12" t="s">
        <v>98</v>
      </c>
      <c r="E5" s="13" t="n">
        <v>2367</v>
      </c>
      <c r="F5" s="13" t="n">
        <v>3880</v>
      </c>
      <c r="G5" s="13" t="n">
        <v>4798</v>
      </c>
      <c r="H5" s="14" t="n">
        <v>6000</v>
      </c>
      <c r="I5" s="14" t="n">
        <v>7500</v>
      </c>
      <c r="J5" s="14" t="n">
        <v>9200</v>
      </c>
      <c r="K5" s="14" t="n">
        <v>11000</v>
      </c>
      <c r="L5" s="15" t="n">
        <f aca="false">(K5/G5)^(1/4)-1</f>
        <v>0.230504228308267</v>
      </c>
      <c r="M5" s="16" t="s">
        <v>99</v>
      </c>
    </row>
    <row r="6" customFormat="false" ht="43.5" hidden="false" customHeight="true" outlineLevel="0" collapsed="false">
      <c r="A6" s="6" t="s">
        <v>31</v>
      </c>
      <c r="B6" s="12" t="s">
        <v>98</v>
      </c>
      <c r="C6" s="12" t="s">
        <v>98</v>
      </c>
      <c r="D6" s="12" t="s">
        <v>98</v>
      </c>
      <c r="E6" s="13" t="n">
        <v>2196</v>
      </c>
      <c r="F6" s="12" t="s">
        <v>98</v>
      </c>
      <c r="G6" s="13" t="n">
        <v>5827</v>
      </c>
      <c r="H6" s="14" t="n">
        <v>7000</v>
      </c>
      <c r="I6" s="14" t="n">
        <v>8500</v>
      </c>
      <c r="J6" s="14" t="n">
        <v>10300</v>
      </c>
      <c r="K6" s="14" t="n">
        <v>12100</v>
      </c>
      <c r="L6" s="15" t="n">
        <f aca="false">(K6/G6)^(1/4)-1</f>
        <v>0.200425156477843</v>
      </c>
      <c r="M6" s="16" t="s">
        <v>100</v>
      </c>
    </row>
    <row r="7" customFormat="false" ht="43.5" hidden="false" customHeight="true" outlineLevel="0" collapsed="false">
      <c r="A7" s="6" t="s">
        <v>37</v>
      </c>
      <c r="B7" s="12" t="s">
        <v>98</v>
      </c>
      <c r="C7" s="12" t="s">
        <v>98</v>
      </c>
      <c r="D7" s="12" t="s">
        <v>98</v>
      </c>
      <c r="E7" s="13" t="n">
        <v>195</v>
      </c>
      <c r="F7" s="13" t="n">
        <v>509</v>
      </c>
      <c r="G7" s="12" t="s">
        <v>98</v>
      </c>
      <c r="H7" s="14" t="n">
        <v>1200</v>
      </c>
      <c r="I7" s="14" t="n">
        <v>2000</v>
      </c>
      <c r="J7" s="14" t="n">
        <v>3000</v>
      </c>
      <c r="K7" s="14" t="n">
        <v>4200</v>
      </c>
      <c r="L7" s="12" t="s">
        <v>98</v>
      </c>
      <c r="M7" s="16" t="s">
        <v>101</v>
      </c>
    </row>
    <row r="8" customFormat="false" ht="43.5" hidden="false" customHeight="true" outlineLevel="0" collapsed="false">
      <c r="A8" s="6" t="s">
        <v>43</v>
      </c>
      <c r="B8" s="13" t="n">
        <v>3264</v>
      </c>
      <c r="C8" s="12" t="s">
        <v>98</v>
      </c>
      <c r="D8" s="12" t="s">
        <v>98</v>
      </c>
      <c r="E8" s="13" t="n">
        <v>5506</v>
      </c>
      <c r="F8" s="13" t="n">
        <v>6105</v>
      </c>
      <c r="G8" s="13" t="n">
        <v>6999</v>
      </c>
      <c r="H8" s="14" t="n">
        <v>8050</v>
      </c>
      <c r="I8" s="14" t="n">
        <v>9250</v>
      </c>
      <c r="J8" s="14" t="n">
        <v>10600</v>
      </c>
      <c r="K8" s="14" t="n">
        <v>12100</v>
      </c>
      <c r="L8" s="15" t="n">
        <f aca="false">(K8/G8)^(1/4)-1</f>
        <v>0.146667079474339</v>
      </c>
      <c r="M8" s="16" t="s">
        <v>102</v>
      </c>
    </row>
    <row r="9" customFormat="false" ht="43.5" hidden="false" customHeight="true" outlineLevel="0" collapsed="false">
      <c r="A9" s="6" t="s">
        <v>49</v>
      </c>
      <c r="B9" s="12" t="s">
        <v>98</v>
      </c>
      <c r="C9" s="12" t="s">
        <v>98</v>
      </c>
      <c r="D9" s="12" t="s">
        <v>98</v>
      </c>
      <c r="E9" s="13" t="n">
        <v>2700</v>
      </c>
      <c r="F9" s="13" t="n">
        <v>2910</v>
      </c>
      <c r="G9" s="13" t="n">
        <v>3116</v>
      </c>
      <c r="H9" s="14" t="n">
        <v>3450</v>
      </c>
      <c r="I9" s="14" t="n">
        <v>3850</v>
      </c>
      <c r="J9" s="14" t="n">
        <v>4300</v>
      </c>
      <c r="K9" s="14" t="n">
        <v>4800</v>
      </c>
      <c r="L9" s="15" t="n">
        <f aca="false">(K9/G9)^(1/4)-1</f>
        <v>0.114066068811084</v>
      </c>
      <c r="M9" s="16" t="s">
        <v>103</v>
      </c>
    </row>
    <row r="10" customFormat="false" ht="43.5" hidden="false" customHeight="true" outlineLevel="0" collapsed="false">
      <c r="A10" s="6" t="s">
        <v>54</v>
      </c>
      <c r="B10" s="12" t="s">
        <v>98</v>
      </c>
      <c r="C10" s="12" t="s">
        <v>98</v>
      </c>
      <c r="D10" s="12" t="s">
        <v>98</v>
      </c>
      <c r="E10" s="13" t="n">
        <v>279</v>
      </c>
      <c r="F10" s="13" t="n">
        <v>464</v>
      </c>
      <c r="G10" s="13" t="n">
        <v>4118</v>
      </c>
      <c r="H10" s="14" t="n">
        <v>4600</v>
      </c>
      <c r="I10" s="14" t="n">
        <v>5800</v>
      </c>
      <c r="J10" s="14" t="n">
        <v>7200</v>
      </c>
      <c r="K10" s="14" t="n">
        <v>8800</v>
      </c>
      <c r="L10" s="15" t="n">
        <f aca="false">(K10/G10)^(1/4)-1</f>
        <v>0.209063421677093</v>
      </c>
      <c r="M10" s="16" t="s">
        <v>104</v>
      </c>
    </row>
    <row r="11" customFormat="false" ht="43.5" hidden="false" customHeight="true" outlineLevel="0" collapsed="false">
      <c r="A11" s="6" t="s">
        <v>59</v>
      </c>
      <c r="B11" s="12" t="s">
        <v>98</v>
      </c>
      <c r="C11" s="12" t="s">
        <v>98</v>
      </c>
      <c r="D11" s="13" t="n">
        <v>4188</v>
      </c>
      <c r="E11" s="13" t="n">
        <v>4600</v>
      </c>
      <c r="F11" s="12" t="s">
        <v>98</v>
      </c>
      <c r="G11" s="12" t="s">
        <v>98</v>
      </c>
      <c r="H11" s="14" t="n">
        <v>5600</v>
      </c>
      <c r="I11" s="14" t="n">
        <v>6400</v>
      </c>
      <c r="J11" s="14" t="n">
        <v>7300</v>
      </c>
      <c r="K11" s="14" t="n">
        <v>8300</v>
      </c>
      <c r="L11" s="12" t="s">
        <v>98</v>
      </c>
      <c r="M11" s="16" t="s">
        <v>105</v>
      </c>
    </row>
    <row r="12" customFormat="false" ht="43.5" hidden="false" customHeight="true" outlineLevel="0" collapsed="false">
      <c r="A12" s="6" t="s">
        <v>66</v>
      </c>
      <c r="B12" s="12" t="s">
        <v>98</v>
      </c>
      <c r="C12" s="12" t="s">
        <v>98</v>
      </c>
      <c r="D12" s="12" t="s">
        <v>98</v>
      </c>
      <c r="E12" s="13" t="n">
        <v>235</v>
      </c>
      <c r="F12" s="13" t="n">
        <v>258</v>
      </c>
      <c r="G12" s="12" t="s">
        <v>98</v>
      </c>
      <c r="H12" s="14" t="n">
        <v>340</v>
      </c>
      <c r="I12" s="14" t="n">
        <v>470</v>
      </c>
      <c r="J12" s="14" t="n">
        <v>650</v>
      </c>
      <c r="K12" s="14" t="n">
        <v>900</v>
      </c>
      <c r="L12" s="12" t="s">
        <v>98</v>
      </c>
      <c r="M12" s="16" t="s">
        <v>106</v>
      </c>
    </row>
    <row r="13" customFormat="false" ht="43.5" hidden="false" customHeight="true" outlineLevel="0" collapsed="false">
      <c r="A13" s="6" t="s">
        <v>72</v>
      </c>
      <c r="B13" s="12" t="s">
        <v>98</v>
      </c>
      <c r="C13" s="12" t="s">
        <v>98</v>
      </c>
      <c r="D13" s="12" t="s">
        <v>98</v>
      </c>
      <c r="E13" s="12" t="s">
        <v>98</v>
      </c>
      <c r="F13" s="13" t="n">
        <v>600</v>
      </c>
      <c r="G13" s="13" t="n">
        <v>900</v>
      </c>
      <c r="H13" s="14" t="n">
        <v>1250</v>
      </c>
      <c r="I13" s="14" t="n">
        <v>1700</v>
      </c>
      <c r="J13" s="14" t="n">
        <v>2100</v>
      </c>
      <c r="K13" s="14" t="n">
        <v>2550</v>
      </c>
      <c r="L13" s="15" t="n">
        <f aca="false">(K13/G13)^(1/4)-1</f>
        <v>0.297401565846267</v>
      </c>
      <c r="M13" s="16" t="s">
        <v>107</v>
      </c>
    </row>
    <row r="14" customFormat="false" ht="43.5" hidden="false" customHeight="true" outlineLevel="0" collapsed="false">
      <c r="A14" s="6" t="s">
        <v>77</v>
      </c>
      <c r="B14" s="12" t="s">
        <v>98</v>
      </c>
      <c r="C14" s="12" t="s">
        <v>98</v>
      </c>
      <c r="D14" s="12" t="s">
        <v>98</v>
      </c>
      <c r="E14" s="13" t="n">
        <v>500</v>
      </c>
      <c r="F14" s="13" t="n">
        <v>313</v>
      </c>
      <c r="G14" s="12" t="s">
        <v>98</v>
      </c>
      <c r="H14" s="14" t="n">
        <v>380</v>
      </c>
      <c r="I14" s="14" t="n">
        <v>470</v>
      </c>
      <c r="J14" s="14" t="n">
        <v>580</v>
      </c>
      <c r="K14" s="14" t="n">
        <v>720</v>
      </c>
      <c r="L14" s="12" t="s">
        <v>98</v>
      </c>
      <c r="M14" s="16" t="s">
        <v>108</v>
      </c>
    </row>
    <row r="15" customFormat="false" ht="30" hidden="false" customHeight="true" outlineLevel="0" collapsed="false">
      <c r="A15" s="17" t="s">
        <v>109</v>
      </c>
      <c r="B15" s="18" t="n">
        <f aca="false">SUM(B5:B14)</f>
        <v>3264</v>
      </c>
      <c r="C15" s="18" t="n">
        <f aca="false">SUM(C5:C14)</f>
        <v>0</v>
      </c>
      <c r="D15" s="18" t="n">
        <f aca="false">SUM(D5:D14)</f>
        <v>4188</v>
      </c>
      <c r="E15" s="18" t="n">
        <f aca="false">SUM(E5:E14)</f>
        <v>18578</v>
      </c>
      <c r="F15" s="18" t="n">
        <f aca="false">SUM(F5:F14)</f>
        <v>15039</v>
      </c>
      <c r="G15" s="18" t="n">
        <f aca="false">SUM(G5:G14)</f>
        <v>25758</v>
      </c>
      <c r="H15" s="18" t="n">
        <f aca="false">SUM(H5:H14)</f>
        <v>37870</v>
      </c>
      <c r="I15" s="18" t="n">
        <f aca="false">SUM(I5:I14)</f>
        <v>45940</v>
      </c>
      <c r="J15" s="18" t="n">
        <f aca="false">SUM(J5:J14)</f>
        <v>55230</v>
      </c>
      <c r="K15" s="18" t="n">
        <f aca="false">SUM(K5:K14)</f>
        <v>65470</v>
      </c>
      <c r="L15" s="19"/>
      <c r="M15" s="20" t="s">
        <v>110</v>
      </c>
    </row>
    <row r="17" customFormat="false" ht="33.75" hidden="false" customHeight="true" outlineLevel="0" collapsed="false">
      <c r="A17" s="21" t="s">
        <v>111</v>
      </c>
      <c r="B17" s="21"/>
      <c r="C17" s="21"/>
      <c r="D17" s="21"/>
      <c r="E17" s="21"/>
      <c r="F17" s="21"/>
      <c r="G17" s="21"/>
      <c r="H17" s="21"/>
      <c r="I17" s="21"/>
      <c r="J17" s="21"/>
      <c r="K17" s="21"/>
      <c r="L17" s="21"/>
      <c r="M17" s="21"/>
    </row>
  </sheetData>
  <mergeCells count="3">
    <mergeCell ref="A1:N1"/>
    <mergeCell ref="A2:N2"/>
    <mergeCell ref="A17:M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11" min="2" style="0" width="10"/>
    <col collapsed="false" customWidth="true" hidden="false" outlineLevel="0" max="12" min="12" style="0" width="12"/>
    <col collapsed="false" customWidth="true" hidden="false" outlineLevel="0" max="13" min="13" style="0" width="78"/>
    <col collapsed="false" customWidth="true" hidden="false" outlineLevel="0" max="14" min="14" style="0" width="3"/>
  </cols>
  <sheetData>
    <row r="1" customFormat="false" ht="25.5" hidden="false" customHeight="true" outlineLevel="0" collapsed="false">
      <c r="A1" s="1" t="s">
        <v>112</v>
      </c>
      <c r="B1" s="1"/>
      <c r="C1" s="1"/>
      <c r="D1" s="1"/>
      <c r="E1" s="1"/>
      <c r="F1" s="1"/>
      <c r="G1" s="1"/>
      <c r="H1" s="1"/>
      <c r="I1" s="1"/>
      <c r="J1" s="1"/>
      <c r="K1" s="1"/>
      <c r="L1" s="1"/>
      <c r="M1" s="1"/>
      <c r="N1" s="1"/>
    </row>
    <row r="2" customFormat="false" ht="15.75" hidden="false" customHeight="true" outlineLevel="0" collapsed="false">
      <c r="A2" s="2" t="s">
        <v>113</v>
      </c>
      <c r="B2" s="2"/>
      <c r="C2" s="2"/>
      <c r="D2" s="2"/>
      <c r="E2" s="2"/>
      <c r="F2" s="2"/>
      <c r="G2" s="2"/>
      <c r="H2" s="2"/>
      <c r="I2" s="2"/>
      <c r="J2" s="2"/>
      <c r="K2" s="2"/>
      <c r="L2" s="2"/>
      <c r="M2" s="2"/>
      <c r="N2" s="2"/>
    </row>
    <row r="4" customFormat="false" ht="27.75" hidden="false" customHeight="true" outlineLevel="0" collapsed="false">
      <c r="A4" s="5" t="s">
        <v>85</v>
      </c>
      <c r="B4" s="5" t="s">
        <v>86</v>
      </c>
      <c r="C4" s="5" t="s">
        <v>87</v>
      </c>
      <c r="D4" s="5" t="s">
        <v>88</v>
      </c>
      <c r="E4" s="5" t="s">
        <v>89</v>
      </c>
      <c r="F4" s="5" t="s">
        <v>90</v>
      </c>
      <c r="G4" s="5" t="s">
        <v>91</v>
      </c>
      <c r="H4" s="11" t="s">
        <v>92</v>
      </c>
      <c r="I4" s="11" t="s">
        <v>93</v>
      </c>
      <c r="J4" s="11" t="s">
        <v>94</v>
      </c>
      <c r="K4" s="11" t="s">
        <v>95</v>
      </c>
      <c r="L4" s="5" t="s">
        <v>96</v>
      </c>
      <c r="M4" s="5" t="s">
        <v>97</v>
      </c>
    </row>
    <row r="5" customFormat="false" ht="43.5" hidden="false" customHeight="true" outlineLevel="0" collapsed="false">
      <c r="A5" s="6" t="s">
        <v>24</v>
      </c>
      <c r="B5" s="12" t="s">
        <v>98</v>
      </c>
      <c r="C5" s="12" t="s">
        <v>98</v>
      </c>
      <c r="D5" s="12" t="s">
        <v>98</v>
      </c>
      <c r="E5" s="12" t="s">
        <v>98</v>
      </c>
      <c r="F5" s="12" t="s">
        <v>98</v>
      </c>
      <c r="G5" s="12" t="s">
        <v>98</v>
      </c>
      <c r="H5" s="14" t="n">
        <v>480</v>
      </c>
      <c r="I5" s="14" t="n">
        <v>675</v>
      </c>
      <c r="J5" s="14" t="n">
        <v>920</v>
      </c>
      <c r="K5" s="14" t="n">
        <v>1100</v>
      </c>
      <c r="L5" s="12" t="s">
        <v>98</v>
      </c>
      <c r="M5" s="16" t="s">
        <v>114</v>
      </c>
    </row>
    <row r="6" customFormat="false" ht="43.5" hidden="false" customHeight="true" outlineLevel="0" collapsed="false">
      <c r="A6" s="6" t="s">
        <v>31</v>
      </c>
      <c r="B6" s="12" t="s">
        <v>98</v>
      </c>
      <c r="C6" s="12" t="s">
        <v>98</v>
      </c>
      <c r="D6" s="12" t="s">
        <v>98</v>
      </c>
      <c r="E6" s="13" t="n">
        <v>179</v>
      </c>
      <c r="F6" s="12" t="s">
        <v>98</v>
      </c>
      <c r="G6" s="12" t="s">
        <v>98</v>
      </c>
      <c r="H6" s="14" t="n">
        <v>490</v>
      </c>
      <c r="I6" s="14" t="n">
        <v>680</v>
      </c>
      <c r="J6" s="14" t="n">
        <v>900</v>
      </c>
      <c r="K6" s="14" t="n">
        <v>1090</v>
      </c>
      <c r="L6" s="12" t="s">
        <v>98</v>
      </c>
      <c r="M6" s="16" t="s">
        <v>115</v>
      </c>
    </row>
    <row r="7" customFormat="false" ht="43.5" hidden="false" customHeight="true" outlineLevel="0" collapsed="false">
      <c r="A7" s="6" t="s">
        <v>37</v>
      </c>
      <c r="B7" s="12" t="s">
        <v>98</v>
      </c>
      <c r="C7" s="12" t="s">
        <v>98</v>
      </c>
      <c r="D7" s="12" t="s">
        <v>98</v>
      </c>
      <c r="E7" s="12" t="s">
        <v>98</v>
      </c>
      <c r="F7" s="12" t="s">
        <v>98</v>
      </c>
      <c r="G7" s="12" t="s">
        <v>98</v>
      </c>
      <c r="H7" s="14" t="n">
        <v>300</v>
      </c>
      <c r="I7" s="14" t="n">
        <v>540</v>
      </c>
      <c r="J7" s="14" t="n">
        <v>840</v>
      </c>
      <c r="K7" s="14" t="n">
        <v>1220</v>
      </c>
      <c r="L7" s="12" t="s">
        <v>98</v>
      </c>
      <c r="M7" s="16" t="s">
        <v>116</v>
      </c>
    </row>
    <row r="8" customFormat="false" ht="43.5" hidden="false" customHeight="true" outlineLevel="0" collapsed="false">
      <c r="A8" s="6" t="s">
        <v>43</v>
      </c>
      <c r="B8" s="13" t="n">
        <v>190</v>
      </c>
      <c r="C8" s="12" t="s">
        <v>98</v>
      </c>
      <c r="D8" s="12" t="s">
        <v>98</v>
      </c>
      <c r="E8" s="13" t="n">
        <v>229</v>
      </c>
      <c r="F8" s="13" t="n">
        <v>284</v>
      </c>
      <c r="G8" s="13" t="n">
        <v>376</v>
      </c>
      <c r="H8" s="14" t="n">
        <v>470</v>
      </c>
      <c r="I8" s="14" t="n">
        <v>590</v>
      </c>
      <c r="J8" s="14" t="n">
        <v>730</v>
      </c>
      <c r="K8" s="14" t="n">
        <v>880</v>
      </c>
      <c r="L8" s="15" t="n">
        <f aca="false">(K8/G8)^(1/4)-1</f>
        <v>0.236869005680293</v>
      </c>
      <c r="M8" s="16" t="s">
        <v>117</v>
      </c>
    </row>
    <row r="9" customFormat="false" ht="43.5" hidden="false" customHeight="true" outlineLevel="0" collapsed="false">
      <c r="A9" s="6" t="s">
        <v>49</v>
      </c>
      <c r="B9" s="12" t="s">
        <v>98</v>
      </c>
      <c r="C9" s="12" t="s">
        <v>98</v>
      </c>
      <c r="D9" s="12" t="s">
        <v>98</v>
      </c>
      <c r="E9" s="13" t="n">
        <v>629</v>
      </c>
      <c r="F9" s="13" t="n">
        <v>708</v>
      </c>
      <c r="G9" s="12" t="s">
        <v>98</v>
      </c>
      <c r="H9" s="14" t="n">
        <v>820</v>
      </c>
      <c r="I9" s="14" t="n">
        <v>960</v>
      </c>
      <c r="J9" s="14" t="n">
        <v>1120</v>
      </c>
      <c r="K9" s="14" t="n">
        <v>1300</v>
      </c>
      <c r="L9" s="12" t="s">
        <v>98</v>
      </c>
      <c r="M9" s="16" t="s">
        <v>118</v>
      </c>
    </row>
    <row r="10" customFormat="false" ht="43.5" hidden="false" customHeight="true" outlineLevel="0" collapsed="false">
      <c r="A10" s="6" t="s">
        <v>54</v>
      </c>
      <c r="B10" s="12" t="s">
        <v>98</v>
      </c>
      <c r="C10" s="12" t="s">
        <v>98</v>
      </c>
      <c r="D10" s="12" t="s">
        <v>98</v>
      </c>
      <c r="E10" s="12" t="s">
        <v>98</v>
      </c>
      <c r="F10" s="12" t="s">
        <v>98</v>
      </c>
      <c r="G10" s="12" t="s">
        <v>98</v>
      </c>
      <c r="H10" s="14" t="n">
        <v>560</v>
      </c>
      <c r="I10" s="14" t="n">
        <v>780</v>
      </c>
      <c r="J10" s="14" t="n">
        <v>1010</v>
      </c>
      <c r="K10" s="14" t="n">
        <v>1320</v>
      </c>
      <c r="L10" s="12" t="s">
        <v>98</v>
      </c>
      <c r="M10" s="16" t="s">
        <v>119</v>
      </c>
    </row>
    <row r="11" customFormat="false" ht="43.5" hidden="false" customHeight="true" outlineLevel="0" collapsed="false">
      <c r="A11" s="6" t="s">
        <v>59</v>
      </c>
      <c r="B11" s="12" t="s">
        <v>98</v>
      </c>
      <c r="C11" s="12" t="s">
        <v>98</v>
      </c>
      <c r="D11" s="12" t="s">
        <v>98</v>
      </c>
      <c r="E11" s="12" t="s">
        <v>98</v>
      </c>
      <c r="F11" s="13" t="n">
        <v>333</v>
      </c>
      <c r="G11" s="12" t="s">
        <v>98</v>
      </c>
      <c r="H11" s="14" t="n">
        <v>420</v>
      </c>
      <c r="I11" s="14" t="n">
        <v>500</v>
      </c>
      <c r="J11" s="14" t="n">
        <v>590</v>
      </c>
      <c r="K11" s="14" t="n">
        <v>690</v>
      </c>
      <c r="L11" s="12" t="s">
        <v>98</v>
      </c>
      <c r="M11" s="16" t="s">
        <v>120</v>
      </c>
    </row>
    <row r="12" customFormat="false" ht="43.5" hidden="false" customHeight="true" outlineLevel="0" collapsed="false">
      <c r="A12" s="6" t="s">
        <v>66</v>
      </c>
      <c r="B12" s="12" t="s">
        <v>98</v>
      </c>
      <c r="C12" s="12" t="s">
        <v>98</v>
      </c>
      <c r="D12" s="12" t="s">
        <v>98</v>
      </c>
      <c r="E12" s="13" t="n">
        <v>19</v>
      </c>
      <c r="F12" s="13" t="n">
        <v>22</v>
      </c>
      <c r="G12" s="12" t="s">
        <v>98</v>
      </c>
      <c r="H12" s="14" t="n">
        <v>31</v>
      </c>
      <c r="I12" s="14" t="n">
        <v>47</v>
      </c>
      <c r="J12" s="14" t="n">
        <v>72</v>
      </c>
      <c r="K12" s="14" t="n">
        <v>108</v>
      </c>
      <c r="L12" s="12" t="s">
        <v>98</v>
      </c>
      <c r="M12" s="16" t="s">
        <v>121</v>
      </c>
    </row>
    <row r="13" customFormat="false" ht="43.5" hidden="false" customHeight="true" outlineLevel="0" collapsed="false">
      <c r="A13" s="6" t="s">
        <v>72</v>
      </c>
      <c r="B13" s="12" t="s">
        <v>98</v>
      </c>
      <c r="C13" s="12" t="s">
        <v>98</v>
      </c>
      <c r="D13" s="12" t="s">
        <v>98</v>
      </c>
      <c r="E13" s="12" t="s">
        <v>98</v>
      </c>
      <c r="F13" s="12" t="s">
        <v>98</v>
      </c>
      <c r="G13" s="12" t="s">
        <v>98</v>
      </c>
      <c r="H13" s="14" t="n">
        <v>100</v>
      </c>
      <c r="I13" s="14" t="n">
        <v>160</v>
      </c>
      <c r="J13" s="14" t="n">
        <v>215</v>
      </c>
      <c r="K13" s="14" t="n">
        <v>280</v>
      </c>
      <c r="L13" s="12" t="s">
        <v>98</v>
      </c>
      <c r="M13" s="16" t="s">
        <v>116</v>
      </c>
    </row>
    <row r="14" customFormat="false" ht="43.5" hidden="false" customHeight="true" outlineLevel="0" collapsed="false">
      <c r="A14" s="6" t="s">
        <v>77</v>
      </c>
      <c r="B14" s="12" t="s">
        <v>98</v>
      </c>
      <c r="C14" s="12" t="s">
        <v>98</v>
      </c>
      <c r="D14" s="12" t="s">
        <v>98</v>
      </c>
      <c r="E14" s="12" t="s">
        <v>98</v>
      </c>
      <c r="F14" s="12" t="s">
        <v>98</v>
      </c>
      <c r="G14" s="12" t="s">
        <v>98</v>
      </c>
      <c r="H14" s="14" t="n">
        <v>-15</v>
      </c>
      <c r="I14" s="14" t="n">
        <v>10</v>
      </c>
      <c r="J14" s="14" t="n">
        <v>40</v>
      </c>
      <c r="K14" s="14" t="n">
        <v>80</v>
      </c>
      <c r="L14" s="12" t="s">
        <v>98</v>
      </c>
      <c r="M14" s="16" t="s">
        <v>116</v>
      </c>
    </row>
    <row r="15" customFormat="false" ht="30" hidden="false" customHeight="true" outlineLevel="0" collapsed="false">
      <c r="A15" s="17" t="s">
        <v>109</v>
      </c>
      <c r="B15" s="18" t="n">
        <f aca="false">SUM(B5:B14)</f>
        <v>190</v>
      </c>
      <c r="C15" s="18" t="n">
        <f aca="false">SUM(C5:C14)</f>
        <v>0</v>
      </c>
      <c r="D15" s="18" t="n">
        <f aca="false">SUM(D5:D14)</f>
        <v>0</v>
      </c>
      <c r="E15" s="18" t="n">
        <f aca="false">SUM(E5:E14)</f>
        <v>1056</v>
      </c>
      <c r="F15" s="18" t="n">
        <f aca="false">SUM(F5:F14)</f>
        <v>1347</v>
      </c>
      <c r="G15" s="18" t="n">
        <f aca="false">SUM(G5:G14)</f>
        <v>376</v>
      </c>
      <c r="H15" s="18" t="n">
        <f aca="false">SUM(H5:H14)</f>
        <v>3656</v>
      </c>
      <c r="I15" s="18" t="n">
        <f aca="false">SUM(I5:I14)</f>
        <v>4942</v>
      </c>
      <c r="J15" s="18" t="n">
        <f aca="false">SUM(J5:J14)</f>
        <v>6437</v>
      </c>
      <c r="K15" s="18" t="n">
        <f aca="false">SUM(K5:K14)</f>
        <v>8068</v>
      </c>
      <c r="L15" s="19"/>
      <c r="M15" s="20" t="s">
        <v>110</v>
      </c>
    </row>
    <row r="18" customFormat="false" ht="15" hidden="false" customHeight="false" outlineLevel="0" collapsed="false">
      <c r="A18" s="22" t="s">
        <v>122</v>
      </c>
      <c r="B18" s="23"/>
      <c r="C18" s="23"/>
      <c r="D18" s="23"/>
      <c r="E18" s="23"/>
      <c r="F18" s="23"/>
      <c r="G18" s="23"/>
      <c r="H18" s="23"/>
      <c r="I18" s="23"/>
      <c r="J18" s="23"/>
      <c r="K18" s="23"/>
      <c r="L18" s="23"/>
      <c r="M18" s="23"/>
    </row>
    <row r="19" customFormat="false" ht="24" hidden="false" customHeight="true" outlineLevel="0" collapsed="false">
      <c r="A19" s="5" t="s">
        <v>16</v>
      </c>
      <c r="B19" s="5" t="s">
        <v>86</v>
      </c>
      <c r="C19" s="5" t="s">
        <v>87</v>
      </c>
      <c r="D19" s="5" t="s">
        <v>88</v>
      </c>
      <c r="E19" s="5" t="s">
        <v>89</v>
      </c>
      <c r="F19" s="5" t="s">
        <v>90</v>
      </c>
      <c r="G19" s="5" t="s">
        <v>91</v>
      </c>
      <c r="H19" s="11" t="s">
        <v>92</v>
      </c>
      <c r="I19" s="11" t="s">
        <v>93</v>
      </c>
      <c r="J19" s="11" t="s">
        <v>94</v>
      </c>
      <c r="K19" s="11" t="s">
        <v>95</v>
      </c>
      <c r="L19" s="5"/>
      <c r="M19" s="5" t="s">
        <v>123</v>
      </c>
    </row>
    <row r="20" customFormat="false" ht="15" hidden="false" customHeight="false" outlineLevel="0" collapsed="false">
      <c r="A20" s="7" t="s">
        <v>24</v>
      </c>
      <c r="B20" s="8" t="str">
        <f aca="false">IF(OR(NOT(ISNUMBER(B5)),NOT(ISNUMBER(Revenue!B5))),"",B5/Revenue!B5)</f>
        <v/>
      </c>
      <c r="C20" s="8" t="str">
        <f aca="false">IF(OR(NOT(ISNUMBER(C5)),NOT(ISNUMBER(Revenue!C5))),"",C5/Revenue!C5)</f>
        <v/>
      </c>
      <c r="D20" s="8" t="str">
        <f aca="false">IF(OR(NOT(ISNUMBER(D5)),NOT(ISNUMBER(Revenue!D5))),"",D5/Revenue!D5)</f>
        <v/>
      </c>
      <c r="E20" s="8" t="str">
        <f aca="false">IF(OR(NOT(ISNUMBER(E5)),NOT(ISNUMBER(Revenue!E5))),"",E5/Revenue!E5)</f>
        <v/>
      </c>
      <c r="F20" s="8" t="str">
        <f aca="false">IF(OR(NOT(ISNUMBER(F5)),NOT(ISNUMBER(Revenue!F5))),"",F5/Revenue!F5)</f>
        <v/>
      </c>
      <c r="G20" s="8" t="str">
        <f aca="false">IF(OR(NOT(ISNUMBER(G5)),NOT(ISNUMBER(Revenue!G5))),"",G5/Revenue!G5)</f>
        <v/>
      </c>
      <c r="H20" s="15" t="n">
        <f aca="false">IF(OR(NOT(ISNUMBER(H5)),NOT(ISNUMBER(Revenue!H5))),"",H5/Revenue!H5)</f>
        <v>0.08</v>
      </c>
      <c r="I20" s="15" t="n">
        <f aca="false">IF(OR(NOT(ISNUMBER(I5)),NOT(ISNUMBER(Revenue!I5))),"",I5/Revenue!I5)</f>
        <v>0.09</v>
      </c>
      <c r="J20" s="15" t="n">
        <f aca="false">IF(OR(NOT(ISNUMBER(J5)),NOT(ISNUMBER(Revenue!J5))),"",J5/Revenue!J5)</f>
        <v>0.1</v>
      </c>
      <c r="K20" s="15" t="n">
        <f aca="false">IF(OR(NOT(ISNUMBER(K5)),NOT(ISNUMBER(Revenue!K5))),"",K5/Revenue!K5)</f>
        <v>0.1</v>
      </c>
      <c r="M20" s="24"/>
    </row>
    <row r="21" customFormat="false" ht="15" hidden="false" customHeight="false" outlineLevel="0" collapsed="false">
      <c r="A21" s="7" t="s">
        <v>31</v>
      </c>
      <c r="B21" s="8" t="str">
        <f aca="false">IF(OR(NOT(ISNUMBER(B6)),NOT(ISNUMBER(Revenue!B6))),"",B6/Revenue!B6)</f>
        <v/>
      </c>
      <c r="C21" s="8" t="str">
        <f aca="false">IF(OR(NOT(ISNUMBER(C6)),NOT(ISNUMBER(Revenue!C6))),"",C6/Revenue!C6)</f>
        <v/>
      </c>
      <c r="D21" s="8" t="str">
        <f aca="false">IF(OR(NOT(ISNUMBER(D6)),NOT(ISNUMBER(Revenue!D6))),"",D6/Revenue!D6)</f>
        <v/>
      </c>
      <c r="E21" s="8" t="n">
        <f aca="false">IF(OR(NOT(ISNUMBER(E6)),NOT(ISNUMBER(Revenue!E6))),"",E6/Revenue!E6)</f>
        <v>0.081511839708561</v>
      </c>
      <c r="F21" s="8" t="str">
        <f aca="false">IF(OR(NOT(ISNUMBER(F6)),NOT(ISNUMBER(Revenue!F6))),"",F6/Revenue!F6)</f>
        <v/>
      </c>
      <c r="G21" s="8" t="str">
        <f aca="false">IF(OR(NOT(ISNUMBER(G6)),NOT(ISNUMBER(Revenue!G6))),"",G6/Revenue!G6)</f>
        <v/>
      </c>
      <c r="H21" s="15" t="n">
        <f aca="false">IF(OR(NOT(ISNUMBER(H6)),NOT(ISNUMBER(Revenue!H6))),"",H6/Revenue!H6)</f>
        <v>0.07</v>
      </c>
      <c r="I21" s="15" t="n">
        <f aca="false">IF(OR(NOT(ISNUMBER(I6)),NOT(ISNUMBER(Revenue!I6))),"",I6/Revenue!I6)</f>
        <v>0.08</v>
      </c>
      <c r="J21" s="15" t="n">
        <f aca="false">IF(OR(NOT(ISNUMBER(J6)),NOT(ISNUMBER(Revenue!J6))),"",J6/Revenue!J6)</f>
        <v>0.087378640776699</v>
      </c>
      <c r="K21" s="15" t="n">
        <f aca="false">IF(OR(NOT(ISNUMBER(K6)),NOT(ISNUMBER(Revenue!K6))),"",K6/Revenue!K6)</f>
        <v>0.0900826446280992</v>
      </c>
      <c r="M21" s="24"/>
    </row>
    <row r="22" customFormat="false" ht="15" hidden="false" customHeight="false" outlineLevel="0" collapsed="false">
      <c r="A22" s="7" t="s">
        <v>37</v>
      </c>
      <c r="B22" s="8" t="str">
        <f aca="false">IF(OR(NOT(ISNUMBER(B7)),NOT(ISNUMBER(Revenue!B7))),"",B7/Revenue!B7)</f>
        <v/>
      </c>
      <c r="C22" s="8" t="str">
        <f aca="false">IF(OR(NOT(ISNUMBER(C7)),NOT(ISNUMBER(Revenue!C7))),"",C7/Revenue!C7)</f>
        <v/>
      </c>
      <c r="D22" s="8" t="str">
        <f aca="false">IF(OR(NOT(ISNUMBER(D7)),NOT(ISNUMBER(Revenue!D7))),"",D7/Revenue!D7)</f>
        <v/>
      </c>
      <c r="E22" s="8" t="str">
        <f aca="false">IF(OR(NOT(ISNUMBER(E7)),NOT(ISNUMBER(Revenue!E7))),"",E7/Revenue!E7)</f>
        <v/>
      </c>
      <c r="F22" s="8" t="str">
        <f aca="false">IF(OR(NOT(ISNUMBER(F7)),NOT(ISNUMBER(Revenue!F7))),"",F7/Revenue!F7)</f>
        <v/>
      </c>
      <c r="G22" s="8" t="str">
        <f aca="false">IF(OR(NOT(ISNUMBER(G7)),NOT(ISNUMBER(Revenue!G7))),"",G7/Revenue!G7)</f>
        <v/>
      </c>
      <c r="H22" s="15" t="n">
        <f aca="false">IF(OR(NOT(ISNUMBER(H7)),NOT(ISNUMBER(Revenue!H7))),"",H7/Revenue!H7)</f>
        <v>0.25</v>
      </c>
      <c r="I22" s="15" t="n">
        <f aca="false">IF(OR(NOT(ISNUMBER(I7)),NOT(ISNUMBER(Revenue!I7))),"",I7/Revenue!I7)</f>
        <v>0.27</v>
      </c>
      <c r="J22" s="15" t="n">
        <f aca="false">IF(OR(NOT(ISNUMBER(J7)),NOT(ISNUMBER(Revenue!J7))),"",J7/Revenue!J7)</f>
        <v>0.28</v>
      </c>
      <c r="K22" s="15" t="n">
        <f aca="false">IF(OR(NOT(ISNUMBER(K7)),NOT(ISNUMBER(Revenue!K7))),"",K7/Revenue!K7)</f>
        <v>0.290476190476191</v>
      </c>
      <c r="M22" s="24"/>
    </row>
    <row r="23" customFormat="false" ht="15" hidden="false" customHeight="false" outlineLevel="0" collapsed="false">
      <c r="A23" s="7" t="s">
        <v>43</v>
      </c>
      <c r="B23" s="8" t="n">
        <f aca="false">IF(OR(NOT(ISNUMBER(B8)),NOT(ISNUMBER(Revenue!B8))),"",B8/Revenue!B8)</f>
        <v>0.0582107843137255</v>
      </c>
      <c r="C23" s="8" t="str">
        <f aca="false">IF(OR(NOT(ISNUMBER(C8)),NOT(ISNUMBER(Revenue!C8))),"",C8/Revenue!C8)</f>
        <v/>
      </c>
      <c r="D23" s="8" t="str">
        <f aca="false">IF(OR(NOT(ISNUMBER(D8)),NOT(ISNUMBER(Revenue!D8))),"",D8/Revenue!D8)</f>
        <v/>
      </c>
      <c r="E23" s="8" t="n">
        <f aca="false">IF(OR(NOT(ISNUMBER(E8)),NOT(ISNUMBER(Revenue!E8))),"",E8/Revenue!E8)</f>
        <v>0.0415909916454777</v>
      </c>
      <c r="F23" s="8" t="n">
        <f aca="false">IF(OR(NOT(ISNUMBER(F8)),NOT(ISNUMBER(Revenue!F8))),"",F8/Revenue!F8)</f>
        <v>0.0465192465192465</v>
      </c>
      <c r="G23" s="8" t="n">
        <f aca="false">IF(OR(NOT(ISNUMBER(G8)),NOT(ISNUMBER(Revenue!G8))),"",G8/Revenue!G8)</f>
        <v>0.05372196028004</v>
      </c>
      <c r="H23" s="15" t="n">
        <f aca="false">IF(OR(NOT(ISNUMBER(H8)),NOT(ISNUMBER(Revenue!H8))),"",H8/Revenue!H8)</f>
        <v>0.0583850931677019</v>
      </c>
      <c r="I23" s="15" t="n">
        <f aca="false">IF(OR(NOT(ISNUMBER(I8)),NOT(ISNUMBER(Revenue!I8))),"",I8/Revenue!I8)</f>
        <v>0.0637837837837838</v>
      </c>
      <c r="J23" s="15" t="n">
        <f aca="false">IF(OR(NOT(ISNUMBER(J8)),NOT(ISNUMBER(Revenue!J8))),"",J8/Revenue!J8)</f>
        <v>0.0688679245283019</v>
      </c>
      <c r="K23" s="15" t="n">
        <f aca="false">IF(OR(NOT(ISNUMBER(K8)),NOT(ISNUMBER(Revenue!K8))),"",K8/Revenue!K8)</f>
        <v>0.0727272727272727</v>
      </c>
      <c r="M23" s="24"/>
    </row>
    <row r="24" customFormat="false" ht="15" hidden="false" customHeight="false" outlineLevel="0" collapsed="false">
      <c r="A24" s="7" t="s">
        <v>49</v>
      </c>
      <c r="B24" s="8" t="str">
        <f aca="false">IF(OR(NOT(ISNUMBER(B9)),NOT(ISNUMBER(Revenue!B9))),"",B9/Revenue!B9)</f>
        <v/>
      </c>
      <c r="C24" s="8" t="str">
        <f aca="false">IF(OR(NOT(ISNUMBER(C9)),NOT(ISNUMBER(Revenue!C9))),"",C9/Revenue!C9)</f>
        <v/>
      </c>
      <c r="D24" s="8" t="str">
        <f aca="false">IF(OR(NOT(ISNUMBER(D9)),NOT(ISNUMBER(Revenue!D9))),"",D9/Revenue!D9)</f>
        <v/>
      </c>
      <c r="E24" s="8" t="n">
        <f aca="false">IF(OR(NOT(ISNUMBER(E9)),NOT(ISNUMBER(Revenue!E9))),"",E9/Revenue!E9)</f>
        <v>0.232962962962963</v>
      </c>
      <c r="F24" s="8" t="n">
        <f aca="false">IF(OR(NOT(ISNUMBER(F9)),NOT(ISNUMBER(Revenue!F9))),"",F9/Revenue!F9)</f>
        <v>0.243298969072165</v>
      </c>
      <c r="G24" s="8" t="str">
        <f aca="false">IF(OR(NOT(ISNUMBER(G9)),NOT(ISNUMBER(Revenue!G9))),"",G9/Revenue!G9)</f>
        <v/>
      </c>
      <c r="H24" s="15" t="n">
        <f aca="false">IF(OR(NOT(ISNUMBER(H9)),NOT(ISNUMBER(Revenue!H9))),"",H9/Revenue!H9)</f>
        <v>0.23768115942029</v>
      </c>
      <c r="I24" s="15" t="n">
        <f aca="false">IF(OR(NOT(ISNUMBER(I9)),NOT(ISNUMBER(Revenue!I9))),"",I9/Revenue!I9)</f>
        <v>0.249350649350649</v>
      </c>
      <c r="J24" s="15" t="n">
        <f aca="false">IF(OR(NOT(ISNUMBER(J9)),NOT(ISNUMBER(Revenue!J9))),"",J9/Revenue!J9)</f>
        <v>0.26046511627907</v>
      </c>
      <c r="K24" s="15" t="n">
        <f aca="false">IF(OR(NOT(ISNUMBER(K9)),NOT(ISNUMBER(Revenue!K9))),"",K9/Revenue!K9)</f>
        <v>0.270833333333333</v>
      </c>
      <c r="M24" s="24"/>
    </row>
    <row r="25" customFormat="false" ht="15" hidden="false" customHeight="false" outlineLevel="0" collapsed="false">
      <c r="A25" s="7" t="s">
        <v>54</v>
      </c>
      <c r="B25" s="8" t="str">
        <f aca="false">IF(OR(NOT(ISNUMBER(B10)),NOT(ISNUMBER(Revenue!B10))),"",B10/Revenue!B10)</f>
        <v/>
      </c>
      <c r="C25" s="8" t="str">
        <f aca="false">IF(OR(NOT(ISNUMBER(C10)),NOT(ISNUMBER(Revenue!C10))),"",C10/Revenue!C10)</f>
        <v/>
      </c>
      <c r="D25" s="8" t="str">
        <f aca="false">IF(OR(NOT(ISNUMBER(D10)),NOT(ISNUMBER(Revenue!D10))),"",D10/Revenue!D10)</f>
        <v/>
      </c>
      <c r="E25" s="8" t="str">
        <f aca="false">IF(OR(NOT(ISNUMBER(E10)),NOT(ISNUMBER(Revenue!E10))),"",E10/Revenue!E10)</f>
        <v/>
      </c>
      <c r="F25" s="8" t="str">
        <f aca="false">IF(OR(NOT(ISNUMBER(F10)),NOT(ISNUMBER(Revenue!F10))),"",F10/Revenue!F10)</f>
        <v/>
      </c>
      <c r="G25" s="8" t="str">
        <f aca="false">IF(OR(NOT(ISNUMBER(G10)),NOT(ISNUMBER(Revenue!G10))),"",G10/Revenue!G10)</f>
        <v/>
      </c>
      <c r="H25" s="15" t="n">
        <f aca="false">IF(OR(NOT(ISNUMBER(H10)),NOT(ISNUMBER(Revenue!H10))),"",H10/Revenue!H10)</f>
        <v>0.121739130434783</v>
      </c>
      <c r="I25" s="15" t="n">
        <f aca="false">IF(OR(NOT(ISNUMBER(I10)),NOT(ISNUMBER(Revenue!I10))),"",I10/Revenue!I10)</f>
        <v>0.13448275862069</v>
      </c>
      <c r="J25" s="15" t="n">
        <f aca="false">IF(OR(NOT(ISNUMBER(J10)),NOT(ISNUMBER(Revenue!J10))),"",J10/Revenue!J10)</f>
        <v>0.140277777777778</v>
      </c>
      <c r="K25" s="15" t="n">
        <f aca="false">IF(OR(NOT(ISNUMBER(K10)),NOT(ISNUMBER(Revenue!K10))),"",K10/Revenue!K10)</f>
        <v>0.15</v>
      </c>
      <c r="M25" s="24"/>
    </row>
    <row r="26" customFormat="false" ht="15" hidden="false" customHeight="false" outlineLevel="0" collapsed="false">
      <c r="A26" s="7" t="s">
        <v>59</v>
      </c>
      <c r="B26" s="8" t="str">
        <f aca="false">IF(OR(NOT(ISNUMBER(B11)),NOT(ISNUMBER(Revenue!B11))),"",B11/Revenue!B11)</f>
        <v/>
      </c>
      <c r="C26" s="8" t="str">
        <f aca="false">IF(OR(NOT(ISNUMBER(C11)),NOT(ISNUMBER(Revenue!C11))),"",C11/Revenue!C11)</f>
        <v/>
      </c>
      <c r="D26" s="8" t="str">
        <f aca="false">IF(OR(NOT(ISNUMBER(D11)),NOT(ISNUMBER(Revenue!D11))),"",D11/Revenue!D11)</f>
        <v/>
      </c>
      <c r="E26" s="8" t="str">
        <f aca="false">IF(OR(NOT(ISNUMBER(E11)),NOT(ISNUMBER(Revenue!E11))),"",E11/Revenue!E11)</f>
        <v/>
      </c>
      <c r="F26" s="8" t="str">
        <f aca="false">IF(OR(NOT(ISNUMBER(F11)),NOT(ISNUMBER(Revenue!F11))),"",F11/Revenue!F11)</f>
        <v/>
      </c>
      <c r="G26" s="8" t="str">
        <f aca="false">IF(OR(NOT(ISNUMBER(G11)),NOT(ISNUMBER(Revenue!G11))),"",G11/Revenue!G11)</f>
        <v/>
      </c>
      <c r="H26" s="15" t="n">
        <f aca="false">IF(OR(NOT(ISNUMBER(H11)),NOT(ISNUMBER(Revenue!H11))),"",H11/Revenue!H11)</f>
        <v>0.075</v>
      </c>
      <c r="I26" s="15" t="n">
        <f aca="false">IF(OR(NOT(ISNUMBER(I11)),NOT(ISNUMBER(Revenue!I11))),"",I11/Revenue!I11)</f>
        <v>0.078125</v>
      </c>
      <c r="J26" s="15" t="n">
        <f aca="false">IF(OR(NOT(ISNUMBER(J11)),NOT(ISNUMBER(Revenue!J11))),"",J11/Revenue!J11)</f>
        <v>0.0808219178082192</v>
      </c>
      <c r="K26" s="15" t="n">
        <f aca="false">IF(OR(NOT(ISNUMBER(K11)),NOT(ISNUMBER(Revenue!K11))),"",K11/Revenue!K11)</f>
        <v>0.0831325301204819</v>
      </c>
      <c r="M26" s="24"/>
    </row>
    <row r="27" customFormat="false" ht="15" hidden="false" customHeight="false" outlineLevel="0" collapsed="false">
      <c r="A27" s="7" t="s">
        <v>66</v>
      </c>
      <c r="B27" s="8" t="str">
        <f aca="false">IF(OR(NOT(ISNUMBER(B12)),NOT(ISNUMBER(Revenue!B12))),"",B12/Revenue!B12)</f>
        <v/>
      </c>
      <c r="C27" s="8" t="str">
        <f aca="false">IF(OR(NOT(ISNUMBER(C12)),NOT(ISNUMBER(Revenue!C12))),"",C12/Revenue!C12)</f>
        <v/>
      </c>
      <c r="D27" s="8" t="str">
        <f aca="false">IF(OR(NOT(ISNUMBER(D12)),NOT(ISNUMBER(Revenue!D12))),"",D12/Revenue!D12)</f>
        <v/>
      </c>
      <c r="E27" s="8" t="n">
        <f aca="false">IF(OR(NOT(ISNUMBER(E12)),NOT(ISNUMBER(Revenue!E12))),"",E12/Revenue!E12)</f>
        <v>0.0808510638297872</v>
      </c>
      <c r="F27" s="8" t="n">
        <f aca="false">IF(OR(NOT(ISNUMBER(F12)),NOT(ISNUMBER(Revenue!F12))),"",F12/Revenue!F12)</f>
        <v>0.0852713178294574</v>
      </c>
      <c r="G27" s="8" t="str">
        <f aca="false">IF(OR(NOT(ISNUMBER(G12)),NOT(ISNUMBER(Revenue!G12))),"",G12/Revenue!G12)</f>
        <v/>
      </c>
      <c r="H27" s="15" t="n">
        <f aca="false">IF(OR(NOT(ISNUMBER(H12)),NOT(ISNUMBER(Revenue!H12))),"",H12/Revenue!H12)</f>
        <v>0.0911764705882353</v>
      </c>
      <c r="I27" s="15" t="n">
        <f aca="false">IF(OR(NOT(ISNUMBER(I12)),NOT(ISNUMBER(Revenue!I12))),"",I12/Revenue!I12)</f>
        <v>0.1</v>
      </c>
      <c r="J27" s="15" t="n">
        <f aca="false">IF(OR(NOT(ISNUMBER(J12)),NOT(ISNUMBER(Revenue!J12))),"",J12/Revenue!J12)</f>
        <v>0.110769230769231</v>
      </c>
      <c r="K27" s="15" t="n">
        <f aca="false">IF(OR(NOT(ISNUMBER(K12)),NOT(ISNUMBER(Revenue!K12))),"",K12/Revenue!K12)</f>
        <v>0.12</v>
      </c>
      <c r="M27" s="24"/>
    </row>
    <row r="28" customFormat="false" ht="15" hidden="false" customHeight="false" outlineLevel="0" collapsed="false">
      <c r="A28" s="7" t="s">
        <v>72</v>
      </c>
      <c r="B28" s="8" t="str">
        <f aca="false">IF(OR(NOT(ISNUMBER(B13)),NOT(ISNUMBER(Revenue!B13))),"",B13/Revenue!B13)</f>
        <v/>
      </c>
      <c r="C28" s="8" t="str">
        <f aca="false">IF(OR(NOT(ISNUMBER(C13)),NOT(ISNUMBER(Revenue!C13))),"",C13/Revenue!C13)</f>
        <v/>
      </c>
      <c r="D28" s="8" t="str">
        <f aca="false">IF(OR(NOT(ISNUMBER(D13)),NOT(ISNUMBER(Revenue!D13))),"",D13/Revenue!D13)</f>
        <v/>
      </c>
      <c r="E28" s="8" t="str">
        <f aca="false">IF(OR(NOT(ISNUMBER(E13)),NOT(ISNUMBER(Revenue!E13))),"",E13/Revenue!E13)</f>
        <v/>
      </c>
      <c r="F28" s="8" t="str">
        <f aca="false">IF(OR(NOT(ISNUMBER(F13)),NOT(ISNUMBER(Revenue!F13))),"",F13/Revenue!F13)</f>
        <v/>
      </c>
      <c r="G28" s="8" t="str">
        <f aca="false">IF(OR(NOT(ISNUMBER(G13)),NOT(ISNUMBER(Revenue!G13))),"",G13/Revenue!G13)</f>
        <v/>
      </c>
      <c r="H28" s="15" t="n">
        <f aca="false">IF(OR(NOT(ISNUMBER(H13)),NOT(ISNUMBER(Revenue!H13))),"",H13/Revenue!H13)</f>
        <v>0.08</v>
      </c>
      <c r="I28" s="15" t="n">
        <f aca="false">IF(OR(NOT(ISNUMBER(I13)),NOT(ISNUMBER(Revenue!I13))),"",I13/Revenue!I13)</f>
        <v>0.0941176470588235</v>
      </c>
      <c r="J28" s="15" t="n">
        <f aca="false">IF(OR(NOT(ISNUMBER(J13)),NOT(ISNUMBER(Revenue!J13))),"",J13/Revenue!J13)</f>
        <v>0.102380952380952</v>
      </c>
      <c r="K28" s="15" t="n">
        <f aca="false">IF(OR(NOT(ISNUMBER(K13)),NOT(ISNUMBER(Revenue!K13))),"",K13/Revenue!K13)</f>
        <v>0.109803921568627</v>
      </c>
      <c r="M28" s="24"/>
    </row>
    <row r="29" customFormat="false" ht="15" hidden="false" customHeight="false" outlineLevel="0" collapsed="false">
      <c r="A29" s="7" t="s">
        <v>77</v>
      </c>
      <c r="B29" s="8" t="str">
        <f aca="false">IF(OR(NOT(ISNUMBER(B14)),NOT(ISNUMBER(Revenue!B14))),"",B14/Revenue!B14)</f>
        <v/>
      </c>
      <c r="C29" s="8" t="str">
        <f aca="false">IF(OR(NOT(ISNUMBER(C14)),NOT(ISNUMBER(Revenue!C14))),"",C14/Revenue!C14)</f>
        <v/>
      </c>
      <c r="D29" s="8" t="str">
        <f aca="false">IF(OR(NOT(ISNUMBER(D14)),NOT(ISNUMBER(Revenue!D14))),"",D14/Revenue!D14)</f>
        <v/>
      </c>
      <c r="E29" s="8" t="str">
        <f aca="false">IF(OR(NOT(ISNUMBER(E14)),NOT(ISNUMBER(Revenue!E14))),"",E14/Revenue!E14)</f>
        <v/>
      </c>
      <c r="F29" s="8" t="str">
        <f aca="false">IF(OR(NOT(ISNUMBER(F14)),NOT(ISNUMBER(Revenue!F14))),"",F14/Revenue!F14)</f>
        <v/>
      </c>
      <c r="G29" s="8" t="str">
        <f aca="false">IF(OR(NOT(ISNUMBER(G14)),NOT(ISNUMBER(Revenue!G14))),"",G14/Revenue!G14)</f>
        <v/>
      </c>
      <c r="H29" s="15" t="n">
        <f aca="false">IF(OR(NOT(ISNUMBER(H14)),NOT(ISNUMBER(Revenue!H14))),"",H14/Revenue!H14)</f>
        <v>-0.0394736842105263</v>
      </c>
      <c r="I29" s="15" t="n">
        <f aca="false">IF(OR(NOT(ISNUMBER(I14)),NOT(ISNUMBER(Revenue!I14))),"",I14/Revenue!I14)</f>
        <v>0.0212765957446809</v>
      </c>
      <c r="J29" s="15" t="n">
        <f aca="false">IF(OR(NOT(ISNUMBER(J14)),NOT(ISNUMBER(Revenue!J14))),"",J14/Revenue!J14)</f>
        <v>0.0689655172413793</v>
      </c>
      <c r="K29" s="15" t="n">
        <f aca="false">IF(OR(NOT(ISNUMBER(K14)),NOT(ISNUMBER(Revenue!K14))),"",K14/Revenue!K14)</f>
        <v>0.111111111111111</v>
      </c>
      <c r="M29" s="24"/>
    </row>
    <row r="31" customFormat="false" ht="15" hidden="false" customHeight="false" outlineLevel="0" collapsed="false">
      <c r="A31" s="25" t="s">
        <v>124</v>
      </c>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11" min="2" style="0" width="10"/>
    <col collapsed="false" customWidth="true" hidden="false" outlineLevel="0" max="12" min="12" style="0" width="12"/>
    <col collapsed="false" customWidth="true" hidden="false" outlineLevel="0" max="13" min="13" style="0" width="78"/>
    <col collapsed="false" customWidth="true" hidden="false" outlineLevel="0" max="14" min="14" style="0" width="3"/>
  </cols>
  <sheetData>
    <row r="1" customFormat="false" ht="25.5" hidden="false" customHeight="true" outlineLevel="0" collapsed="false">
      <c r="A1" s="1" t="s">
        <v>125</v>
      </c>
      <c r="B1" s="1"/>
      <c r="C1" s="1"/>
      <c r="D1" s="1"/>
      <c r="E1" s="1"/>
      <c r="F1" s="1"/>
      <c r="G1" s="1"/>
      <c r="H1" s="1"/>
      <c r="I1" s="1"/>
      <c r="J1" s="1"/>
      <c r="K1" s="1"/>
      <c r="L1" s="1"/>
      <c r="M1" s="1"/>
      <c r="N1" s="1"/>
    </row>
    <row r="2" customFormat="false" ht="15.75" hidden="false" customHeight="true" outlineLevel="0" collapsed="false">
      <c r="A2" s="2" t="s">
        <v>126</v>
      </c>
      <c r="B2" s="2"/>
      <c r="C2" s="2"/>
      <c r="D2" s="2"/>
      <c r="E2" s="2"/>
      <c r="F2" s="2"/>
      <c r="G2" s="2"/>
      <c r="H2" s="2"/>
      <c r="I2" s="2"/>
      <c r="J2" s="2"/>
      <c r="K2" s="2"/>
      <c r="L2" s="2"/>
      <c r="M2" s="2"/>
      <c r="N2" s="2"/>
    </row>
    <row r="4" customFormat="false" ht="27.75" hidden="false" customHeight="true" outlineLevel="0" collapsed="false">
      <c r="A4" s="5" t="s">
        <v>85</v>
      </c>
      <c r="B4" s="5" t="s">
        <v>86</v>
      </c>
      <c r="C4" s="5" t="s">
        <v>87</v>
      </c>
      <c r="D4" s="5" t="s">
        <v>88</v>
      </c>
      <c r="E4" s="5" t="s">
        <v>89</v>
      </c>
      <c r="F4" s="5" t="s">
        <v>90</v>
      </c>
      <c r="G4" s="5" t="s">
        <v>91</v>
      </c>
      <c r="H4" s="11" t="s">
        <v>92</v>
      </c>
      <c r="I4" s="11" t="s">
        <v>93</v>
      </c>
      <c r="J4" s="11" t="s">
        <v>94</v>
      </c>
      <c r="K4" s="11" t="s">
        <v>95</v>
      </c>
      <c r="L4" s="5" t="s">
        <v>96</v>
      </c>
      <c r="M4" s="5" t="s">
        <v>97</v>
      </c>
    </row>
    <row r="5" customFormat="false" ht="43.5" hidden="false" customHeight="true" outlineLevel="0" collapsed="false">
      <c r="A5" s="6" t="s">
        <v>24</v>
      </c>
      <c r="B5" s="12" t="s">
        <v>98</v>
      </c>
      <c r="C5" s="12" t="s">
        <v>98</v>
      </c>
      <c r="D5" s="12" t="s">
        <v>98</v>
      </c>
      <c r="E5" s="13" t="n">
        <v>26</v>
      </c>
      <c r="F5" s="12" t="s">
        <v>98</v>
      </c>
      <c r="G5" s="13" t="n">
        <v>185</v>
      </c>
      <c r="H5" s="14" t="n">
        <v>260</v>
      </c>
      <c r="I5" s="14" t="n">
        <v>360</v>
      </c>
      <c r="J5" s="14" t="n">
        <v>480</v>
      </c>
      <c r="K5" s="14" t="n">
        <v>600</v>
      </c>
      <c r="L5" s="15" t="n">
        <f aca="false">(K5/G5)^(1/4)-1</f>
        <v>0.341976406485223</v>
      </c>
      <c r="M5" s="16" t="s">
        <v>127</v>
      </c>
    </row>
    <row r="6" customFormat="false" ht="43.5" hidden="false" customHeight="true" outlineLevel="0" collapsed="false">
      <c r="A6" s="6" t="s">
        <v>31</v>
      </c>
      <c r="B6" s="12" t="s">
        <v>98</v>
      </c>
      <c r="C6" s="12" t="s">
        <v>98</v>
      </c>
      <c r="D6" s="12" t="s">
        <v>98</v>
      </c>
      <c r="E6" s="12" t="s">
        <v>98</v>
      </c>
      <c r="F6" s="12" t="s">
        <v>98</v>
      </c>
      <c r="G6" s="12" t="s">
        <v>98</v>
      </c>
      <c r="H6" s="14" t="n">
        <v>180</v>
      </c>
      <c r="I6" s="14" t="n">
        <v>300</v>
      </c>
      <c r="J6" s="14" t="n">
        <v>440</v>
      </c>
      <c r="K6" s="14" t="n">
        <v>590</v>
      </c>
      <c r="L6" s="12" t="s">
        <v>98</v>
      </c>
      <c r="M6" s="16" t="s">
        <v>128</v>
      </c>
    </row>
    <row r="7" customFormat="false" ht="43.5" hidden="false" customHeight="true" outlineLevel="0" collapsed="false">
      <c r="A7" s="6" t="s">
        <v>37</v>
      </c>
      <c r="B7" s="12" t="s">
        <v>98</v>
      </c>
      <c r="C7" s="12" t="s">
        <v>98</v>
      </c>
      <c r="D7" s="12" t="s">
        <v>98</v>
      </c>
      <c r="E7" s="13" t="n">
        <v>852</v>
      </c>
      <c r="F7" s="12" t="s">
        <v>98</v>
      </c>
      <c r="G7" s="12" t="s">
        <v>98</v>
      </c>
      <c r="H7" s="14" t="n">
        <v>150</v>
      </c>
      <c r="I7" s="14" t="n">
        <v>260</v>
      </c>
      <c r="J7" s="14" t="n">
        <v>400</v>
      </c>
      <c r="K7" s="14" t="n">
        <v>560</v>
      </c>
      <c r="L7" s="12" t="s">
        <v>98</v>
      </c>
      <c r="M7" s="16" t="s">
        <v>129</v>
      </c>
    </row>
    <row r="8" customFormat="false" ht="43.5" hidden="false" customHeight="true" outlineLevel="0" collapsed="false">
      <c r="A8" s="6" t="s">
        <v>43</v>
      </c>
      <c r="B8" s="13" t="n">
        <v>47</v>
      </c>
      <c r="C8" s="12" t="s">
        <v>98</v>
      </c>
      <c r="D8" s="12" t="s">
        <v>98</v>
      </c>
      <c r="E8" s="13" t="n">
        <v>8</v>
      </c>
      <c r="F8" s="13" t="n">
        <v>-36</v>
      </c>
      <c r="G8" s="13" t="n">
        <v>2</v>
      </c>
      <c r="H8" s="14" t="n">
        <v>60</v>
      </c>
      <c r="I8" s="14" t="n">
        <v>130</v>
      </c>
      <c r="J8" s="14" t="n">
        <v>210</v>
      </c>
      <c r="K8" s="14" t="n">
        <v>300</v>
      </c>
      <c r="L8" s="15" t="n">
        <f aca="false">(K8/G8)^(1/4)-1</f>
        <v>2.49963551158058</v>
      </c>
      <c r="M8" s="16" t="s">
        <v>130</v>
      </c>
    </row>
    <row r="9" customFormat="false" ht="43.5" hidden="false" customHeight="true" outlineLevel="0" collapsed="false">
      <c r="A9" s="6" t="s">
        <v>49</v>
      </c>
      <c r="B9" s="12" t="s">
        <v>98</v>
      </c>
      <c r="C9" s="12" t="s">
        <v>98</v>
      </c>
      <c r="D9" s="12" t="s">
        <v>98</v>
      </c>
      <c r="E9" s="13" t="n">
        <v>116</v>
      </c>
      <c r="F9" s="13" t="n">
        <v>126</v>
      </c>
      <c r="G9" s="13" t="n">
        <v>67</v>
      </c>
      <c r="H9" s="14" t="n">
        <v>150</v>
      </c>
      <c r="I9" s="14" t="n">
        <v>200</v>
      </c>
      <c r="J9" s="14" t="n">
        <v>260</v>
      </c>
      <c r="K9" s="14" t="n">
        <v>330</v>
      </c>
      <c r="L9" s="15" t="n">
        <f aca="false">(K9/G9)^(1/4)-1</f>
        <v>0.489737617431864</v>
      </c>
      <c r="M9" s="16" t="s">
        <v>131</v>
      </c>
    </row>
    <row r="10" customFormat="false" ht="43.5" hidden="false" customHeight="true" outlineLevel="0" collapsed="false">
      <c r="A10" s="6" t="s">
        <v>54</v>
      </c>
      <c r="B10" s="12" t="s">
        <v>98</v>
      </c>
      <c r="C10" s="12" t="s">
        <v>98</v>
      </c>
      <c r="D10" s="12" t="s">
        <v>98</v>
      </c>
      <c r="E10" s="13" t="n">
        <v>98</v>
      </c>
      <c r="F10" s="13" t="n">
        <v>61</v>
      </c>
      <c r="G10" s="13" t="n">
        <v>298</v>
      </c>
      <c r="H10" s="14" t="n">
        <v>420</v>
      </c>
      <c r="I10" s="14" t="n">
        <v>620</v>
      </c>
      <c r="J10" s="14" t="n">
        <v>850</v>
      </c>
      <c r="K10" s="14" t="n">
        <v>1100</v>
      </c>
      <c r="L10" s="15" t="n">
        <f aca="false">(K10/G10)^(1/4)-1</f>
        <v>0.386098537433923</v>
      </c>
      <c r="M10" s="16" t="s">
        <v>132</v>
      </c>
    </row>
    <row r="11" customFormat="false" ht="43.5" hidden="false" customHeight="true" outlineLevel="0" collapsed="false">
      <c r="A11" s="6" t="s">
        <v>59</v>
      </c>
      <c r="B11" s="12" t="s">
        <v>98</v>
      </c>
      <c r="C11" s="13" t="n">
        <v>181</v>
      </c>
      <c r="D11" s="13" t="n">
        <v>147</v>
      </c>
      <c r="E11" s="12" t="s">
        <v>98</v>
      </c>
      <c r="F11" s="12" t="s">
        <v>98</v>
      </c>
      <c r="G11" s="12" t="s">
        <v>98</v>
      </c>
      <c r="H11" s="14" t="n">
        <v>220</v>
      </c>
      <c r="I11" s="14" t="n">
        <v>280</v>
      </c>
      <c r="J11" s="14" t="n">
        <v>350</v>
      </c>
      <c r="K11" s="14" t="n">
        <v>430</v>
      </c>
      <c r="L11" s="12" t="s">
        <v>98</v>
      </c>
      <c r="M11" s="16" t="s">
        <v>133</v>
      </c>
    </row>
    <row r="12" customFormat="false" ht="43.5" hidden="false" customHeight="true" outlineLevel="0" collapsed="false">
      <c r="A12" s="6" t="s">
        <v>66</v>
      </c>
      <c r="B12" s="12" t="s">
        <v>98</v>
      </c>
      <c r="C12" s="12" t="s">
        <v>98</v>
      </c>
      <c r="D12" s="12" t="s">
        <v>98</v>
      </c>
      <c r="E12" s="13" t="n">
        <v>1</v>
      </c>
      <c r="F12" s="13" t="n">
        <v>-8</v>
      </c>
      <c r="G12" s="12" t="s">
        <v>98</v>
      </c>
      <c r="H12" s="14" t="n">
        <v>5</v>
      </c>
      <c r="I12" s="14" t="n">
        <v>20</v>
      </c>
      <c r="J12" s="14" t="n">
        <v>45</v>
      </c>
      <c r="K12" s="14" t="n">
        <v>80</v>
      </c>
      <c r="L12" s="12" t="s">
        <v>98</v>
      </c>
      <c r="M12" s="16" t="s">
        <v>134</v>
      </c>
    </row>
    <row r="13" customFormat="false" ht="43.5" hidden="false" customHeight="true" outlineLevel="0" collapsed="false">
      <c r="A13" s="6" t="s">
        <v>72</v>
      </c>
      <c r="B13" s="12" t="s">
        <v>98</v>
      </c>
      <c r="C13" s="12" t="s">
        <v>98</v>
      </c>
      <c r="D13" s="12" t="s">
        <v>98</v>
      </c>
      <c r="E13" s="12" t="s">
        <v>98</v>
      </c>
      <c r="F13" s="12" t="s">
        <v>98</v>
      </c>
      <c r="G13" s="12" t="s">
        <v>98</v>
      </c>
      <c r="H13" s="14" t="n">
        <v>40</v>
      </c>
      <c r="I13" s="14" t="n">
        <v>90</v>
      </c>
      <c r="J13" s="14" t="n">
        <v>150</v>
      </c>
      <c r="K13" s="14" t="n">
        <v>220</v>
      </c>
      <c r="L13" s="12" t="s">
        <v>98</v>
      </c>
      <c r="M13" s="16" t="s">
        <v>135</v>
      </c>
    </row>
    <row r="14" customFormat="false" ht="43.5" hidden="false" customHeight="true" outlineLevel="0" collapsed="false">
      <c r="A14" s="6" t="s">
        <v>77</v>
      </c>
      <c r="B14" s="12" t="s">
        <v>98</v>
      </c>
      <c r="C14" s="12" t="s">
        <v>98</v>
      </c>
      <c r="D14" s="12" t="s">
        <v>98</v>
      </c>
      <c r="E14" s="12" t="s">
        <v>98</v>
      </c>
      <c r="F14" s="12" t="s">
        <v>98</v>
      </c>
      <c r="G14" s="12" t="s">
        <v>98</v>
      </c>
      <c r="H14" s="14" t="n">
        <v>-20</v>
      </c>
      <c r="I14" s="14" t="n">
        <v>5</v>
      </c>
      <c r="J14" s="14" t="n">
        <v>30</v>
      </c>
      <c r="K14" s="14" t="n">
        <v>60</v>
      </c>
      <c r="L14" s="12" t="s">
        <v>98</v>
      </c>
      <c r="M14" s="16" t="s">
        <v>136</v>
      </c>
    </row>
    <row r="15" customFormat="false" ht="30" hidden="false" customHeight="true" outlineLevel="0" collapsed="false">
      <c r="A15" s="17" t="s">
        <v>109</v>
      </c>
      <c r="B15" s="18" t="n">
        <f aca="false">SUM(B5:B14)</f>
        <v>47</v>
      </c>
      <c r="C15" s="18" t="n">
        <f aca="false">SUM(C5:C14)</f>
        <v>181</v>
      </c>
      <c r="D15" s="18" t="n">
        <f aca="false">SUM(D5:D14)</f>
        <v>147</v>
      </c>
      <c r="E15" s="18" t="n">
        <f aca="false">SUM(E5:E14)</f>
        <v>1101</v>
      </c>
      <c r="F15" s="18" t="n">
        <f aca="false">SUM(F5:F14)</f>
        <v>143</v>
      </c>
      <c r="G15" s="18" t="n">
        <f aca="false">SUM(G5:G14)</f>
        <v>552</v>
      </c>
      <c r="H15" s="18" t="n">
        <f aca="false">SUM(H5:H14)</f>
        <v>1465</v>
      </c>
      <c r="I15" s="18" t="n">
        <f aca="false">SUM(I5:I14)</f>
        <v>2265</v>
      </c>
      <c r="J15" s="18" t="n">
        <f aca="false">SUM(J5:J14)</f>
        <v>3215</v>
      </c>
      <c r="K15" s="18" t="n">
        <f aca="false">SUM(K5:K14)</f>
        <v>4270</v>
      </c>
      <c r="L15" s="19"/>
      <c r="M15" s="20" t="s">
        <v>110</v>
      </c>
    </row>
    <row r="18" customFormat="false" ht="15" hidden="false" customHeight="false" outlineLevel="0" collapsed="false">
      <c r="A18" s="22" t="s">
        <v>137</v>
      </c>
      <c r="B18" s="23"/>
      <c r="C18" s="23"/>
      <c r="D18" s="23"/>
      <c r="E18" s="23"/>
      <c r="F18" s="23"/>
      <c r="G18" s="23"/>
      <c r="H18" s="23"/>
      <c r="I18" s="23"/>
      <c r="J18" s="23"/>
      <c r="K18" s="23"/>
      <c r="L18" s="23"/>
      <c r="M18" s="23"/>
    </row>
    <row r="19" customFormat="false" ht="24" hidden="false" customHeight="true" outlineLevel="0" collapsed="false">
      <c r="A19" s="5" t="s">
        <v>16</v>
      </c>
      <c r="B19" s="5" t="s">
        <v>86</v>
      </c>
      <c r="C19" s="5" t="s">
        <v>87</v>
      </c>
      <c r="D19" s="5" t="s">
        <v>88</v>
      </c>
      <c r="E19" s="5" t="s">
        <v>89</v>
      </c>
      <c r="F19" s="5" t="s">
        <v>90</v>
      </c>
      <c r="G19" s="5" t="s">
        <v>91</v>
      </c>
      <c r="H19" s="11" t="s">
        <v>92</v>
      </c>
      <c r="I19" s="11" t="s">
        <v>93</v>
      </c>
      <c r="J19" s="11" t="s">
        <v>94</v>
      </c>
      <c r="K19" s="11" t="s">
        <v>95</v>
      </c>
      <c r="L19" s="5"/>
      <c r="M19" s="5" t="s">
        <v>123</v>
      </c>
    </row>
    <row r="20" customFormat="false" ht="15" hidden="false" customHeight="false" outlineLevel="0" collapsed="false">
      <c r="A20" s="7" t="s">
        <v>24</v>
      </c>
      <c r="B20" s="8" t="str">
        <f aca="false">IF(OR(NOT(ISNUMBER(B5)),NOT(ISNUMBER(Revenue!B5))),"",B5/Revenue!B5)</f>
        <v/>
      </c>
      <c r="C20" s="8" t="str">
        <f aca="false">IF(OR(NOT(ISNUMBER(C5)),NOT(ISNUMBER(Revenue!C5))),"",C5/Revenue!C5)</f>
        <v/>
      </c>
      <c r="D20" s="8" t="str">
        <f aca="false">IF(OR(NOT(ISNUMBER(D5)),NOT(ISNUMBER(Revenue!D5))),"",D5/Revenue!D5)</f>
        <v/>
      </c>
      <c r="E20" s="8" t="n">
        <f aca="false">IF(OR(NOT(ISNUMBER(E5)),NOT(ISNUMBER(Revenue!E5))),"",E5/Revenue!E5)</f>
        <v>0.0109843683988171</v>
      </c>
      <c r="F20" s="8" t="str">
        <f aca="false">IF(OR(NOT(ISNUMBER(F5)),NOT(ISNUMBER(Revenue!F5))),"",F5/Revenue!F5)</f>
        <v/>
      </c>
      <c r="G20" s="8" t="n">
        <f aca="false">IF(OR(NOT(ISNUMBER(G5)),NOT(ISNUMBER(Revenue!G5))),"",G5/Revenue!G5)</f>
        <v>0.0385577323884952</v>
      </c>
      <c r="H20" s="15" t="n">
        <f aca="false">IF(OR(NOT(ISNUMBER(H5)),NOT(ISNUMBER(Revenue!H5))),"",H5/Revenue!H5)</f>
        <v>0.0433333333333333</v>
      </c>
      <c r="I20" s="15" t="n">
        <f aca="false">IF(OR(NOT(ISNUMBER(I5)),NOT(ISNUMBER(Revenue!I5))),"",I5/Revenue!I5)</f>
        <v>0.048</v>
      </c>
      <c r="J20" s="15" t="n">
        <f aca="false">IF(OR(NOT(ISNUMBER(J5)),NOT(ISNUMBER(Revenue!J5))),"",J5/Revenue!J5)</f>
        <v>0.0521739130434783</v>
      </c>
      <c r="K20" s="15" t="n">
        <f aca="false">IF(OR(NOT(ISNUMBER(K5)),NOT(ISNUMBER(Revenue!K5))),"",K5/Revenue!K5)</f>
        <v>0.0545454545454545</v>
      </c>
      <c r="M20" s="24"/>
    </row>
    <row r="21" customFormat="false" ht="15" hidden="false" customHeight="false" outlineLevel="0" collapsed="false">
      <c r="A21" s="7" t="s">
        <v>31</v>
      </c>
      <c r="B21" s="8" t="str">
        <f aca="false">IF(OR(NOT(ISNUMBER(B6)),NOT(ISNUMBER(Revenue!B6))),"",B6/Revenue!B6)</f>
        <v/>
      </c>
      <c r="C21" s="8" t="str">
        <f aca="false">IF(OR(NOT(ISNUMBER(C6)),NOT(ISNUMBER(Revenue!C6))),"",C6/Revenue!C6)</f>
        <v/>
      </c>
      <c r="D21" s="8" t="str">
        <f aca="false">IF(OR(NOT(ISNUMBER(D6)),NOT(ISNUMBER(Revenue!D6))),"",D6/Revenue!D6)</f>
        <v/>
      </c>
      <c r="E21" s="8" t="str">
        <f aca="false">IF(OR(NOT(ISNUMBER(E6)),NOT(ISNUMBER(Revenue!E6))),"",E6/Revenue!E6)</f>
        <v/>
      </c>
      <c r="F21" s="8" t="str">
        <f aca="false">IF(OR(NOT(ISNUMBER(F6)),NOT(ISNUMBER(Revenue!F6))),"",F6/Revenue!F6)</f>
        <v/>
      </c>
      <c r="G21" s="8" t="str">
        <f aca="false">IF(OR(NOT(ISNUMBER(G6)),NOT(ISNUMBER(Revenue!G6))),"",G6/Revenue!G6)</f>
        <v/>
      </c>
      <c r="H21" s="15" t="n">
        <f aca="false">IF(OR(NOT(ISNUMBER(H6)),NOT(ISNUMBER(Revenue!H6))),"",H6/Revenue!H6)</f>
        <v>0.0257142857142857</v>
      </c>
      <c r="I21" s="15" t="n">
        <f aca="false">IF(OR(NOT(ISNUMBER(I6)),NOT(ISNUMBER(Revenue!I6))),"",I6/Revenue!I6)</f>
        <v>0.0352941176470588</v>
      </c>
      <c r="J21" s="15" t="n">
        <f aca="false">IF(OR(NOT(ISNUMBER(J6)),NOT(ISNUMBER(Revenue!J6))),"",J6/Revenue!J6)</f>
        <v>0.0427184466019418</v>
      </c>
      <c r="K21" s="15" t="n">
        <f aca="false">IF(OR(NOT(ISNUMBER(K6)),NOT(ISNUMBER(Revenue!K6))),"",K6/Revenue!K6)</f>
        <v>0.0487603305785124</v>
      </c>
      <c r="M21" s="24"/>
    </row>
    <row r="22" customFormat="false" ht="15" hidden="false" customHeight="false" outlineLevel="0" collapsed="false">
      <c r="A22" s="7" t="s">
        <v>37</v>
      </c>
      <c r="B22" s="8" t="str">
        <f aca="false">IF(OR(NOT(ISNUMBER(B7)),NOT(ISNUMBER(Revenue!B7))),"",B7/Revenue!B7)</f>
        <v/>
      </c>
      <c r="C22" s="8" t="str">
        <f aca="false">IF(OR(NOT(ISNUMBER(C7)),NOT(ISNUMBER(Revenue!C7))),"",C7/Revenue!C7)</f>
        <v/>
      </c>
      <c r="D22" s="8" t="str">
        <f aca="false">IF(OR(NOT(ISNUMBER(D7)),NOT(ISNUMBER(Revenue!D7))),"",D7/Revenue!D7)</f>
        <v/>
      </c>
      <c r="E22" s="8" t="n">
        <f aca="false">IF(OR(NOT(ISNUMBER(E7)),NOT(ISNUMBER(Revenue!E7))),"",E7/Revenue!E7)</f>
        <v>4.36923076923077</v>
      </c>
      <c r="F22" s="8" t="str">
        <f aca="false">IF(OR(NOT(ISNUMBER(F7)),NOT(ISNUMBER(Revenue!F7))),"",F7/Revenue!F7)</f>
        <v/>
      </c>
      <c r="G22" s="8" t="str">
        <f aca="false">IF(OR(NOT(ISNUMBER(G7)),NOT(ISNUMBER(Revenue!G7))),"",G7/Revenue!G7)</f>
        <v/>
      </c>
      <c r="H22" s="15" t="n">
        <f aca="false">IF(OR(NOT(ISNUMBER(H7)),NOT(ISNUMBER(Revenue!H7))),"",H7/Revenue!H7)</f>
        <v>0.125</v>
      </c>
      <c r="I22" s="15" t="n">
        <f aca="false">IF(OR(NOT(ISNUMBER(I7)),NOT(ISNUMBER(Revenue!I7))),"",I7/Revenue!I7)</f>
        <v>0.13</v>
      </c>
      <c r="J22" s="15" t="n">
        <f aca="false">IF(OR(NOT(ISNUMBER(J7)),NOT(ISNUMBER(Revenue!J7))),"",J7/Revenue!J7)</f>
        <v>0.133333333333333</v>
      </c>
      <c r="K22" s="15" t="n">
        <f aca="false">IF(OR(NOT(ISNUMBER(K7)),NOT(ISNUMBER(Revenue!K7))),"",K7/Revenue!K7)</f>
        <v>0.133333333333333</v>
      </c>
      <c r="M22" s="24"/>
    </row>
    <row r="23" customFormat="false" ht="15" hidden="false" customHeight="false" outlineLevel="0" collapsed="false">
      <c r="A23" s="7" t="s">
        <v>43</v>
      </c>
      <c r="B23" s="8" t="n">
        <f aca="false">IF(OR(NOT(ISNUMBER(B8)),NOT(ISNUMBER(Revenue!B8))),"",B8/Revenue!B8)</f>
        <v>0.0143995098039216</v>
      </c>
      <c r="C23" s="8" t="str">
        <f aca="false">IF(OR(NOT(ISNUMBER(C8)),NOT(ISNUMBER(Revenue!C8))),"",C8/Revenue!C8)</f>
        <v/>
      </c>
      <c r="D23" s="8" t="str">
        <f aca="false">IF(OR(NOT(ISNUMBER(D8)),NOT(ISNUMBER(Revenue!D8))),"",D8/Revenue!D8)</f>
        <v/>
      </c>
      <c r="E23" s="8" t="n">
        <f aca="false">IF(OR(NOT(ISNUMBER(E8)),NOT(ISNUMBER(Revenue!E8))),"",E8/Revenue!E8)</f>
        <v>0.00145296040682891</v>
      </c>
      <c r="F23" s="8" t="n">
        <f aca="false">IF(OR(NOT(ISNUMBER(F8)),NOT(ISNUMBER(Revenue!F8))),"",F8/Revenue!F8)</f>
        <v>-0.0058968058968059</v>
      </c>
      <c r="G23" s="8" t="n">
        <f aca="false">IF(OR(NOT(ISNUMBER(G8)),NOT(ISNUMBER(Revenue!G8))),"",G8/Revenue!G8)</f>
        <v>0.000285755107872553</v>
      </c>
      <c r="H23" s="15" t="n">
        <f aca="false">IF(OR(NOT(ISNUMBER(H8)),NOT(ISNUMBER(Revenue!H8))),"",H8/Revenue!H8)</f>
        <v>0.00745341614906832</v>
      </c>
      <c r="I23" s="15" t="n">
        <f aca="false">IF(OR(NOT(ISNUMBER(I8)),NOT(ISNUMBER(Revenue!I8))),"",I8/Revenue!I8)</f>
        <v>0.0140540540540541</v>
      </c>
      <c r="J23" s="15" t="n">
        <f aca="false">IF(OR(NOT(ISNUMBER(J8)),NOT(ISNUMBER(Revenue!J8))),"",J8/Revenue!J8)</f>
        <v>0.019811320754717</v>
      </c>
      <c r="K23" s="15" t="n">
        <f aca="false">IF(OR(NOT(ISNUMBER(K8)),NOT(ISNUMBER(Revenue!K8))),"",K8/Revenue!K8)</f>
        <v>0.0247933884297521</v>
      </c>
      <c r="M23" s="24"/>
    </row>
    <row r="24" customFormat="false" ht="15" hidden="false" customHeight="false" outlineLevel="0" collapsed="false">
      <c r="A24" s="7" t="s">
        <v>49</v>
      </c>
      <c r="B24" s="8" t="str">
        <f aca="false">IF(OR(NOT(ISNUMBER(B9)),NOT(ISNUMBER(Revenue!B9))),"",B9/Revenue!B9)</f>
        <v/>
      </c>
      <c r="C24" s="8" t="str">
        <f aca="false">IF(OR(NOT(ISNUMBER(C9)),NOT(ISNUMBER(Revenue!C9))),"",C9/Revenue!C9)</f>
        <v/>
      </c>
      <c r="D24" s="8" t="str">
        <f aca="false">IF(OR(NOT(ISNUMBER(D9)),NOT(ISNUMBER(Revenue!D9))),"",D9/Revenue!D9)</f>
        <v/>
      </c>
      <c r="E24" s="8" t="n">
        <f aca="false">IF(OR(NOT(ISNUMBER(E9)),NOT(ISNUMBER(Revenue!E9))),"",E9/Revenue!E9)</f>
        <v>0.042962962962963</v>
      </c>
      <c r="F24" s="8" t="n">
        <f aca="false">IF(OR(NOT(ISNUMBER(F9)),NOT(ISNUMBER(Revenue!F9))),"",F9/Revenue!F9)</f>
        <v>0.043298969072165</v>
      </c>
      <c r="G24" s="8" t="n">
        <f aca="false">IF(OR(NOT(ISNUMBER(G9)),NOT(ISNUMBER(Revenue!G9))),"",G9/Revenue!G9)</f>
        <v>0.0215019255455712</v>
      </c>
      <c r="H24" s="15" t="n">
        <f aca="false">IF(OR(NOT(ISNUMBER(H9)),NOT(ISNUMBER(Revenue!H9))),"",H9/Revenue!H9)</f>
        <v>0.0434782608695652</v>
      </c>
      <c r="I24" s="15" t="n">
        <f aca="false">IF(OR(NOT(ISNUMBER(I9)),NOT(ISNUMBER(Revenue!I9))),"",I9/Revenue!I9)</f>
        <v>0.051948051948052</v>
      </c>
      <c r="J24" s="15" t="n">
        <f aca="false">IF(OR(NOT(ISNUMBER(J9)),NOT(ISNUMBER(Revenue!J9))),"",J9/Revenue!J9)</f>
        <v>0.0604651162790698</v>
      </c>
      <c r="K24" s="15" t="n">
        <f aca="false">IF(OR(NOT(ISNUMBER(K9)),NOT(ISNUMBER(Revenue!K9))),"",K9/Revenue!K9)</f>
        <v>0.06875</v>
      </c>
      <c r="M24" s="24"/>
    </row>
    <row r="25" customFormat="false" ht="15" hidden="false" customHeight="false" outlineLevel="0" collapsed="false">
      <c r="A25" s="7" t="s">
        <v>54</v>
      </c>
      <c r="B25" s="8" t="str">
        <f aca="false">IF(OR(NOT(ISNUMBER(B10)),NOT(ISNUMBER(Revenue!B10))),"",B10/Revenue!B10)</f>
        <v/>
      </c>
      <c r="C25" s="8" t="str">
        <f aca="false">IF(OR(NOT(ISNUMBER(C10)),NOT(ISNUMBER(Revenue!C10))),"",C10/Revenue!C10)</f>
        <v/>
      </c>
      <c r="D25" s="8" t="str">
        <f aca="false">IF(OR(NOT(ISNUMBER(D10)),NOT(ISNUMBER(Revenue!D10))),"",D10/Revenue!D10)</f>
        <v/>
      </c>
      <c r="E25" s="8" t="n">
        <f aca="false">IF(OR(NOT(ISNUMBER(E10)),NOT(ISNUMBER(Revenue!E10))),"",E10/Revenue!E10)</f>
        <v>0.351254480286738</v>
      </c>
      <c r="F25" s="8" t="n">
        <f aca="false">IF(OR(NOT(ISNUMBER(F10)),NOT(ISNUMBER(Revenue!F10))),"",F10/Revenue!F10)</f>
        <v>0.131465517241379</v>
      </c>
      <c r="G25" s="8" t="n">
        <f aca="false">IF(OR(NOT(ISNUMBER(G10)),NOT(ISNUMBER(Revenue!G10))),"",G10/Revenue!G10)</f>
        <v>0.0723652258377853</v>
      </c>
      <c r="H25" s="15" t="n">
        <f aca="false">IF(OR(NOT(ISNUMBER(H10)),NOT(ISNUMBER(Revenue!H10))),"",H10/Revenue!H10)</f>
        <v>0.091304347826087</v>
      </c>
      <c r="I25" s="15" t="n">
        <f aca="false">IF(OR(NOT(ISNUMBER(I10)),NOT(ISNUMBER(Revenue!I10))),"",I10/Revenue!I10)</f>
        <v>0.106896551724138</v>
      </c>
      <c r="J25" s="15" t="n">
        <f aca="false">IF(OR(NOT(ISNUMBER(J10)),NOT(ISNUMBER(Revenue!J10))),"",J10/Revenue!J10)</f>
        <v>0.118055555555556</v>
      </c>
      <c r="K25" s="15" t="n">
        <f aca="false">IF(OR(NOT(ISNUMBER(K10)),NOT(ISNUMBER(Revenue!K10))),"",K10/Revenue!K10)</f>
        <v>0.125</v>
      </c>
      <c r="M25" s="24"/>
    </row>
    <row r="26" customFormat="false" ht="15" hidden="false" customHeight="false" outlineLevel="0" collapsed="false">
      <c r="A26" s="7" t="s">
        <v>59</v>
      </c>
      <c r="B26" s="8" t="str">
        <f aca="false">IF(OR(NOT(ISNUMBER(B11)),NOT(ISNUMBER(Revenue!B11))),"",B11/Revenue!B11)</f>
        <v/>
      </c>
      <c r="C26" s="8" t="str">
        <f aca="false">IF(OR(NOT(ISNUMBER(C11)),NOT(ISNUMBER(Revenue!C11))),"",C11/Revenue!C11)</f>
        <v/>
      </c>
      <c r="D26" s="8" t="n">
        <f aca="false">IF(OR(NOT(ISNUMBER(D11)),NOT(ISNUMBER(Revenue!D11))),"",D11/Revenue!D11)</f>
        <v>0.0351002865329513</v>
      </c>
      <c r="E26" s="8" t="str">
        <f aca="false">IF(OR(NOT(ISNUMBER(E11)),NOT(ISNUMBER(Revenue!E11))),"",E11/Revenue!E11)</f>
        <v/>
      </c>
      <c r="F26" s="8" t="str">
        <f aca="false">IF(OR(NOT(ISNUMBER(F11)),NOT(ISNUMBER(Revenue!F11))),"",F11/Revenue!F11)</f>
        <v/>
      </c>
      <c r="G26" s="8" t="str">
        <f aca="false">IF(OR(NOT(ISNUMBER(G11)),NOT(ISNUMBER(Revenue!G11))),"",G11/Revenue!G11)</f>
        <v/>
      </c>
      <c r="H26" s="15" t="n">
        <f aca="false">IF(OR(NOT(ISNUMBER(H11)),NOT(ISNUMBER(Revenue!H11))),"",H11/Revenue!H11)</f>
        <v>0.0392857142857143</v>
      </c>
      <c r="I26" s="15" t="n">
        <f aca="false">IF(OR(NOT(ISNUMBER(I11)),NOT(ISNUMBER(Revenue!I11))),"",I11/Revenue!I11)</f>
        <v>0.04375</v>
      </c>
      <c r="J26" s="15" t="n">
        <f aca="false">IF(OR(NOT(ISNUMBER(J11)),NOT(ISNUMBER(Revenue!J11))),"",J11/Revenue!J11)</f>
        <v>0.0479452054794521</v>
      </c>
      <c r="K26" s="15" t="n">
        <f aca="false">IF(OR(NOT(ISNUMBER(K11)),NOT(ISNUMBER(Revenue!K11))),"",K11/Revenue!K11)</f>
        <v>0.0518072289156627</v>
      </c>
      <c r="M26" s="24"/>
    </row>
    <row r="27" customFormat="false" ht="15" hidden="false" customHeight="false" outlineLevel="0" collapsed="false">
      <c r="A27" s="7" t="s">
        <v>66</v>
      </c>
      <c r="B27" s="8" t="str">
        <f aca="false">IF(OR(NOT(ISNUMBER(B12)),NOT(ISNUMBER(Revenue!B12))),"",B12/Revenue!B12)</f>
        <v/>
      </c>
      <c r="C27" s="8" t="str">
        <f aca="false">IF(OR(NOT(ISNUMBER(C12)),NOT(ISNUMBER(Revenue!C12))),"",C12/Revenue!C12)</f>
        <v/>
      </c>
      <c r="D27" s="8" t="str">
        <f aca="false">IF(OR(NOT(ISNUMBER(D12)),NOT(ISNUMBER(Revenue!D12))),"",D12/Revenue!D12)</f>
        <v/>
      </c>
      <c r="E27" s="8" t="n">
        <f aca="false">IF(OR(NOT(ISNUMBER(E12)),NOT(ISNUMBER(Revenue!E12))),"",E12/Revenue!E12)</f>
        <v>0.00425531914893617</v>
      </c>
      <c r="F27" s="8" t="n">
        <f aca="false">IF(OR(NOT(ISNUMBER(F12)),NOT(ISNUMBER(Revenue!F12))),"",F12/Revenue!F12)</f>
        <v>-0.0310077519379845</v>
      </c>
      <c r="G27" s="8" t="str">
        <f aca="false">IF(OR(NOT(ISNUMBER(G12)),NOT(ISNUMBER(Revenue!G12))),"",G12/Revenue!G12)</f>
        <v/>
      </c>
      <c r="H27" s="15" t="n">
        <f aca="false">IF(OR(NOT(ISNUMBER(H12)),NOT(ISNUMBER(Revenue!H12))),"",H12/Revenue!H12)</f>
        <v>0.0147058823529412</v>
      </c>
      <c r="I27" s="15" t="n">
        <f aca="false">IF(OR(NOT(ISNUMBER(I12)),NOT(ISNUMBER(Revenue!I12))),"",I12/Revenue!I12)</f>
        <v>0.0425531914893617</v>
      </c>
      <c r="J27" s="15" t="n">
        <f aca="false">IF(OR(NOT(ISNUMBER(J12)),NOT(ISNUMBER(Revenue!J12))),"",J12/Revenue!J12)</f>
        <v>0.0692307692307692</v>
      </c>
      <c r="K27" s="15" t="n">
        <f aca="false">IF(OR(NOT(ISNUMBER(K12)),NOT(ISNUMBER(Revenue!K12))),"",K12/Revenue!K12)</f>
        <v>0.0888888888888889</v>
      </c>
      <c r="M27" s="24"/>
    </row>
    <row r="28" customFormat="false" ht="15" hidden="false" customHeight="false" outlineLevel="0" collapsed="false">
      <c r="A28" s="7" t="s">
        <v>72</v>
      </c>
      <c r="B28" s="8" t="str">
        <f aca="false">IF(OR(NOT(ISNUMBER(B13)),NOT(ISNUMBER(Revenue!B13))),"",B13/Revenue!B13)</f>
        <v/>
      </c>
      <c r="C28" s="8" t="str">
        <f aca="false">IF(OR(NOT(ISNUMBER(C13)),NOT(ISNUMBER(Revenue!C13))),"",C13/Revenue!C13)</f>
        <v/>
      </c>
      <c r="D28" s="8" t="str">
        <f aca="false">IF(OR(NOT(ISNUMBER(D13)),NOT(ISNUMBER(Revenue!D13))),"",D13/Revenue!D13)</f>
        <v/>
      </c>
      <c r="E28" s="8" t="str">
        <f aca="false">IF(OR(NOT(ISNUMBER(E13)),NOT(ISNUMBER(Revenue!E13))),"",E13/Revenue!E13)</f>
        <v/>
      </c>
      <c r="F28" s="8" t="str">
        <f aca="false">IF(OR(NOT(ISNUMBER(F13)),NOT(ISNUMBER(Revenue!F13))),"",F13/Revenue!F13)</f>
        <v/>
      </c>
      <c r="G28" s="8" t="str">
        <f aca="false">IF(OR(NOT(ISNUMBER(G13)),NOT(ISNUMBER(Revenue!G13))),"",G13/Revenue!G13)</f>
        <v/>
      </c>
      <c r="H28" s="15" t="n">
        <f aca="false">IF(OR(NOT(ISNUMBER(H13)),NOT(ISNUMBER(Revenue!H13))),"",H13/Revenue!H13)</f>
        <v>0.032</v>
      </c>
      <c r="I28" s="15" t="n">
        <f aca="false">IF(OR(NOT(ISNUMBER(I13)),NOT(ISNUMBER(Revenue!I13))),"",I13/Revenue!I13)</f>
        <v>0.0529411764705882</v>
      </c>
      <c r="J28" s="15" t="n">
        <f aca="false">IF(OR(NOT(ISNUMBER(J13)),NOT(ISNUMBER(Revenue!J13))),"",J13/Revenue!J13)</f>
        <v>0.0714285714285714</v>
      </c>
      <c r="K28" s="15" t="n">
        <f aca="false">IF(OR(NOT(ISNUMBER(K13)),NOT(ISNUMBER(Revenue!K13))),"",K13/Revenue!K13)</f>
        <v>0.0862745098039216</v>
      </c>
      <c r="M28" s="24"/>
    </row>
    <row r="29" customFormat="false" ht="15" hidden="false" customHeight="false" outlineLevel="0" collapsed="false">
      <c r="A29" s="7" t="s">
        <v>77</v>
      </c>
      <c r="B29" s="8" t="str">
        <f aca="false">IF(OR(NOT(ISNUMBER(B14)),NOT(ISNUMBER(Revenue!B14))),"",B14/Revenue!B14)</f>
        <v/>
      </c>
      <c r="C29" s="8" t="str">
        <f aca="false">IF(OR(NOT(ISNUMBER(C14)),NOT(ISNUMBER(Revenue!C14))),"",C14/Revenue!C14)</f>
        <v/>
      </c>
      <c r="D29" s="8" t="str">
        <f aca="false">IF(OR(NOT(ISNUMBER(D14)),NOT(ISNUMBER(Revenue!D14))),"",D14/Revenue!D14)</f>
        <v/>
      </c>
      <c r="E29" s="8" t="str">
        <f aca="false">IF(OR(NOT(ISNUMBER(E14)),NOT(ISNUMBER(Revenue!E14))),"",E14/Revenue!E14)</f>
        <v/>
      </c>
      <c r="F29" s="8" t="str">
        <f aca="false">IF(OR(NOT(ISNUMBER(F14)),NOT(ISNUMBER(Revenue!F14))),"",F14/Revenue!F14)</f>
        <v/>
      </c>
      <c r="G29" s="8" t="str">
        <f aca="false">IF(OR(NOT(ISNUMBER(G14)),NOT(ISNUMBER(Revenue!G14))),"",G14/Revenue!G14)</f>
        <v/>
      </c>
      <c r="H29" s="15" t="n">
        <f aca="false">IF(OR(NOT(ISNUMBER(H14)),NOT(ISNUMBER(Revenue!H14))),"",H14/Revenue!H14)</f>
        <v>-0.0526315789473684</v>
      </c>
      <c r="I29" s="15" t="n">
        <f aca="false">IF(OR(NOT(ISNUMBER(I14)),NOT(ISNUMBER(Revenue!I14))),"",I14/Revenue!I14)</f>
        <v>0.0106382978723404</v>
      </c>
      <c r="J29" s="15" t="n">
        <f aca="false">IF(OR(NOT(ISNUMBER(J14)),NOT(ISNUMBER(Revenue!J14))),"",J14/Revenue!J14)</f>
        <v>0.0517241379310345</v>
      </c>
      <c r="K29" s="15" t="n">
        <f aca="false">IF(OR(NOT(ISNUMBER(K14)),NOT(ISNUMBER(Revenue!K14))),"",K14/Revenue!K14)</f>
        <v>0.0833333333333333</v>
      </c>
      <c r="M29" s="24"/>
    </row>
    <row r="31" customFormat="false" ht="15" hidden="false" customHeight="false" outlineLevel="0" collapsed="false">
      <c r="A31" s="25" t="s">
        <v>138</v>
      </c>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
    <col collapsed="false" customWidth="true" hidden="false" outlineLevel="0" max="12" min="3" style="0" width="10"/>
    <col collapsed="false" customWidth="true" hidden="false" outlineLevel="0" max="13" min="13" style="0" width="74"/>
    <col collapsed="false" customWidth="true" hidden="false" outlineLevel="0" max="14" min="14" style="0" width="3"/>
  </cols>
  <sheetData>
    <row r="1" customFormat="false" ht="25.5" hidden="false" customHeight="true" outlineLevel="0" collapsed="false">
      <c r="A1" s="1" t="s">
        <v>139</v>
      </c>
      <c r="B1" s="1"/>
      <c r="C1" s="1"/>
      <c r="D1" s="1"/>
      <c r="E1" s="1"/>
      <c r="F1" s="1"/>
      <c r="G1" s="1"/>
      <c r="H1" s="1"/>
      <c r="I1" s="1"/>
      <c r="J1" s="1"/>
      <c r="K1" s="1"/>
      <c r="L1" s="1"/>
      <c r="M1" s="1"/>
      <c r="N1" s="1"/>
    </row>
    <row r="2" customFormat="false" ht="15.75" hidden="false" customHeight="true" outlineLevel="0" collapsed="false">
      <c r="A2" s="2" t="s">
        <v>140</v>
      </c>
      <c r="B2" s="2"/>
      <c r="C2" s="2"/>
      <c r="D2" s="2"/>
      <c r="E2" s="2"/>
      <c r="F2" s="2"/>
      <c r="G2" s="2"/>
      <c r="H2" s="2"/>
      <c r="I2" s="2"/>
      <c r="J2" s="2"/>
      <c r="K2" s="2"/>
      <c r="L2" s="2"/>
      <c r="M2" s="2"/>
      <c r="N2" s="2"/>
    </row>
    <row r="4" customFormat="false" ht="27.75" hidden="false" customHeight="true" outlineLevel="0" collapsed="false">
      <c r="A4" s="5" t="s">
        <v>141</v>
      </c>
      <c r="B4" s="5" t="s">
        <v>18</v>
      </c>
      <c r="C4" s="5" t="s">
        <v>86</v>
      </c>
      <c r="D4" s="5" t="s">
        <v>87</v>
      </c>
      <c r="E4" s="5" t="s">
        <v>88</v>
      </c>
      <c r="F4" s="5" t="s">
        <v>89</v>
      </c>
      <c r="G4" s="5" t="s">
        <v>90</v>
      </c>
      <c r="H4" s="5" t="s">
        <v>91</v>
      </c>
      <c r="I4" s="11" t="s">
        <v>92</v>
      </c>
      <c r="J4" s="11" t="s">
        <v>93</v>
      </c>
      <c r="K4" s="11" t="s">
        <v>94</v>
      </c>
      <c r="L4" s="11" t="s">
        <v>95</v>
      </c>
      <c r="M4" s="5" t="s">
        <v>142</v>
      </c>
    </row>
    <row r="5" customFormat="false" ht="15" hidden="false" customHeight="false" outlineLevel="0" collapsed="false">
      <c r="A5" s="7" t="s">
        <v>24</v>
      </c>
      <c r="B5" s="8" t="n">
        <v>0.7579</v>
      </c>
      <c r="C5" s="13" t="str">
        <f aca="false">IF(NOT(ISNUMBER(PAT!B5)),"",PAT!B5*$B5)</f>
        <v/>
      </c>
      <c r="D5" s="13" t="str">
        <f aca="false">IF(NOT(ISNUMBER(PAT!C5)),"",PAT!C5*$B5)</f>
        <v/>
      </c>
      <c r="E5" s="13" t="str">
        <f aca="false">IF(NOT(ISNUMBER(PAT!D5)),"",PAT!D5*$B5)</f>
        <v/>
      </c>
      <c r="F5" s="13" t="n">
        <f aca="false">IF(NOT(ISNUMBER(PAT!E5)),"",PAT!E5*$B5)</f>
        <v>19.7054</v>
      </c>
      <c r="G5" s="13" t="str">
        <f aca="false">IF(NOT(ISNUMBER(PAT!F5)),"",PAT!F5*$B5)</f>
        <v/>
      </c>
      <c r="H5" s="13" t="n">
        <f aca="false">IF(NOT(ISNUMBER(PAT!G5)),"",PAT!G5*$B5)</f>
        <v>140.2115</v>
      </c>
      <c r="I5" s="14" t="n">
        <f aca="false">IF(NOT(ISNUMBER(PAT!H5)),"",PAT!H5*$B5)</f>
        <v>197.054</v>
      </c>
      <c r="J5" s="14" t="n">
        <f aca="false">IF(NOT(ISNUMBER(PAT!I5)),"",PAT!I5*$B5)</f>
        <v>272.844</v>
      </c>
      <c r="K5" s="14" t="n">
        <f aca="false">IF(NOT(ISNUMBER(PAT!J5)),"",PAT!J5*$B5)</f>
        <v>363.792</v>
      </c>
      <c r="L5" s="14" t="n">
        <f aca="false">IF(NOT(ISNUMBER(PAT!K5)),"",PAT!K5*$B5)</f>
        <v>454.74</v>
      </c>
      <c r="M5" s="16" t="s">
        <v>30</v>
      </c>
    </row>
    <row r="6" customFormat="false" ht="15" hidden="false" customHeight="false" outlineLevel="0" collapsed="false">
      <c r="A6" s="7" t="s">
        <v>31</v>
      </c>
      <c r="B6" s="8" t="n">
        <v>0.5896</v>
      </c>
      <c r="C6" s="13" t="str">
        <f aca="false">IF(NOT(ISNUMBER(PAT!B6)),"",PAT!B6*$B6)</f>
        <v/>
      </c>
      <c r="D6" s="13" t="str">
        <f aca="false">IF(NOT(ISNUMBER(PAT!C6)),"",PAT!C6*$B6)</f>
        <v/>
      </c>
      <c r="E6" s="13" t="str">
        <f aca="false">IF(NOT(ISNUMBER(PAT!D6)),"",PAT!D6*$B6)</f>
        <v/>
      </c>
      <c r="F6" s="13" t="str">
        <f aca="false">IF(NOT(ISNUMBER(PAT!E6)),"",PAT!E6*$B6)</f>
        <v/>
      </c>
      <c r="G6" s="13" t="str">
        <f aca="false">IF(NOT(ISNUMBER(PAT!F6)),"",PAT!F6*$B6)</f>
        <v/>
      </c>
      <c r="H6" s="13" t="str">
        <f aca="false">IF(NOT(ISNUMBER(PAT!G6)),"",PAT!G6*$B6)</f>
        <v/>
      </c>
      <c r="I6" s="14" t="n">
        <f aca="false">IF(NOT(ISNUMBER(PAT!H6)),"",PAT!H6*$B6)</f>
        <v>106.128</v>
      </c>
      <c r="J6" s="14" t="n">
        <f aca="false">IF(NOT(ISNUMBER(PAT!I6)),"",PAT!I6*$B6)</f>
        <v>176.88</v>
      </c>
      <c r="K6" s="14" t="n">
        <f aca="false">IF(NOT(ISNUMBER(PAT!J6)),"",PAT!J6*$B6)</f>
        <v>259.424</v>
      </c>
      <c r="L6" s="14" t="n">
        <f aca="false">IF(NOT(ISNUMBER(PAT!K6)),"",PAT!K6*$B6)</f>
        <v>347.864</v>
      </c>
      <c r="M6" s="16" t="s">
        <v>36</v>
      </c>
    </row>
    <row r="7" customFormat="false" ht="15" hidden="false" customHeight="false" outlineLevel="0" collapsed="false">
      <c r="A7" s="7" t="s">
        <v>37</v>
      </c>
      <c r="B7" s="15" t="n">
        <v>0.7</v>
      </c>
      <c r="C7" s="13" t="str">
        <f aca="false">IF(NOT(ISNUMBER(PAT!B7)),"",PAT!B7*$B7)</f>
        <v/>
      </c>
      <c r="D7" s="13" t="str">
        <f aca="false">IF(NOT(ISNUMBER(PAT!C7)),"",PAT!C7*$B7)</f>
        <v/>
      </c>
      <c r="E7" s="13" t="str">
        <f aca="false">IF(NOT(ISNUMBER(PAT!D7)),"",PAT!D7*$B7)</f>
        <v/>
      </c>
      <c r="F7" s="13" t="n">
        <f aca="false">IF(NOT(ISNUMBER(PAT!E7)),"",PAT!E7*$B7)</f>
        <v>596.4</v>
      </c>
      <c r="G7" s="13" t="str">
        <f aca="false">IF(NOT(ISNUMBER(PAT!F7)),"",PAT!F7*$B7)</f>
        <v/>
      </c>
      <c r="H7" s="13" t="str">
        <f aca="false">IF(NOT(ISNUMBER(PAT!G7)),"",PAT!G7*$B7)</f>
        <v/>
      </c>
      <c r="I7" s="14" t="n">
        <f aca="false">IF(NOT(ISNUMBER(PAT!H7)),"",PAT!H7*$B7)</f>
        <v>105</v>
      </c>
      <c r="J7" s="14" t="n">
        <f aca="false">IF(NOT(ISNUMBER(PAT!I7)),"",PAT!I7*$B7)</f>
        <v>182</v>
      </c>
      <c r="K7" s="14" t="n">
        <f aca="false">IF(NOT(ISNUMBER(PAT!J7)),"",PAT!J7*$B7)</f>
        <v>280</v>
      </c>
      <c r="L7" s="14" t="n">
        <f aca="false">IF(NOT(ISNUMBER(PAT!K7)),"",PAT!K7*$B7)</f>
        <v>392</v>
      </c>
      <c r="M7" s="16" t="s">
        <v>42</v>
      </c>
    </row>
    <row r="8" customFormat="false" ht="15" hidden="false" customHeight="false" outlineLevel="0" collapsed="false">
      <c r="A8" s="7" t="s">
        <v>43</v>
      </c>
      <c r="B8" s="8" t="n">
        <v>0.58</v>
      </c>
      <c r="C8" s="13" t="n">
        <f aca="false">IF(NOT(ISNUMBER(PAT!B8)),"",PAT!B8*$B8)</f>
        <v>27.26</v>
      </c>
      <c r="D8" s="13" t="str">
        <f aca="false">IF(NOT(ISNUMBER(PAT!C8)),"",PAT!C8*$B8)</f>
        <v/>
      </c>
      <c r="E8" s="13" t="str">
        <f aca="false">IF(NOT(ISNUMBER(PAT!D8)),"",PAT!D8*$B8)</f>
        <v/>
      </c>
      <c r="F8" s="13" t="n">
        <f aca="false">IF(NOT(ISNUMBER(PAT!E8)),"",PAT!E8*$B8)</f>
        <v>4.64</v>
      </c>
      <c r="G8" s="13" t="n">
        <f aca="false">IF(NOT(ISNUMBER(PAT!F8)),"",PAT!F8*$B8)</f>
        <v>-20.88</v>
      </c>
      <c r="H8" s="13" t="n">
        <f aca="false">IF(NOT(ISNUMBER(PAT!G8)),"",PAT!G8*$B8)</f>
        <v>1.16</v>
      </c>
      <c r="I8" s="14" t="n">
        <f aca="false">IF(NOT(ISNUMBER(PAT!H8)),"",PAT!H8*$B8)</f>
        <v>34.8</v>
      </c>
      <c r="J8" s="14" t="n">
        <f aca="false">IF(NOT(ISNUMBER(PAT!I8)),"",PAT!I8*$B8)</f>
        <v>75.4</v>
      </c>
      <c r="K8" s="14" t="n">
        <f aca="false">IF(NOT(ISNUMBER(PAT!J8)),"",PAT!J8*$B8)</f>
        <v>121.8</v>
      </c>
      <c r="L8" s="14" t="n">
        <f aca="false">IF(NOT(ISNUMBER(PAT!K8)),"",PAT!K8*$B8)</f>
        <v>174</v>
      </c>
      <c r="M8" s="16" t="s">
        <v>48</v>
      </c>
    </row>
    <row r="9" customFormat="false" ht="15" hidden="false" customHeight="false" outlineLevel="0" collapsed="false">
      <c r="A9" s="7" t="s">
        <v>49</v>
      </c>
      <c r="B9" s="8" t="n">
        <v>0.67</v>
      </c>
      <c r="C9" s="13" t="str">
        <f aca="false">IF(NOT(ISNUMBER(PAT!B9)),"",PAT!B9*$B9)</f>
        <v/>
      </c>
      <c r="D9" s="13" t="str">
        <f aca="false">IF(NOT(ISNUMBER(PAT!C9)),"",PAT!C9*$B9)</f>
        <v/>
      </c>
      <c r="E9" s="13" t="str">
        <f aca="false">IF(NOT(ISNUMBER(PAT!D9)),"",PAT!D9*$B9)</f>
        <v/>
      </c>
      <c r="F9" s="13" t="n">
        <f aca="false">IF(NOT(ISNUMBER(PAT!E9)),"",PAT!E9*$B9)</f>
        <v>77.72</v>
      </c>
      <c r="G9" s="13" t="n">
        <f aca="false">IF(NOT(ISNUMBER(PAT!F9)),"",PAT!F9*$B9)</f>
        <v>84.42</v>
      </c>
      <c r="H9" s="13" t="n">
        <f aca="false">IF(NOT(ISNUMBER(PAT!G9)),"",PAT!G9*$B9)</f>
        <v>44.89</v>
      </c>
      <c r="I9" s="14" t="n">
        <f aca="false">IF(NOT(ISNUMBER(PAT!H9)),"",PAT!H9*$B9)</f>
        <v>100.5</v>
      </c>
      <c r="J9" s="14" t="n">
        <f aca="false">IF(NOT(ISNUMBER(PAT!I9)),"",PAT!I9*$B9)</f>
        <v>134</v>
      </c>
      <c r="K9" s="14" t="n">
        <f aca="false">IF(NOT(ISNUMBER(PAT!J9)),"",PAT!J9*$B9)</f>
        <v>174.2</v>
      </c>
      <c r="L9" s="14" t="n">
        <f aca="false">IF(NOT(ISNUMBER(PAT!K9)),"",PAT!K9*$B9)</f>
        <v>221.1</v>
      </c>
      <c r="M9" s="16" t="s">
        <v>48</v>
      </c>
    </row>
    <row r="10" customFormat="false" ht="15" hidden="false" customHeight="false" outlineLevel="0" collapsed="false">
      <c r="A10" s="7" t="s">
        <v>54</v>
      </c>
      <c r="B10" s="8" t="n">
        <v>0.51</v>
      </c>
      <c r="C10" s="13" t="str">
        <f aca="false">IF(NOT(ISNUMBER(PAT!B10)),"",PAT!B10*$B10)</f>
        <v/>
      </c>
      <c r="D10" s="13" t="str">
        <f aca="false">IF(NOT(ISNUMBER(PAT!C10)),"",PAT!C10*$B10)</f>
        <v/>
      </c>
      <c r="E10" s="13" t="str">
        <f aca="false">IF(NOT(ISNUMBER(PAT!D10)),"",PAT!D10*$B10)</f>
        <v/>
      </c>
      <c r="F10" s="13" t="n">
        <f aca="false">IF(NOT(ISNUMBER(PAT!E10)),"",PAT!E10*$B10)</f>
        <v>49.98</v>
      </c>
      <c r="G10" s="13" t="n">
        <f aca="false">IF(NOT(ISNUMBER(PAT!F10)),"",PAT!F10*$B10)</f>
        <v>31.11</v>
      </c>
      <c r="H10" s="13" t="n">
        <f aca="false">IF(NOT(ISNUMBER(PAT!G10)),"",PAT!G10*$B10)</f>
        <v>151.98</v>
      </c>
      <c r="I10" s="14" t="n">
        <f aca="false">IF(NOT(ISNUMBER(PAT!H10)),"",PAT!H10*$B10)</f>
        <v>214.2</v>
      </c>
      <c r="J10" s="14" t="n">
        <f aca="false">IF(NOT(ISNUMBER(PAT!I10)),"",PAT!I10*$B10)</f>
        <v>316.2</v>
      </c>
      <c r="K10" s="14" t="n">
        <f aca="false">IF(NOT(ISNUMBER(PAT!J10)),"",PAT!J10*$B10)</f>
        <v>433.5</v>
      </c>
      <c r="L10" s="14" t="n">
        <f aca="false">IF(NOT(ISNUMBER(PAT!K10)),"",PAT!K10*$B10)</f>
        <v>561</v>
      </c>
      <c r="M10" s="16" t="s">
        <v>48</v>
      </c>
    </row>
    <row r="11" customFormat="false" ht="15" hidden="false" customHeight="false" outlineLevel="0" collapsed="false">
      <c r="A11" s="7" t="s">
        <v>59</v>
      </c>
      <c r="B11" s="15" t="n">
        <v>1</v>
      </c>
      <c r="C11" s="13" t="str">
        <f aca="false">IF(NOT(ISNUMBER(PAT!B11)),"",PAT!B11*$B11)</f>
        <v/>
      </c>
      <c r="D11" s="13" t="n">
        <f aca="false">IF(NOT(ISNUMBER(PAT!C11)),"",PAT!C11*$B11)</f>
        <v>181</v>
      </c>
      <c r="E11" s="13" t="n">
        <f aca="false">IF(NOT(ISNUMBER(PAT!D11)),"",PAT!D11*$B11)</f>
        <v>147</v>
      </c>
      <c r="F11" s="13" t="str">
        <f aca="false">IF(NOT(ISNUMBER(PAT!E11)),"",PAT!E11*$B11)</f>
        <v/>
      </c>
      <c r="G11" s="13" t="str">
        <f aca="false">IF(NOT(ISNUMBER(PAT!F11)),"",PAT!F11*$B11)</f>
        <v/>
      </c>
      <c r="H11" s="13" t="str">
        <f aca="false">IF(NOT(ISNUMBER(PAT!G11)),"",PAT!G11*$B11)</f>
        <v/>
      </c>
      <c r="I11" s="14" t="n">
        <f aca="false">IF(NOT(ISNUMBER(PAT!H11)),"",PAT!H11*$B11)</f>
        <v>220</v>
      </c>
      <c r="J11" s="14" t="n">
        <f aca="false">IF(NOT(ISNUMBER(PAT!I11)),"",PAT!I11*$B11)</f>
        <v>280</v>
      </c>
      <c r="K11" s="14" t="n">
        <f aca="false">IF(NOT(ISNUMBER(PAT!J11)),"",PAT!J11*$B11)</f>
        <v>350</v>
      </c>
      <c r="L11" s="14" t="n">
        <f aca="false">IF(NOT(ISNUMBER(PAT!K11)),"",PAT!K11*$B11)</f>
        <v>430</v>
      </c>
      <c r="M11" s="16" t="s">
        <v>65</v>
      </c>
    </row>
    <row r="12" customFormat="false" ht="15" hidden="false" customHeight="false" outlineLevel="0" collapsed="false">
      <c r="A12" s="7" t="s">
        <v>66</v>
      </c>
      <c r="B12" s="8" t="n">
        <v>1</v>
      </c>
      <c r="C12" s="13" t="str">
        <f aca="false">IF(NOT(ISNUMBER(PAT!B12)),"",PAT!B12*$B12)</f>
        <v/>
      </c>
      <c r="D12" s="13" t="str">
        <f aca="false">IF(NOT(ISNUMBER(PAT!C12)),"",PAT!C12*$B12)</f>
        <v/>
      </c>
      <c r="E12" s="13" t="str">
        <f aca="false">IF(NOT(ISNUMBER(PAT!D12)),"",PAT!D12*$B12)</f>
        <v/>
      </c>
      <c r="F12" s="13" t="n">
        <f aca="false">IF(NOT(ISNUMBER(PAT!E12)),"",PAT!E12*$B12)</f>
        <v>1</v>
      </c>
      <c r="G12" s="13" t="n">
        <f aca="false">IF(NOT(ISNUMBER(PAT!F12)),"",PAT!F12*$B12)</f>
        <v>-8</v>
      </c>
      <c r="H12" s="13" t="str">
        <f aca="false">IF(NOT(ISNUMBER(PAT!G12)),"",PAT!G12*$B12)</f>
        <v/>
      </c>
      <c r="I12" s="14" t="n">
        <f aca="false">IF(NOT(ISNUMBER(PAT!H12)),"",PAT!H12*$B12)</f>
        <v>5</v>
      </c>
      <c r="J12" s="14" t="n">
        <f aca="false">IF(NOT(ISNUMBER(PAT!I12)),"",PAT!I12*$B12)</f>
        <v>20</v>
      </c>
      <c r="K12" s="14" t="n">
        <f aca="false">IF(NOT(ISNUMBER(PAT!J12)),"",PAT!J12*$B12)</f>
        <v>45</v>
      </c>
      <c r="L12" s="14" t="n">
        <f aca="false">IF(NOT(ISNUMBER(PAT!K12)),"",PAT!K12*$B12)</f>
        <v>80</v>
      </c>
      <c r="M12" s="16" t="s">
        <v>71</v>
      </c>
    </row>
    <row r="13" customFormat="false" ht="15" hidden="false" customHeight="false" outlineLevel="0" collapsed="false">
      <c r="A13" s="7" t="s">
        <v>72</v>
      </c>
      <c r="B13" s="15" t="n">
        <v>0.6</v>
      </c>
      <c r="C13" s="13" t="str">
        <f aca="false">IF(NOT(ISNUMBER(PAT!B13)),"",PAT!B13*$B13)</f>
        <v/>
      </c>
      <c r="D13" s="13" t="str">
        <f aca="false">IF(NOT(ISNUMBER(PAT!C13)),"",PAT!C13*$B13)</f>
        <v/>
      </c>
      <c r="E13" s="13" t="str">
        <f aca="false">IF(NOT(ISNUMBER(PAT!D13)),"",PAT!D13*$B13)</f>
        <v/>
      </c>
      <c r="F13" s="13" t="str">
        <f aca="false">IF(NOT(ISNUMBER(PAT!E13)),"",PAT!E13*$B13)</f>
        <v/>
      </c>
      <c r="G13" s="13" t="str">
        <f aca="false">IF(NOT(ISNUMBER(PAT!F13)),"",PAT!F13*$B13)</f>
        <v/>
      </c>
      <c r="H13" s="13" t="str">
        <f aca="false">IF(NOT(ISNUMBER(PAT!G13)),"",PAT!G13*$B13)</f>
        <v/>
      </c>
      <c r="I13" s="14" t="n">
        <f aca="false">IF(NOT(ISNUMBER(PAT!H13)),"",PAT!H13*$B13)</f>
        <v>24</v>
      </c>
      <c r="J13" s="14" t="n">
        <f aca="false">IF(NOT(ISNUMBER(PAT!I13)),"",PAT!I13*$B13)</f>
        <v>54</v>
      </c>
      <c r="K13" s="14" t="n">
        <f aca="false">IF(NOT(ISNUMBER(PAT!J13)),"",PAT!J13*$B13)</f>
        <v>90</v>
      </c>
      <c r="L13" s="14" t="n">
        <f aca="false">IF(NOT(ISNUMBER(PAT!K13)),"",PAT!K13*$B13)</f>
        <v>132</v>
      </c>
      <c r="M13" s="16" t="s">
        <v>65</v>
      </c>
    </row>
    <row r="14" customFormat="false" ht="15" hidden="false" customHeight="false" outlineLevel="0" collapsed="false">
      <c r="A14" s="7" t="s">
        <v>77</v>
      </c>
      <c r="B14" s="8" t="n">
        <v>0.545</v>
      </c>
      <c r="C14" s="13" t="str">
        <f aca="false">IF(NOT(ISNUMBER(PAT!B14)),"",PAT!B14*$B14)</f>
        <v/>
      </c>
      <c r="D14" s="13" t="str">
        <f aca="false">IF(NOT(ISNUMBER(PAT!C14)),"",PAT!C14*$B14)</f>
        <v/>
      </c>
      <c r="E14" s="13" t="str">
        <f aca="false">IF(NOT(ISNUMBER(PAT!D14)),"",PAT!D14*$B14)</f>
        <v/>
      </c>
      <c r="F14" s="13" t="str">
        <f aca="false">IF(NOT(ISNUMBER(PAT!E14)),"",PAT!E14*$B14)</f>
        <v/>
      </c>
      <c r="G14" s="13" t="str">
        <f aca="false">IF(NOT(ISNUMBER(PAT!F14)),"",PAT!F14*$B14)</f>
        <v/>
      </c>
      <c r="H14" s="13" t="str">
        <f aca="false">IF(NOT(ISNUMBER(PAT!G14)),"",PAT!G14*$B14)</f>
        <v/>
      </c>
      <c r="I14" s="14" t="n">
        <f aca="false">IF(NOT(ISNUMBER(PAT!H14)),"",PAT!H14*$B14)</f>
        <v>-10.9</v>
      </c>
      <c r="J14" s="14" t="n">
        <f aca="false">IF(NOT(ISNUMBER(PAT!I14)),"",PAT!I14*$B14)</f>
        <v>2.725</v>
      </c>
      <c r="K14" s="14" t="n">
        <f aca="false">IF(NOT(ISNUMBER(PAT!J14)),"",PAT!J14*$B14)</f>
        <v>16.35</v>
      </c>
      <c r="L14" s="14" t="n">
        <f aca="false">IF(NOT(ISNUMBER(PAT!K14)),"",PAT!K14*$B14)</f>
        <v>32.7</v>
      </c>
      <c r="M14" s="16" t="s">
        <v>82</v>
      </c>
    </row>
    <row r="15" customFormat="false" ht="15" hidden="false" customHeight="false" outlineLevel="0" collapsed="false">
      <c r="A15" s="17" t="s">
        <v>143</v>
      </c>
      <c r="B15" s="19"/>
      <c r="C15" s="18" t="n">
        <f aca="false">SUM(C5:C14)</f>
        <v>27.26</v>
      </c>
      <c r="D15" s="18" t="n">
        <f aca="false">SUM(D5:D14)</f>
        <v>181</v>
      </c>
      <c r="E15" s="18" t="n">
        <f aca="false">SUM(E5:E14)</f>
        <v>147</v>
      </c>
      <c r="F15" s="18" t="n">
        <f aca="false">SUM(F5:F14)</f>
        <v>749.4454</v>
      </c>
      <c r="G15" s="18" t="n">
        <f aca="false">SUM(G5:G14)</f>
        <v>86.65</v>
      </c>
      <c r="H15" s="18" t="n">
        <f aca="false">SUM(H5:H14)</f>
        <v>338.2415</v>
      </c>
      <c r="I15" s="18" t="n">
        <f aca="false">SUM(I5:I14)</f>
        <v>995.782</v>
      </c>
      <c r="J15" s="18" t="n">
        <f aca="false">SUM(J5:J14)</f>
        <v>1514.049</v>
      </c>
      <c r="K15" s="18" t="n">
        <f aca="false">SUM(K5:K14)</f>
        <v>2134.066</v>
      </c>
      <c r="L15" s="18" t="n">
        <f aca="false">SUM(L5:L14)</f>
        <v>2825.404</v>
      </c>
      <c r="M15" s="19"/>
    </row>
    <row r="16" customFormat="false" ht="19.4" hidden="false" customHeight="false" outlineLevel="0" collapsed="false">
      <c r="A16" s="26" t="s">
        <v>144</v>
      </c>
      <c r="C16" s="13" t="n">
        <v>1512</v>
      </c>
      <c r="D16" s="13" t="n">
        <v>6577</v>
      </c>
      <c r="E16" s="13" t="n">
        <v>10282</v>
      </c>
      <c r="F16" s="13" t="n">
        <v>11269</v>
      </c>
      <c r="G16" s="13" t="n">
        <v>12929</v>
      </c>
      <c r="H16" s="13" t="n">
        <v>17099</v>
      </c>
      <c r="I16" s="12" t="s">
        <v>98</v>
      </c>
      <c r="J16" s="12" t="s">
        <v>98</v>
      </c>
      <c r="K16" s="12" t="s">
        <v>98</v>
      </c>
      <c r="L16" s="12" t="s">
        <v>98</v>
      </c>
      <c r="M16" s="27" t="s">
        <v>145</v>
      </c>
    </row>
    <row r="17" customFormat="false" ht="22.35" hidden="false" customHeight="false" outlineLevel="0" collapsed="false">
      <c r="A17" s="3" t="s">
        <v>146</v>
      </c>
      <c r="C17" s="28" t="n">
        <f aca="false">IF(NOT(ISNUMBER(C16)),"",C15/C16)</f>
        <v>0.0180291005291005</v>
      </c>
      <c r="D17" s="28" t="n">
        <f aca="false">IF(NOT(ISNUMBER(D16)),"",D15/D16)</f>
        <v>0.0275201459632051</v>
      </c>
      <c r="E17" s="28" t="n">
        <f aca="false">IF(NOT(ISNUMBER(E16)),"",E15/E16)</f>
        <v>0.0142968294106205</v>
      </c>
      <c r="F17" s="28" t="n">
        <f aca="false">IF(NOT(ISNUMBER(F16)),"",F15/F16)</f>
        <v>0.0665050492501553</v>
      </c>
      <c r="G17" s="28" t="n">
        <f aca="false">IF(NOT(ISNUMBER(G16)),"",G15/G16)</f>
        <v>0.00670198777941063</v>
      </c>
      <c r="H17" s="28" t="n">
        <f aca="false">IF(NOT(ISNUMBER(H16)),"",H15/H16)</f>
        <v>0.0197813614831277</v>
      </c>
      <c r="M17" s="29" t="s">
        <v>147</v>
      </c>
    </row>
    <row r="20" customFormat="false" ht="45.75" hidden="false" customHeight="true" outlineLevel="0" collapsed="false">
      <c r="A20" s="21" t="s">
        <v>148</v>
      </c>
      <c r="B20" s="21"/>
      <c r="C20" s="21"/>
      <c r="D20" s="21"/>
      <c r="E20" s="21"/>
      <c r="F20" s="21"/>
      <c r="G20" s="21"/>
      <c r="H20" s="21"/>
      <c r="I20" s="21"/>
      <c r="J20" s="21"/>
      <c r="K20" s="21"/>
      <c r="L20" s="21"/>
      <c r="M20" s="21"/>
    </row>
    <row r="22" customFormat="false" ht="33.75" hidden="false" customHeight="true" outlineLevel="0" collapsed="false">
      <c r="A22" s="21" t="s">
        <v>149</v>
      </c>
      <c r="B22" s="21"/>
      <c r="C22" s="21"/>
      <c r="D22" s="21"/>
      <c r="E22" s="21"/>
      <c r="F22" s="21"/>
      <c r="G22" s="21"/>
      <c r="H22" s="21"/>
      <c r="I22" s="21"/>
      <c r="J22" s="21"/>
      <c r="K22" s="21"/>
      <c r="L22" s="21"/>
      <c r="M22" s="21"/>
    </row>
  </sheetData>
  <mergeCells count="4">
    <mergeCell ref="A1:N1"/>
    <mergeCell ref="A2:N2"/>
    <mergeCell ref="A20:M20"/>
    <mergeCell ref="A22:M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24"/>
    <col collapsed="false" customWidth="true" hidden="false" outlineLevel="0" max="5" min="4" style="0" width="26"/>
    <col collapsed="false" customWidth="true" hidden="false" outlineLevel="0" max="6" min="6" style="0" width="22"/>
    <col collapsed="false" customWidth="true" hidden="false" outlineLevel="0" max="7" min="7" style="0" width="74"/>
  </cols>
  <sheetData>
    <row r="1" customFormat="false" ht="25.5" hidden="false" customHeight="true" outlineLevel="0" collapsed="false">
      <c r="A1" s="1" t="s">
        <v>150</v>
      </c>
      <c r="B1" s="1"/>
      <c r="C1" s="1"/>
      <c r="D1" s="1"/>
      <c r="E1" s="1"/>
      <c r="F1" s="1"/>
      <c r="G1" s="1"/>
    </row>
    <row r="2" customFormat="false" ht="15.75" hidden="false" customHeight="true" outlineLevel="0" collapsed="false">
      <c r="A2" s="2" t="s">
        <v>151</v>
      </c>
      <c r="B2" s="2"/>
      <c r="C2" s="2"/>
      <c r="D2" s="2"/>
      <c r="E2" s="2"/>
      <c r="F2" s="2"/>
      <c r="G2" s="2"/>
    </row>
    <row r="4" customFormat="false" ht="33.75" hidden="false" customHeight="true" outlineLevel="0" collapsed="false">
      <c r="A4" s="5" t="s">
        <v>16</v>
      </c>
      <c r="B4" s="5" t="s">
        <v>152</v>
      </c>
      <c r="C4" s="5" t="s">
        <v>153</v>
      </c>
      <c r="D4" s="5" t="s">
        <v>154</v>
      </c>
      <c r="E4" s="5" t="s">
        <v>155</v>
      </c>
      <c r="F4" s="5" t="s">
        <v>156</v>
      </c>
      <c r="G4" s="5" t="s">
        <v>157</v>
      </c>
    </row>
    <row r="5" customFormat="false" ht="73.5" hidden="false" customHeight="true" outlineLevel="0" collapsed="false">
      <c r="A5" s="6" t="s">
        <v>24</v>
      </c>
      <c r="B5" s="30" t="s">
        <v>158</v>
      </c>
      <c r="C5" s="30" t="s">
        <v>98</v>
      </c>
      <c r="D5" s="9" t="s">
        <v>159</v>
      </c>
      <c r="E5" s="9" t="s">
        <v>160</v>
      </c>
      <c r="F5" s="9" t="s">
        <v>161</v>
      </c>
      <c r="G5" s="16" t="s">
        <v>162</v>
      </c>
    </row>
    <row r="6" customFormat="false" ht="73.5" hidden="false" customHeight="true" outlineLevel="0" collapsed="false">
      <c r="A6" s="6" t="s">
        <v>31</v>
      </c>
      <c r="B6" s="9" t="s">
        <v>163</v>
      </c>
      <c r="C6" s="9" t="s">
        <v>164</v>
      </c>
      <c r="D6" s="9" t="s">
        <v>165</v>
      </c>
      <c r="E6" s="9" t="s">
        <v>166</v>
      </c>
      <c r="F6" s="9" t="s">
        <v>167</v>
      </c>
      <c r="G6" s="16" t="s">
        <v>168</v>
      </c>
    </row>
    <row r="7" customFormat="false" ht="73.5" hidden="false" customHeight="true" outlineLevel="0" collapsed="false">
      <c r="A7" s="6" t="s">
        <v>37</v>
      </c>
      <c r="B7" s="30" t="s">
        <v>158</v>
      </c>
      <c r="C7" s="9" t="s">
        <v>169</v>
      </c>
      <c r="D7" s="9" t="s">
        <v>170</v>
      </c>
      <c r="E7" s="9" t="s">
        <v>171</v>
      </c>
      <c r="F7" s="9" t="s">
        <v>172</v>
      </c>
      <c r="G7" s="16" t="s">
        <v>173</v>
      </c>
    </row>
    <row r="8" customFormat="false" ht="73.5" hidden="false" customHeight="true" outlineLevel="0" collapsed="false">
      <c r="A8" s="6" t="s">
        <v>43</v>
      </c>
      <c r="B8" s="9" t="s">
        <v>174</v>
      </c>
      <c r="C8" s="9" t="s">
        <v>175</v>
      </c>
      <c r="D8" s="9" t="s">
        <v>176</v>
      </c>
      <c r="E8" s="9" t="s">
        <v>177</v>
      </c>
      <c r="F8" s="9" t="s">
        <v>178</v>
      </c>
      <c r="G8" s="16" t="s">
        <v>179</v>
      </c>
    </row>
    <row r="9" customFormat="false" ht="73.5" hidden="false" customHeight="true" outlineLevel="0" collapsed="false">
      <c r="A9" s="6" t="s">
        <v>49</v>
      </c>
      <c r="B9" s="9" t="s">
        <v>174</v>
      </c>
      <c r="C9" s="9" t="s">
        <v>180</v>
      </c>
      <c r="D9" s="9" t="s">
        <v>181</v>
      </c>
      <c r="E9" s="9" t="s">
        <v>182</v>
      </c>
      <c r="F9" s="9" t="s">
        <v>183</v>
      </c>
      <c r="G9" s="16" t="s">
        <v>184</v>
      </c>
    </row>
    <row r="10" customFormat="false" ht="73.5" hidden="false" customHeight="true" outlineLevel="0" collapsed="false">
      <c r="A10" s="6" t="s">
        <v>54</v>
      </c>
      <c r="B10" s="9" t="s">
        <v>174</v>
      </c>
      <c r="C10" s="9" t="s">
        <v>185</v>
      </c>
      <c r="D10" s="9" t="s">
        <v>186</v>
      </c>
      <c r="E10" s="9" t="s">
        <v>187</v>
      </c>
      <c r="F10" s="9" t="s">
        <v>178</v>
      </c>
      <c r="G10" s="16" t="s">
        <v>188</v>
      </c>
    </row>
    <row r="11" customFormat="false" ht="73.5" hidden="false" customHeight="true" outlineLevel="0" collapsed="false">
      <c r="A11" s="6" t="s">
        <v>59</v>
      </c>
      <c r="B11" s="30" t="s">
        <v>158</v>
      </c>
      <c r="C11" s="9" t="s">
        <v>189</v>
      </c>
      <c r="D11" s="9" t="s">
        <v>190</v>
      </c>
      <c r="E11" s="9" t="s">
        <v>191</v>
      </c>
      <c r="F11" s="30" t="s">
        <v>98</v>
      </c>
      <c r="G11" s="16" t="s">
        <v>192</v>
      </c>
    </row>
    <row r="12" customFormat="false" ht="73.5" hidden="false" customHeight="true" outlineLevel="0" collapsed="false">
      <c r="A12" s="6" t="s">
        <v>66</v>
      </c>
      <c r="B12" s="9" t="s">
        <v>193</v>
      </c>
      <c r="C12" s="9" t="s">
        <v>194</v>
      </c>
      <c r="D12" s="9" t="s">
        <v>195</v>
      </c>
      <c r="E12" s="9" t="s">
        <v>196</v>
      </c>
      <c r="F12" s="9" t="s">
        <v>197</v>
      </c>
      <c r="G12" s="16" t="s">
        <v>198</v>
      </c>
    </row>
    <row r="13" customFormat="false" ht="73.5" hidden="false" customHeight="true" outlineLevel="0" collapsed="false">
      <c r="A13" s="6" t="s">
        <v>72</v>
      </c>
      <c r="B13" s="9" t="s">
        <v>199</v>
      </c>
      <c r="C13" s="30" t="s">
        <v>98</v>
      </c>
      <c r="D13" s="9" t="s">
        <v>200</v>
      </c>
      <c r="E13" s="9" t="s">
        <v>201</v>
      </c>
      <c r="F13" s="9" t="s">
        <v>202</v>
      </c>
      <c r="G13" s="16" t="s">
        <v>203</v>
      </c>
    </row>
    <row r="14" customFormat="false" ht="73.5" hidden="false" customHeight="true" outlineLevel="0" collapsed="false">
      <c r="A14" s="6" t="s">
        <v>77</v>
      </c>
      <c r="B14" s="9" t="s">
        <v>204</v>
      </c>
      <c r="C14" s="30" t="s">
        <v>98</v>
      </c>
      <c r="D14" s="9" t="s">
        <v>205</v>
      </c>
      <c r="E14" s="9" t="s">
        <v>206</v>
      </c>
      <c r="F14" s="30" t="s">
        <v>98</v>
      </c>
      <c r="G14" s="16" t="s">
        <v>207</v>
      </c>
    </row>
    <row r="16" customFormat="false" ht="48" hidden="false" customHeight="true" outlineLevel="0" collapsed="false">
      <c r="A16" s="21" t="s">
        <v>208</v>
      </c>
      <c r="B16" s="21"/>
      <c r="C16" s="21"/>
      <c r="D16" s="21"/>
      <c r="E16" s="21"/>
      <c r="F16" s="21"/>
      <c r="G16" s="21"/>
    </row>
  </sheetData>
  <mergeCells count="3">
    <mergeCell ref="A1:G1"/>
    <mergeCell ref="A2:G2"/>
    <mergeCell ref="A16:G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62"/>
    <col collapsed="false" customWidth="true" hidden="false" outlineLevel="0" max="3" min="3" style="0" width="56"/>
    <col collapsed="false" customWidth="true" hidden="false" outlineLevel="0" max="4" min="4" style="0" width="62"/>
    <col collapsed="false" customWidth="true" hidden="false" outlineLevel="0" max="5" min="5" style="0" width="56"/>
    <col collapsed="false" customWidth="true" hidden="false" outlineLevel="0" max="6" min="6" style="0" width="40"/>
  </cols>
  <sheetData>
    <row r="1" customFormat="false" ht="25.5" hidden="false" customHeight="true" outlineLevel="0" collapsed="false">
      <c r="A1" s="1" t="s">
        <v>209</v>
      </c>
      <c r="B1" s="1"/>
      <c r="C1" s="1"/>
      <c r="D1" s="1"/>
      <c r="E1" s="1"/>
      <c r="F1" s="1"/>
    </row>
    <row r="2" customFormat="false" ht="15.75" hidden="false" customHeight="true" outlineLevel="0" collapsed="false">
      <c r="A2" s="2" t="s">
        <v>210</v>
      </c>
      <c r="B2" s="2"/>
      <c r="C2" s="2"/>
      <c r="D2" s="2"/>
      <c r="E2" s="2"/>
      <c r="F2" s="2"/>
    </row>
    <row r="4" customFormat="false" ht="33.75" hidden="false" customHeight="true" outlineLevel="0" collapsed="false">
      <c r="A4" s="5" t="s">
        <v>16</v>
      </c>
      <c r="B4" s="5" t="s">
        <v>211</v>
      </c>
      <c r="C4" s="5" t="s">
        <v>212</v>
      </c>
      <c r="D4" s="5" t="s">
        <v>213</v>
      </c>
      <c r="E4" s="5" t="s">
        <v>214</v>
      </c>
      <c r="F4" s="5" t="s">
        <v>215</v>
      </c>
    </row>
    <row r="5" customFormat="false" ht="129.75" hidden="false" customHeight="true" outlineLevel="0" collapsed="false">
      <c r="A5" s="6" t="s">
        <v>24</v>
      </c>
      <c r="B5" s="9" t="s">
        <v>216</v>
      </c>
      <c r="C5" s="9" t="s">
        <v>217</v>
      </c>
      <c r="D5" s="9" t="s">
        <v>218</v>
      </c>
      <c r="E5" s="9" t="s">
        <v>219</v>
      </c>
      <c r="F5" s="9" t="s">
        <v>220</v>
      </c>
    </row>
    <row r="6" customFormat="false" ht="129.75" hidden="false" customHeight="true" outlineLevel="0" collapsed="false">
      <c r="A6" s="6" t="s">
        <v>31</v>
      </c>
      <c r="B6" s="9" t="s">
        <v>221</v>
      </c>
      <c r="C6" s="9" t="s">
        <v>222</v>
      </c>
      <c r="D6" s="9" t="s">
        <v>223</v>
      </c>
      <c r="E6" s="9" t="s">
        <v>224</v>
      </c>
      <c r="F6" s="9" t="s">
        <v>225</v>
      </c>
    </row>
    <row r="7" customFormat="false" ht="129.75" hidden="false" customHeight="true" outlineLevel="0" collapsed="false">
      <c r="A7" s="6" t="s">
        <v>37</v>
      </c>
      <c r="B7" s="9" t="s">
        <v>226</v>
      </c>
      <c r="C7" s="9" t="s">
        <v>227</v>
      </c>
      <c r="D7" s="9" t="s">
        <v>228</v>
      </c>
      <c r="E7" s="9" t="s">
        <v>229</v>
      </c>
      <c r="F7" s="9" t="s">
        <v>230</v>
      </c>
    </row>
    <row r="8" customFormat="false" ht="129.75" hidden="false" customHeight="true" outlineLevel="0" collapsed="false">
      <c r="A8" s="6" t="s">
        <v>43</v>
      </c>
      <c r="B8" s="9" t="s">
        <v>231</v>
      </c>
      <c r="C8" s="9" t="s">
        <v>232</v>
      </c>
      <c r="D8" s="9" t="s">
        <v>233</v>
      </c>
      <c r="E8" s="9" t="s">
        <v>234</v>
      </c>
      <c r="F8" s="9" t="s">
        <v>235</v>
      </c>
    </row>
    <row r="9" customFormat="false" ht="129.75" hidden="false" customHeight="true" outlineLevel="0" collapsed="false">
      <c r="A9" s="6" t="s">
        <v>49</v>
      </c>
      <c r="B9" s="9" t="s">
        <v>236</v>
      </c>
      <c r="C9" s="9" t="s">
        <v>237</v>
      </c>
      <c r="D9" s="9" t="s">
        <v>238</v>
      </c>
      <c r="E9" s="9" t="s">
        <v>239</v>
      </c>
      <c r="F9" s="9" t="s">
        <v>240</v>
      </c>
    </row>
    <row r="10" customFormat="false" ht="129.75" hidden="false" customHeight="true" outlineLevel="0" collapsed="false">
      <c r="A10" s="6" t="s">
        <v>54</v>
      </c>
      <c r="B10" s="9" t="s">
        <v>241</v>
      </c>
      <c r="C10" s="9" t="s">
        <v>242</v>
      </c>
      <c r="D10" s="9" t="s">
        <v>243</v>
      </c>
      <c r="E10" s="9" t="s">
        <v>244</v>
      </c>
      <c r="F10" s="9" t="s">
        <v>245</v>
      </c>
    </row>
    <row r="11" customFormat="false" ht="129.75" hidden="false" customHeight="true" outlineLevel="0" collapsed="false">
      <c r="A11" s="6" t="s">
        <v>59</v>
      </c>
      <c r="B11" s="9" t="s">
        <v>246</v>
      </c>
      <c r="C11" s="9" t="s">
        <v>247</v>
      </c>
      <c r="D11" s="9" t="s">
        <v>248</v>
      </c>
      <c r="E11" s="9" t="s">
        <v>249</v>
      </c>
      <c r="F11" s="9" t="s">
        <v>250</v>
      </c>
    </row>
    <row r="12" customFormat="false" ht="129.75" hidden="false" customHeight="true" outlineLevel="0" collapsed="false">
      <c r="A12" s="6" t="s">
        <v>66</v>
      </c>
      <c r="B12" s="9" t="s">
        <v>251</v>
      </c>
      <c r="C12" s="9" t="s">
        <v>252</v>
      </c>
      <c r="D12" s="9" t="s">
        <v>253</v>
      </c>
      <c r="E12" s="9" t="s">
        <v>254</v>
      </c>
      <c r="F12" s="9" t="s">
        <v>255</v>
      </c>
    </row>
    <row r="13" customFormat="false" ht="129.75" hidden="false" customHeight="true" outlineLevel="0" collapsed="false">
      <c r="A13" s="6" t="s">
        <v>72</v>
      </c>
      <c r="B13" s="9" t="s">
        <v>256</v>
      </c>
      <c r="C13" s="9" t="s">
        <v>257</v>
      </c>
      <c r="D13" s="9" t="s">
        <v>258</v>
      </c>
      <c r="E13" s="9" t="s">
        <v>259</v>
      </c>
      <c r="F13" s="9" t="s">
        <v>260</v>
      </c>
    </row>
    <row r="14" customFormat="false" ht="129.75" hidden="false" customHeight="true" outlineLevel="0" collapsed="false">
      <c r="A14" s="6" t="s">
        <v>77</v>
      </c>
      <c r="B14" s="9" t="s">
        <v>261</v>
      </c>
      <c r="C14" s="9" t="s">
        <v>262</v>
      </c>
      <c r="D14" s="9" t="s">
        <v>263</v>
      </c>
      <c r="E14" s="9" t="s">
        <v>264</v>
      </c>
      <c r="F14" s="9" t="s">
        <v>265</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7" min="2" style="0" width="12"/>
    <col collapsed="false" customWidth="true" hidden="false" outlineLevel="0" max="8" min="8" style="0" width="3"/>
    <col collapsed="false" customWidth="true" hidden="false" outlineLevel="0" max="9" min="9" style="0" width="80"/>
  </cols>
  <sheetData>
    <row r="1" customFormat="false" ht="25.5" hidden="false" customHeight="true" outlineLevel="0" collapsed="false">
      <c r="A1" s="1" t="s">
        <v>266</v>
      </c>
      <c r="B1" s="1"/>
      <c r="C1" s="1"/>
      <c r="D1" s="1"/>
      <c r="E1" s="1"/>
      <c r="F1" s="1"/>
      <c r="G1" s="1"/>
      <c r="H1" s="1"/>
      <c r="I1" s="1"/>
    </row>
    <row r="2" customFormat="false" ht="15.75" hidden="false" customHeight="true" outlineLevel="0" collapsed="false">
      <c r="A2" s="2" t="s">
        <v>267</v>
      </c>
      <c r="B2" s="2"/>
      <c r="C2" s="2"/>
      <c r="D2" s="2"/>
      <c r="E2" s="2"/>
      <c r="F2" s="2"/>
      <c r="G2" s="2"/>
      <c r="H2" s="2"/>
      <c r="I2" s="2"/>
    </row>
    <row r="4" customFormat="false" ht="24" hidden="false" customHeight="true" outlineLevel="0" collapsed="false">
      <c r="A4" s="5" t="s">
        <v>268</v>
      </c>
      <c r="B4" s="5" t="s">
        <v>86</v>
      </c>
      <c r="C4" s="5" t="s">
        <v>87</v>
      </c>
      <c r="D4" s="5" t="s">
        <v>88</v>
      </c>
      <c r="E4" s="5" t="s">
        <v>89</v>
      </c>
      <c r="F4" s="5" t="s">
        <v>90</v>
      </c>
      <c r="G4" s="5" t="s">
        <v>91</v>
      </c>
      <c r="H4" s="5"/>
      <c r="I4" s="5" t="s">
        <v>269</v>
      </c>
    </row>
    <row r="5" customFormat="false" ht="39.75" hidden="false" customHeight="true" outlineLevel="0" collapsed="false">
      <c r="A5" s="7" t="s">
        <v>270</v>
      </c>
      <c r="B5" s="13" t="n">
        <v>74278</v>
      </c>
      <c r="C5" s="13" t="n">
        <v>90171</v>
      </c>
      <c r="D5" s="13" t="n">
        <v>121269</v>
      </c>
      <c r="E5" s="13" t="n">
        <v>139078</v>
      </c>
      <c r="F5" s="13" t="n">
        <v>159211</v>
      </c>
      <c r="G5" s="13" t="n">
        <v>198639</v>
      </c>
      <c r="I5" s="27" t="s">
        <v>271</v>
      </c>
    </row>
    <row r="6" customFormat="false" ht="39.75" hidden="false" customHeight="true" outlineLevel="0" collapsed="false">
      <c r="A6" s="7" t="s">
        <v>272</v>
      </c>
      <c r="B6" s="13" t="n">
        <v>1512</v>
      </c>
      <c r="C6" s="13" t="n">
        <v>6577</v>
      </c>
      <c r="D6" s="13" t="n">
        <v>10282</v>
      </c>
      <c r="E6" s="13" t="n">
        <v>11269</v>
      </c>
      <c r="F6" s="13" t="n">
        <v>12929</v>
      </c>
      <c r="G6" s="13" t="n">
        <v>17099</v>
      </c>
      <c r="I6" s="27" t="s">
        <v>273</v>
      </c>
    </row>
    <row r="7" customFormat="false" ht="39.75" hidden="false" customHeight="true" outlineLevel="0" collapsed="false">
      <c r="A7" s="7" t="s">
        <v>274</v>
      </c>
      <c r="B7" s="13" t="n">
        <v>1512</v>
      </c>
      <c r="C7" s="13" t="n">
        <v>7253</v>
      </c>
      <c r="D7" s="13" t="n">
        <v>11374</v>
      </c>
      <c r="E7" s="13" t="n">
        <v>12270</v>
      </c>
      <c r="F7" s="13" t="n">
        <v>14073</v>
      </c>
      <c r="G7" s="13" t="n">
        <v>18622</v>
      </c>
      <c r="I7" s="27" t="s">
        <v>275</v>
      </c>
    </row>
    <row r="8" customFormat="false" ht="39.75" hidden="false" customHeight="true" outlineLevel="0" collapsed="false">
      <c r="A8" s="7" t="s">
        <v>276</v>
      </c>
      <c r="B8" s="31" t="n">
        <v>14.58</v>
      </c>
      <c r="C8" s="31" t="n">
        <v>52.9</v>
      </c>
      <c r="D8" s="31" t="n">
        <v>82.7</v>
      </c>
      <c r="E8" s="31" t="n">
        <v>100.7</v>
      </c>
      <c r="F8" s="31" t="n">
        <v>115.1</v>
      </c>
      <c r="G8" s="31" t="n">
        <v>152.2</v>
      </c>
      <c r="I8" s="27" t="s">
        <v>277</v>
      </c>
    </row>
    <row r="9" customFormat="false" ht="39.75" hidden="false" customHeight="true" outlineLevel="0" collapsed="false">
      <c r="A9" s="7" t="s">
        <v>278</v>
      </c>
      <c r="B9" s="32" t="n">
        <v>0.066</v>
      </c>
      <c r="C9" s="32" t="n">
        <v>0.13</v>
      </c>
      <c r="D9" s="32" t="n">
        <v>0.199</v>
      </c>
      <c r="E9" s="32" t="n">
        <v>0.184</v>
      </c>
      <c r="F9" s="32" t="n">
        <v>0.181</v>
      </c>
      <c r="G9" s="32" t="n">
        <v>0.201</v>
      </c>
      <c r="I9" s="27" t="s">
        <v>279</v>
      </c>
    </row>
    <row r="10" customFormat="false" ht="39.75" hidden="false" customHeight="true" outlineLevel="0" collapsed="false">
      <c r="A10" s="7" t="s">
        <v>280</v>
      </c>
      <c r="B10" s="13" t="n">
        <v>44574</v>
      </c>
      <c r="C10" s="13" t="n">
        <v>57787</v>
      </c>
      <c r="D10" s="13" t="n">
        <v>84960</v>
      </c>
      <c r="E10" s="13" t="n">
        <v>101219</v>
      </c>
      <c r="F10" s="13" t="n">
        <v>118625</v>
      </c>
      <c r="G10" s="13" t="n">
        <v>147765</v>
      </c>
      <c r="I10" s="27" t="s">
        <v>281</v>
      </c>
    </row>
    <row r="11" customFormat="false" ht="39.75" hidden="false" customHeight="true" outlineLevel="0" collapsed="false">
      <c r="A11" s="7" t="s">
        <v>282</v>
      </c>
      <c r="B11" s="12" t="s">
        <v>98</v>
      </c>
      <c r="C11" s="13" t="n">
        <v>4870</v>
      </c>
      <c r="D11" s="13" t="n">
        <v>6549</v>
      </c>
      <c r="E11" s="13" t="n">
        <v>10718</v>
      </c>
      <c r="F11" s="13" t="n">
        <v>11855</v>
      </c>
      <c r="G11" s="13" t="n">
        <v>15639</v>
      </c>
      <c r="I11" s="27" t="s">
        <v>283</v>
      </c>
    </row>
    <row r="13" customFormat="false" ht="15" hidden="false" customHeight="false" outlineLevel="0" collapsed="false">
      <c r="A13" s="3" t="s">
        <v>284</v>
      </c>
    </row>
    <row r="14" customFormat="false" ht="30" hidden="false" customHeight="true" outlineLevel="0" collapsed="false">
      <c r="A14" s="33" t="s">
        <v>285</v>
      </c>
      <c r="B14" s="33"/>
      <c r="C14" s="33"/>
      <c r="D14" s="33"/>
      <c r="E14" s="33"/>
      <c r="F14" s="33"/>
      <c r="G14" s="33"/>
      <c r="H14" s="33"/>
      <c r="I14" s="33"/>
    </row>
    <row r="15" customFormat="false" ht="75" hidden="false" customHeight="true" outlineLevel="0" collapsed="false">
      <c r="A15" s="33" t="s">
        <v>286</v>
      </c>
      <c r="B15" s="33"/>
      <c r="C15" s="33"/>
      <c r="D15" s="33"/>
      <c r="E15" s="33"/>
      <c r="F15" s="33"/>
      <c r="G15" s="33"/>
      <c r="H15" s="33"/>
      <c r="I15" s="33"/>
    </row>
    <row r="16" customFormat="false" ht="60" hidden="false" customHeight="true" outlineLevel="0" collapsed="false">
      <c r="A16" s="33" t="s">
        <v>287</v>
      </c>
      <c r="B16" s="33"/>
      <c r="C16" s="33"/>
      <c r="D16" s="33"/>
      <c r="E16" s="33"/>
      <c r="F16" s="33"/>
      <c r="G16" s="33"/>
      <c r="H16" s="33"/>
      <c r="I16" s="33"/>
    </row>
  </sheetData>
  <mergeCells count="5">
    <mergeCell ref="A1:I1"/>
    <mergeCell ref="A2:I2"/>
    <mergeCell ref="A14:I14"/>
    <mergeCell ref="A15:I15"/>
    <mergeCell ref="A16:I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84"/>
    <col collapsed="false" customWidth="true" hidden="false" outlineLevel="0" max="4" min="4" style="0" width="3"/>
  </cols>
  <sheetData>
    <row r="1" customFormat="false" ht="25.5" hidden="false" customHeight="true" outlineLevel="0" collapsed="false">
      <c r="A1" s="1" t="s">
        <v>288</v>
      </c>
      <c r="B1" s="1"/>
      <c r="C1" s="1"/>
      <c r="D1" s="1"/>
    </row>
    <row r="2" customFormat="false" ht="15.75" hidden="false" customHeight="true" outlineLevel="0" collapsed="false">
      <c r="A2" s="2" t="s">
        <v>289</v>
      </c>
      <c r="B2" s="2"/>
      <c r="C2" s="2"/>
      <c r="D2" s="2"/>
    </row>
    <row r="4" customFormat="false" ht="21.75" hidden="false" customHeight="true" outlineLevel="0" collapsed="false">
      <c r="A4" s="5" t="s">
        <v>290</v>
      </c>
      <c r="B4" s="5" t="s">
        <v>16</v>
      </c>
      <c r="C4" s="5" t="s">
        <v>291</v>
      </c>
      <c r="D4" s="5"/>
    </row>
    <row r="5" customFormat="false" ht="27.75" hidden="false" customHeight="true" outlineLevel="0" collapsed="false">
      <c r="A5" s="6" t="s">
        <v>292</v>
      </c>
      <c r="B5" s="7" t="s">
        <v>293</v>
      </c>
      <c r="C5" s="9" t="s">
        <v>294</v>
      </c>
    </row>
    <row r="6" customFormat="false" ht="27.75" hidden="false" customHeight="true" outlineLevel="0" collapsed="false">
      <c r="A6" s="6" t="s">
        <v>295</v>
      </c>
      <c r="B6" s="7" t="s">
        <v>296</v>
      </c>
      <c r="C6" s="9" t="s">
        <v>297</v>
      </c>
    </row>
    <row r="7" customFormat="false" ht="27.75" hidden="false" customHeight="true" outlineLevel="0" collapsed="false">
      <c r="A7" s="6" t="s">
        <v>298</v>
      </c>
      <c r="B7" s="7" t="s">
        <v>296</v>
      </c>
      <c r="C7" s="9" t="s">
        <v>299</v>
      </c>
    </row>
    <row r="8" customFormat="false" ht="27.75" hidden="false" customHeight="true" outlineLevel="0" collapsed="false">
      <c r="A8" s="6" t="s">
        <v>300</v>
      </c>
      <c r="B8" s="7" t="s">
        <v>293</v>
      </c>
      <c r="C8" s="9" t="s">
        <v>301</v>
      </c>
    </row>
    <row r="9" customFormat="false" ht="27.75" hidden="false" customHeight="true" outlineLevel="0" collapsed="false">
      <c r="A9" s="6" t="s">
        <v>302</v>
      </c>
      <c r="B9" s="7" t="s">
        <v>296</v>
      </c>
      <c r="C9" s="9" t="s">
        <v>303</v>
      </c>
    </row>
    <row r="10" customFormat="false" ht="27.75" hidden="false" customHeight="true" outlineLevel="0" collapsed="false">
      <c r="A10" s="6" t="s">
        <v>304</v>
      </c>
      <c r="B10" s="7" t="s">
        <v>305</v>
      </c>
      <c r="C10" s="9" t="s">
        <v>306</v>
      </c>
    </row>
    <row r="11" customFormat="false" ht="27.75" hidden="false" customHeight="true" outlineLevel="0" collapsed="false">
      <c r="A11" s="6" t="s">
        <v>307</v>
      </c>
      <c r="B11" s="7" t="s">
        <v>293</v>
      </c>
      <c r="C11" s="9" t="s">
        <v>308</v>
      </c>
    </row>
    <row r="12" customFormat="false" ht="27.75" hidden="false" customHeight="true" outlineLevel="0" collapsed="false">
      <c r="A12" s="6" t="s">
        <v>309</v>
      </c>
      <c r="B12" s="7" t="s">
        <v>293</v>
      </c>
      <c r="C12" s="9" t="s">
        <v>310</v>
      </c>
    </row>
    <row r="13" customFormat="false" ht="27.75" hidden="false" customHeight="true" outlineLevel="0" collapsed="false">
      <c r="A13" s="6" t="s">
        <v>311</v>
      </c>
      <c r="B13" s="7" t="s">
        <v>312</v>
      </c>
      <c r="C13" s="9" t="s">
        <v>313</v>
      </c>
    </row>
    <row r="14" customFormat="false" ht="27.75" hidden="false" customHeight="true" outlineLevel="0" collapsed="false">
      <c r="A14" s="6" t="s">
        <v>314</v>
      </c>
      <c r="B14" s="7" t="s">
        <v>315</v>
      </c>
      <c r="C14" s="9" t="s">
        <v>316</v>
      </c>
    </row>
    <row r="15" customFormat="false" ht="27.75" hidden="false" customHeight="true" outlineLevel="0" collapsed="false">
      <c r="A15" s="6" t="s">
        <v>317</v>
      </c>
      <c r="B15" s="7" t="s">
        <v>318</v>
      </c>
      <c r="C15" s="9" t="s">
        <v>319</v>
      </c>
    </row>
    <row r="16" customFormat="false" ht="27.75" hidden="false" customHeight="true" outlineLevel="0" collapsed="false">
      <c r="A16" s="6" t="s">
        <v>317</v>
      </c>
      <c r="B16" s="7" t="s">
        <v>312</v>
      </c>
      <c r="C16" s="9" t="s">
        <v>320</v>
      </c>
    </row>
    <row r="17" customFormat="false" ht="27.75" hidden="false" customHeight="true" outlineLevel="0" collapsed="false">
      <c r="A17" s="6" t="s">
        <v>321</v>
      </c>
      <c r="B17" s="7" t="s">
        <v>312</v>
      </c>
      <c r="C17" s="9" t="s">
        <v>322</v>
      </c>
    </row>
    <row r="18" customFormat="false" ht="27.75" hidden="false" customHeight="true" outlineLevel="0" collapsed="false">
      <c r="A18" s="6" t="s">
        <v>321</v>
      </c>
      <c r="B18" s="7" t="s">
        <v>323</v>
      </c>
      <c r="C18" s="9" t="s">
        <v>324</v>
      </c>
    </row>
    <row r="19" customFormat="false" ht="27.75" hidden="false" customHeight="true" outlineLevel="0" collapsed="false">
      <c r="A19" s="6" t="s">
        <v>321</v>
      </c>
      <c r="B19" s="7" t="s">
        <v>293</v>
      </c>
      <c r="C19" s="9" t="s">
        <v>325</v>
      </c>
    </row>
    <row r="20" customFormat="false" ht="27.75" hidden="false" customHeight="true" outlineLevel="0" collapsed="false">
      <c r="A20" s="6" t="s">
        <v>326</v>
      </c>
      <c r="B20" s="7" t="s">
        <v>315</v>
      </c>
      <c r="C20" s="9" t="s">
        <v>327</v>
      </c>
    </row>
    <row r="21" customFormat="false" ht="27.75" hidden="false" customHeight="true" outlineLevel="0" collapsed="false">
      <c r="A21" s="6" t="s">
        <v>326</v>
      </c>
      <c r="B21" s="7" t="s">
        <v>318</v>
      </c>
      <c r="C21" s="9" t="s">
        <v>328</v>
      </c>
    </row>
    <row r="22" customFormat="false" ht="27.75" hidden="false" customHeight="true" outlineLevel="0" collapsed="false">
      <c r="A22" s="6" t="s">
        <v>326</v>
      </c>
      <c r="B22" s="7" t="s">
        <v>329</v>
      </c>
      <c r="C22" s="9" t="s">
        <v>330</v>
      </c>
    </row>
    <row r="23" customFormat="false" ht="27.75" hidden="false" customHeight="true" outlineLevel="0" collapsed="false">
      <c r="A23" s="6" t="s">
        <v>331</v>
      </c>
      <c r="B23" s="7" t="s">
        <v>293</v>
      </c>
      <c r="C23" s="9" t="s">
        <v>332</v>
      </c>
    </row>
    <row r="24" customFormat="false" ht="27.75" hidden="false" customHeight="true" outlineLevel="0" collapsed="false">
      <c r="A24" s="6" t="s">
        <v>333</v>
      </c>
      <c r="B24" s="7" t="s">
        <v>334</v>
      </c>
      <c r="C24" s="9" t="s">
        <v>335</v>
      </c>
    </row>
    <row r="25" customFormat="false" ht="27.75" hidden="false" customHeight="true" outlineLevel="0" collapsed="false">
      <c r="A25" s="6" t="s">
        <v>336</v>
      </c>
      <c r="B25" s="7" t="s">
        <v>329</v>
      </c>
      <c r="C25" s="9" t="s">
        <v>337</v>
      </c>
    </row>
    <row r="26" customFormat="false" ht="27.75" hidden="false" customHeight="true" outlineLevel="0" collapsed="false">
      <c r="A26" s="6" t="s">
        <v>338</v>
      </c>
      <c r="B26" s="7" t="s">
        <v>339</v>
      </c>
      <c r="C26" s="9" t="s">
        <v>340</v>
      </c>
    </row>
    <row r="27" customFormat="false" ht="27.75" hidden="false" customHeight="true" outlineLevel="0" collapsed="false">
      <c r="A27" s="6" t="s">
        <v>341</v>
      </c>
      <c r="B27" s="7" t="s">
        <v>312</v>
      </c>
      <c r="C27" s="9" t="s">
        <v>342</v>
      </c>
    </row>
    <row r="28" customFormat="false" ht="27.75" hidden="false" customHeight="true" outlineLevel="0" collapsed="false">
      <c r="A28" s="6" t="s">
        <v>341</v>
      </c>
      <c r="B28" s="7" t="s">
        <v>296</v>
      </c>
      <c r="C28" s="9" t="s">
        <v>343</v>
      </c>
    </row>
    <row r="29" customFormat="false" ht="27.75" hidden="false" customHeight="true" outlineLevel="0" collapsed="false">
      <c r="A29" s="6" t="s">
        <v>344</v>
      </c>
      <c r="B29" s="7" t="s">
        <v>296</v>
      </c>
      <c r="C29" s="9" t="s">
        <v>345</v>
      </c>
    </row>
    <row r="31" customFormat="false" ht="15" hidden="false" customHeight="false" outlineLevel="0" collapsed="false">
      <c r="A31" s="34" t="s">
        <v>346</v>
      </c>
      <c r="B31" s="35"/>
      <c r="C31" s="34" t="s">
        <v>347</v>
      </c>
    </row>
    <row r="32" customFormat="false" ht="31.5" hidden="false" customHeight="true" outlineLevel="0" collapsed="false">
      <c r="A32" s="36" t="s">
        <v>348</v>
      </c>
      <c r="B32" s="37" t="s">
        <v>312</v>
      </c>
      <c r="C32" s="38" t="s">
        <v>349</v>
      </c>
    </row>
    <row r="33" customFormat="false" ht="31.5" hidden="false" customHeight="true" outlineLevel="0" collapsed="false">
      <c r="A33" s="36" t="s">
        <v>350</v>
      </c>
      <c r="B33" s="37" t="s">
        <v>296</v>
      </c>
      <c r="C33" s="38" t="s">
        <v>351</v>
      </c>
    </row>
    <row r="34" customFormat="false" ht="31.5" hidden="false" customHeight="true" outlineLevel="0" collapsed="false">
      <c r="A34" s="36" t="s">
        <v>352</v>
      </c>
      <c r="B34" s="37" t="s">
        <v>339</v>
      </c>
      <c r="C34" s="38" t="s">
        <v>353</v>
      </c>
    </row>
    <row r="35" customFormat="false" ht="31.5" hidden="false" customHeight="true" outlineLevel="0" collapsed="false">
      <c r="A35" s="36" t="s">
        <v>352</v>
      </c>
      <c r="B35" s="37" t="s">
        <v>334</v>
      </c>
      <c r="C35" s="38" t="s">
        <v>354</v>
      </c>
    </row>
    <row r="36" customFormat="false" ht="31.5" hidden="false" customHeight="true" outlineLevel="0" collapsed="false">
      <c r="A36" s="36" t="s">
        <v>352</v>
      </c>
      <c r="B36" s="37" t="s">
        <v>323</v>
      </c>
      <c r="C36" s="38" t="s">
        <v>355</v>
      </c>
    </row>
    <row r="37" customFormat="false" ht="31.5" hidden="false" customHeight="true" outlineLevel="0" collapsed="false">
      <c r="A37" s="36" t="s">
        <v>356</v>
      </c>
      <c r="B37" s="37" t="s">
        <v>293</v>
      </c>
      <c r="C37" s="38" t="s">
        <v>357</v>
      </c>
    </row>
    <row r="38" customFormat="false" ht="31.5" hidden="false" customHeight="true" outlineLevel="0" collapsed="false">
      <c r="A38" s="36" t="s">
        <v>358</v>
      </c>
      <c r="B38" s="37" t="s">
        <v>323</v>
      </c>
      <c r="C38" s="38" t="s">
        <v>359</v>
      </c>
    </row>
    <row r="39" customFormat="false" ht="31.5" hidden="false" customHeight="true" outlineLevel="0" collapsed="false">
      <c r="A39" s="36" t="s">
        <v>360</v>
      </c>
      <c r="B39" s="37" t="s">
        <v>315</v>
      </c>
      <c r="C39" s="38" t="s">
        <v>361</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0"/>
    <col collapsed="false" customWidth="true" hidden="false" outlineLevel="0" max="3" min="3" style="0" width="94"/>
    <col collapsed="false" customWidth="true" hidden="false" outlineLevel="0" max="4" min="4" style="0" width="3"/>
  </cols>
  <sheetData>
    <row r="1" customFormat="false" ht="25.5" hidden="false" customHeight="true" outlineLevel="0" collapsed="false">
      <c r="A1" s="1" t="s">
        <v>362</v>
      </c>
      <c r="B1" s="1"/>
      <c r="C1" s="1"/>
      <c r="D1" s="1"/>
    </row>
    <row r="2" customFormat="false" ht="15.75" hidden="false" customHeight="true" outlineLevel="0" collapsed="false">
      <c r="A2" s="2" t="s">
        <v>363</v>
      </c>
      <c r="B2" s="2"/>
      <c r="C2" s="2"/>
      <c r="D2" s="2"/>
    </row>
    <row r="4" customFormat="false" ht="21.75" hidden="false" customHeight="true" outlineLevel="0" collapsed="false">
      <c r="A4" s="5" t="s">
        <v>364</v>
      </c>
      <c r="B4" s="5" t="s">
        <v>365</v>
      </c>
      <c r="C4" s="5" t="s">
        <v>366</v>
      </c>
      <c r="D4" s="5"/>
    </row>
    <row r="5" customFormat="false" ht="61.5" hidden="false" customHeight="true" outlineLevel="0" collapsed="false">
      <c r="A5" s="6" t="s">
        <v>367</v>
      </c>
      <c r="B5" s="39" t="s">
        <v>368</v>
      </c>
      <c r="C5" s="9" t="s">
        <v>369</v>
      </c>
    </row>
    <row r="6" customFormat="false" ht="61.5" hidden="false" customHeight="true" outlineLevel="0" collapsed="false">
      <c r="A6" s="6" t="s">
        <v>370</v>
      </c>
      <c r="B6" s="39" t="s">
        <v>371</v>
      </c>
      <c r="C6" s="9" t="s">
        <v>372</v>
      </c>
    </row>
    <row r="7" customFormat="false" ht="61.5" hidden="false" customHeight="true" outlineLevel="0" collapsed="false">
      <c r="A7" s="6" t="s">
        <v>373</v>
      </c>
      <c r="B7" s="39" t="s">
        <v>374</v>
      </c>
      <c r="C7" s="9" t="s">
        <v>375</v>
      </c>
    </row>
    <row r="8" customFormat="false" ht="61.5" hidden="false" customHeight="true" outlineLevel="0" collapsed="false">
      <c r="A8" s="6" t="s">
        <v>376</v>
      </c>
      <c r="B8" s="39" t="s">
        <v>377</v>
      </c>
      <c r="C8" s="9" t="s">
        <v>378</v>
      </c>
    </row>
    <row r="9" customFormat="false" ht="61.5" hidden="false" customHeight="true" outlineLevel="0" collapsed="false">
      <c r="A9" s="6" t="s">
        <v>379</v>
      </c>
      <c r="B9" s="40" t="s">
        <v>380</v>
      </c>
      <c r="C9" s="9" t="s">
        <v>381</v>
      </c>
    </row>
    <row r="10" customFormat="false" ht="61.5" hidden="false" customHeight="true" outlineLevel="0" collapsed="false">
      <c r="A10" s="6" t="s">
        <v>382</v>
      </c>
      <c r="B10" s="40" t="s">
        <v>383</v>
      </c>
      <c r="C10" s="9" t="s">
        <v>384</v>
      </c>
    </row>
    <row r="11" customFormat="false" ht="61.5" hidden="false" customHeight="true" outlineLevel="0" collapsed="false">
      <c r="A11" s="6" t="s">
        <v>385</v>
      </c>
      <c r="B11" s="40" t="s">
        <v>386</v>
      </c>
      <c r="C11" s="9" t="s">
        <v>387</v>
      </c>
    </row>
    <row r="12" customFormat="false" ht="61.5" hidden="false" customHeight="true" outlineLevel="0" collapsed="false">
      <c r="A12" s="6" t="s">
        <v>388</v>
      </c>
      <c r="B12" s="39" t="s">
        <v>389</v>
      </c>
      <c r="C12" s="9" t="s">
        <v>390</v>
      </c>
    </row>
    <row r="13" customFormat="false" ht="61.5" hidden="false" customHeight="true" outlineLevel="0" collapsed="false">
      <c r="A13" s="6" t="s">
        <v>391</v>
      </c>
      <c r="B13" s="40" t="s">
        <v>392</v>
      </c>
      <c r="C13" s="9" t="s">
        <v>393</v>
      </c>
    </row>
    <row r="14" customFormat="false" ht="61.5" hidden="false" customHeight="true" outlineLevel="0" collapsed="false">
      <c r="A14" s="6" t="s">
        <v>394</v>
      </c>
      <c r="B14" s="40" t="s">
        <v>395</v>
      </c>
      <c r="C14" s="9" t="s">
        <v>396</v>
      </c>
    </row>
    <row r="15" customFormat="false" ht="61.5" hidden="false" customHeight="true" outlineLevel="0" collapsed="false">
      <c r="A15" s="6" t="s">
        <v>397</v>
      </c>
      <c r="B15" s="40" t="s">
        <v>398</v>
      </c>
      <c r="C15" s="9" t="s">
        <v>399</v>
      </c>
    </row>
    <row r="16" customFormat="false" ht="61.5" hidden="false" customHeight="true" outlineLevel="0" collapsed="false">
      <c r="A16" s="6" t="s">
        <v>400</v>
      </c>
      <c r="B16" s="6" t="s">
        <v>401</v>
      </c>
      <c r="C16" s="9" t="s">
        <v>402</v>
      </c>
    </row>
    <row r="17" customFormat="false" ht="61.5" hidden="false" customHeight="true" outlineLevel="0" collapsed="false">
      <c r="A17" s="6" t="s">
        <v>403</v>
      </c>
      <c r="B17" s="40" t="s">
        <v>404</v>
      </c>
      <c r="C17" s="9" t="s">
        <v>405</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78"/>
  </cols>
  <sheetData>
    <row r="1" customFormat="false" ht="25.5" hidden="false" customHeight="true" outlineLevel="0" collapsed="false">
      <c r="A1" s="1" t="s">
        <v>406</v>
      </c>
      <c r="B1" s="1"/>
      <c r="C1" s="1"/>
    </row>
    <row r="2" customFormat="false" ht="15.75" hidden="false" customHeight="true" outlineLevel="0" collapsed="false">
      <c r="A2" s="2" t="s">
        <v>407</v>
      </c>
      <c r="B2" s="2"/>
      <c r="C2" s="2"/>
    </row>
    <row r="4" customFormat="false" ht="21.75" hidden="false" customHeight="true" outlineLevel="0" collapsed="false">
      <c r="A4" s="5" t="s">
        <v>408</v>
      </c>
      <c r="B4" s="5" t="s">
        <v>290</v>
      </c>
      <c r="C4" s="5" t="s">
        <v>409</v>
      </c>
    </row>
    <row r="5" customFormat="false" ht="30" hidden="false" customHeight="true" outlineLevel="0" collapsed="false">
      <c r="A5" s="7" t="s">
        <v>410</v>
      </c>
      <c r="B5" s="7" t="s">
        <v>411</v>
      </c>
      <c r="C5" s="16" t="s">
        <v>412</v>
      </c>
    </row>
    <row r="6" customFormat="false" ht="30" hidden="false" customHeight="true" outlineLevel="0" collapsed="false">
      <c r="A6" s="7" t="s">
        <v>413</v>
      </c>
      <c r="B6" s="7" t="s">
        <v>414</v>
      </c>
      <c r="C6" s="16" t="s">
        <v>415</v>
      </c>
    </row>
    <row r="7" customFormat="false" ht="30" hidden="false" customHeight="true" outlineLevel="0" collapsed="false">
      <c r="A7" s="7" t="s">
        <v>416</v>
      </c>
      <c r="B7" s="7" t="s">
        <v>417</v>
      </c>
      <c r="C7" s="16" t="s">
        <v>418</v>
      </c>
    </row>
    <row r="8" customFormat="false" ht="30" hidden="false" customHeight="true" outlineLevel="0" collapsed="false">
      <c r="A8" s="7" t="s">
        <v>419</v>
      </c>
      <c r="B8" s="7" t="s">
        <v>420</v>
      </c>
      <c r="C8" s="16" t="s">
        <v>421</v>
      </c>
    </row>
    <row r="9" customFormat="false" ht="30" hidden="false" customHeight="true" outlineLevel="0" collapsed="false">
      <c r="A9" s="7" t="s">
        <v>422</v>
      </c>
      <c r="B9" s="7" t="s">
        <v>423</v>
      </c>
      <c r="C9" s="16" t="s">
        <v>424</v>
      </c>
    </row>
    <row r="10" customFormat="false" ht="30" hidden="false" customHeight="true" outlineLevel="0" collapsed="false">
      <c r="A10" s="7" t="s">
        <v>425</v>
      </c>
      <c r="B10" s="7" t="s">
        <v>426</v>
      </c>
      <c r="C10" s="16" t="s">
        <v>427</v>
      </c>
    </row>
    <row r="11" customFormat="false" ht="30" hidden="false" customHeight="true" outlineLevel="0" collapsed="false">
      <c r="A11" s="7" t="s">
        <v>428</v>
      </c>
      <c r="B11" s="7" t="s">
        <v>429</v>
      </c>
      <c r="C11" s="16" t="s">
        <v>430</v>
      </c>
    </row>
    <row r="12" customFormat="false" ht="30" hidden="false" customHeight="true" outlineLevel="0" collapsed="false">
      <c r="A12" s="7" t="s">
        <v>431</v>
      </c>
      <c r="B12" s="7" t="s">
        <v>314</v>
      </c>
      <c r="C12" s="16" t="s">
        <v>432</v>
      </c>
    </row>
    <row r="13" customFormat="false" ht="30" hidden="false" customHeight="true" outlineLevel="0" collapsed="false">
      <c r="A13" s="7" t="s">
        <v>433</v>
      </c>
      <c r="B13" s="7" t="s">
        <v>314</v>
      </c>
      <c r="C13" s="16" t="s">
        <v>434</v>
      </c>
    </row>
    <row r="14" customFormat="false" ht="30" hidden="false" customHeight="true" outlineLevel="0" collapsed="false">
      <c r="A14" s="7" t="s">
        <v>435</v>
      </c>
      <c r="B14" s="7" t="s">
        <v>436</v>
      </c>
      <c r="C14" s="16" t="s">
        <v>437</v>
      </c>
    </row>
    <row r="15" customFormat="false" ht="30" hidden="false" customHeight="true" outlineLevel="0" collapsed="false">
      <c r="A15" s="7" t="s">
        <v>438</v>
      </c>
      <c r="B15" s="7" t="s">
        <v>436</v>
      </c>
      <c r="C15" s="16" t="s">
        <v>439</v>
      </c>
    </row>
    <row r="16" customFormat="false" ht="30" hidden="false" customHeight="true" outlineLevel="0" collapsed="false">
      <c r="A16" s="7" t="s">
        <v>440</v>
      </c>
      <c r="B16" s="7" t="s">
        <v>441</v>
      </c>
      <c r="C16" s="16" t="s">
        <v>442</v>
      </c>
    </row>
    <row r="17" customFormat="false" ht="30" hidden="false" customHeight="true" outlineLevel="0" collapsed="false">
      <c r="A17" s="7" t="s">
        <v>443</v>
      </c>
      <c r="B17" s="7" t="s">
        <v>302</v>
      </c>
      <c r="C17" s="16" t="s">
        <v>444</v>
      </c>
    </row>
    <row r="18" customFormat="false" ht="30" hidden="false" customHeight="true" outlineLevel="0" collapsed="false">
      <c r="A18" s="7" t="s">
        <v>445</v>
      </c>
      <c r="B18" s="7" t="s">
        <v>446</v>
      </c>
      <c r="C18" s="16" t="s">
        <v>447</v>
      </c>
    </row>
    <row r="19" customFormat="false" ht="30" hidden="false" customHeight="true" outlineLevel="0" collapsed="false">
      <c r="A19" s="7" t="s">
        <v>448</v>
      </c>
      <c r="B19" s="7" t="s">
        <v>321</v>
      </c>
      <c r="C19" s="16" t="s">
        <v>449</v>
      </c>
    </row>
    <row r="20" customFormat="false" ht="30" hidden="false" customHeight="true" outlineLevel="0" collapsed="false">
      <c r="A20" s="7" t="s">
        <v>450</v>
      </c>
      <c r="B20" s="7" t="s">
        <v>451</v>
      </c>
      <c r="C20" s="16" t="s">
        <v>452</v>
      </c>
    </row>
    <row r="21" customFormat="false" ht="30" hidden="false" customHeight="true" outlineLevel="0" collapsed="false">
      <c r="A21" s="7" t="s">
        <v>453</v>
      </c>
      <c r="B21" s="7" t="s">
        <v>454</v>
      </c>
      <c r="C21" s="16" t="s">
        <v>455</v>
      </c>
    </row>
    <row r="22" customFormat="false" ht="30" hidden="false" customHeight="true" outlineLevel="0" collapsed="false">
      <c r="A22" s="7" t="s">
        <v>456</v>
      </c>
      <c r="B22" s="7" t="s">
        <v>457</v>
      </c>
      <c r="C22" s="16" t="s">
        <v>458</v>
      </c>
    </row>
    <row r="23" customFormat="false" ht="30" hidden="false" customHeight="true" outlineLevel="0" collapsed="false">
      <c r="A23" s="7" t="s">
        <v>459</v>
      </c>
      <c r="B23" s="7" t="s">
        <v>460</v>
      </c>
      <c r="C23" s="16" t="s">
        <v>461</v>
      </c>
    </row>
    <row r="24" customFormat="false" ht="30" hidden="false" customHeight="true" outlineLevel="0" collapsed="false">
      <c r="A24" s="7" t="s">
        <v>462</v>
      </c>
      <c r="B24" s="7" t="s">
        <v>463</v>
      </c>
      <c r="C24" s="16" t="s">
        <v>464</v>
      </c>
    </row>
    <row r="25" customFormat="false" ht="30" hidden="false" customHeight="true" outlineLevel="0" collapsed="false">
      <c r="A25" s="7" t="s">
        <v>465</v>
      </c>
      <c r="B25" s="7" t="s">
        <v>466</v>
      </c>
      <c r="C25" s="16" t="s">
        <v>467</v>
      </c>
    </row>
    <row r="26" customFormat="false" ht="30" hidden="false" customHeight="true" outlineLevel="0" collapsed="false">
      <c r="A26" s="7" t="s">
        <v>468</v>
      </c>
      <c r="B26" s="7" t="s">
        <v>469</v>
      </c>
      <c r="C26" s="16" t="s">
        <v>470</v>
      </c>
    </row>
    <row r="27" customFormat="false" ht="30" hidden="false" customHeight="true" outlineLevel="0" collapsed="false">
      <c r="A27" s="7" t="s">
        <v>471</v>
      </c>
      <c r="B27" s="7" t="s">
        <v>423</v>
      </c>
      <c r="C27" s="16" t="s">
        <v>472</v>
      </c>
    </row>
    <row r="28" customFormat="false" ht="30" hidden="false" customHeight="true" outlineLevel="0" collapsed="false">
      <c r="A28" s="7" t="s">
        <v>473</v>
      </c>
      <c r="B28" s="7" t="s">
        <v>474</v>
      </c>
      <c r="C28" s="16" t="s">
        <v>475</v>
      </c>
    </row>
    <row r="29" customFormat="false" ht="30" hidden="false" customHeight="true" outlineLevel="0" collapsed="false">
      <c r="A29" s="7" t="s">
        <v>476</v>
      </c>
      <c r="B29" s="7" t="s">
        <v>326</v>
      </c>
      <c r="C29" s="16" t="s">
        <v>477</v>
      </c>
    </row>
    <row r="30" customFormat="false" ht="30" hidden="false" customHeight="true" outlineLevel="0" collapsed="false">
      <c r="A30" s="7" t="s">
        <v>478</v>
      </c>
      <c r="B30" s="7" t="s">
        <v>479</v>
      </c>
      <c r="C30" s="16" t="s">
        <v>480</v>
      </c>
    </row>
    <row r="31" customFormat="false" ht="30" hidden="false" customHeight="true" outlineLevel="0" collapsed="false">
      <c r="A31" s="7" t="s">
        <v>481</v>
      </c>
      <c r="B31" s="7" t="s">
        <v>482</v>
      </c>
      <c r="C31" s="16" t="s">
        <v>483</v>
      </c>
    </row>
    <row r="32" customFormat="false" ht="30" hidden="false" customHeight="true" outlineLevel="0" collapsed="false">
      <c r="A32" s="7" t="s">
        <v>484</v>
      </c>
      <c r="B32" s="7" t="s">
        <v>426</v>
      </c>
      <c r="C32" s="16" t="s">
        <v>485</v>
      </c>
    </row>
    <row r="33" customFormat="false" ht="30" hidden="false" customHeight="true" outlineLevel="0" collapsed="false">
      <c r="A33" s="7" t="s">
        <v>486</v>
      </c>
      <c r="B33" s="7" t="s">
        <v>487</v>
      </c>
      <c r="C33" s="16" t="s">
        <v>488</v>
      </c>
    </row>
    <row r="34" customFormat="false" ht="30" hidden="false" customHeight="true" outlineLevel="0" collapsed="false">
      <c r="A34" s="7" t="s">
        <v>489</v>
      </c>
      <c r="B34" s="7" t="s">
        <v>490</v>
      </c>
      <c r="C34" s="16" t="s">
        <v>491</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2026-08-22T11:48:20Z</dcterms:created>
  <dc:creator>openpyxl</dc:creator>
  <dc:description/>
  <dc:language>en-US</dc:language>
  <cp:lastModifiedBy/>
  <dcterms:modified xsi:type="dcterms:W3CDTF">2026-08-22T11:48:20Z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