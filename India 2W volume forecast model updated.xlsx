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f20cf8a90e4b43" /></Relationships>
</file>

<file path=xl/workbook.xml><?xml version="1.0" encoding="utf-8"?>
<x:workbook xmlns:x="http://schemas.openxmlformats.org/spreadsheetml/2006/main">
  <x:sheets>
    <x:sheet xmlns:r="http://schemas.openxmlformats.org/officeDocument/2006/relationships" name="Summary" sheetId="1" r:id="R61a04141cbf347a7"/>
    <x:sheet xmlns:r="http://schemas.openxmlformats.org/officeDocument/2006/relationships" name="Drivers" sheetId="2" r:id="R3ada9244308e4397"/>
    <x:sheet xmlns:r="http://schemas.openxmlformats.org/officeDocument/2006/relationships" name="Demand build" sheetId="3" r:id="Rea3bc734f83147f2"/>
    <x:sheet xmlns:r="http://schemas.openxmlformats.org/officeDocument/2006/relationships" name="Actuals" sheetId="4" r:id="R5948f9c480434821"/>
    <x:sheet xmlns:r="http://schemas.openxmlformats.org/officeDocument/2006/relationships" name="Driver working" sheetId="5" r:id="Rf3bda8e585d046b8"/>
    <x:sheet xmlns:r="http://schemas.openxmlformats.org/officeDocument/2006/relationships" name="Method" sheetId="6" r:id="R4d99dc6836f5499e"/>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0.000);–"/>
    <x:numFmt numFmtId="201" formatCode="0.0%;(0.0%);–"/>
    <x:numFmt numFmtId="202" formatCode="0.00&quot;x&quot;"/>
    <x:numFmt numFmtId="203" formatCode="#,##0"/>
    <x:numFmt numFmtId="204" formatCode="#,##0.00"/>
    <x:numFmt numFmtId="205" formatCode="0.000;(0.000);0.000"/>
  </x:numFmts>
  <x:fonts count="8">
    <x:font>
      <x:sz val="11"/>
      <x:name val="Carlito"/>
    </x:font>
    <x:font>
      <x:sz val="10"/>
      <x:color rgb="FF1E293B"/>
      <x:name val="Arial"/>
    </x:font>
    <x:font>
      <x:b/>
      <x:sz val="15"/>
      <x:color rgb="FF14304D"/>
      <x:name val="Arial"/>
    </x:font>
    <x:font>
      <x:i/>
      <x:sz val="10"/>
      <x:color rgb="FF64748B"/>
      <x:name val="Arial"/>
    </x:font>
    <x:font>
      <x:b/>
      <x:sz val="10"/>
      <x:color rgb="FFFFFFFF"/>
      <x:name val="Arial"/>
    </x:font>
    <x:font>
      <x:sz val="10"/>
      <x:color rgb="FF175CD3"/>
      <x:name val="Arial"/>
    </x:font>
    <x:font>
      <x:sz val="10"/>
      <x:color rgb="FF00805A"/>
      <x:name val="Arial"/>
    </x:font>
    <x:font>
      <x:sz val="10"/>
      <x:color rgb="FF64748B"/>
      <x:name val="Arial"/>
    </x:font>
  </x:fonts>
  <x:fills count="6">
    <x:fill>
      <x:patternFill patternType="none"/>
    </x:fill>
    <x:fill>
      <x:patternFill patternType="gray125"/>
    </x:fill>
    <x:fill>
      <x:patternFill patternType="solid">
        <x:fgColor rgb="FF14304D"/>
      </x:patternFill>
    </x:fill>
    <x:fill>
      <x:patternFill patternType="solid">
        <x:fgColor rgb="FFFFF0BF"/>
      </x:patternFill>
    </x:fill>
    <x:fill>
      <x:patternFill patternType="solid">
        <x:fgColor rgb="FFE8F1F8"/>
      </x:patternFill>
    </x:fill>
    <x:fill>
      <x:patternFill patternType="solid">
        <x:fgColor rgb="FFFFE7C2"/>
      </x:patternFill>
    </x:fill>
  </x:fills>
  <x:borders count="2">
    <x:border>
      <x:left/>
      <x:right/>
      <x:top/>
      <x:bottom/>
      <x:diagonal/>
    </x:border>
    <x:border>
      <x:left/>
      <x:right/>
      <x:top/>
      <x:bottom style="thin">
        <x:color rgb="FF255B86"/>
      </x:bottom>
      <x:diagonal/>
    </x:border>
  </x:borders>
  <x:cellStyleXfs count="1">
    <x:xf numFmtId="0" fontId="0" fillId="0" borderId="0"/>
  </x:cellStyleXfs>
  <x:cellXfs count="3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vertical="center"/>
    </x:xf>
    <x:xf numFmtId="0" fontId="1" fillId="2" borderId="0" xfId="0" applyNumberFormat="1" applyFont="1" applyFill="1" applyBorder="1"/>
    <x:xf numFmtId="0" fontId="1" fillId="2" borderId="0" xfId="0" applyNumberFormat="1" applyFont="1" applyFill="1" applyBorder="1" applyAlignment="1">
      <x:alignment vertical="center"/>
    </x:xf>
    <x:xf numFmtId="0" fontId="4" fillId="2" borderId="0" xfId="0" applyNumberFormat="1" applyFont="1" applyFill="1" applyBorder="1"/>
    <x:xf numFmtId="0" fontId="4" fillId="2"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200" fontId="1" fillId="4"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202" fontId="5"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0" fontId="0" fillId="2"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201" fontId="5" fillId="3" borderId="0" xfId="0" applyNumberFormat="1" applyFont="1" applyFill="1" applyBorder="1"/>
    <x:xf numFmtId="203" fontId="5" fillId="3" borderId="0" xfId="0" applyNumberFormat="1" applyFont="1" applyFill="1" applyBorder="1"/>
    <x:xf numFmtId="202" fontId="5" fillId="3" borderId="0" xfId="0" applyNumberFormat="1" applyFont="1" applyFill="1" applyBorder="1"/>
    <x:xf numFmtId="204" fontId="0" fillId="0" borderId="0" xfId="0" applyNumberFormat="1" applyFont="1" applyFill="1" applyBorder="1"/>
    <x:xf numFmtId="203" fontId="0" fillId="0" borderId="0" xfId="0" applyNumberFormat="1" applyFont="1" applyFill="1" applyBorder="1"/>
    <x:xf numFmtId="201" fontId="0" fillId="0" borderId="0" xfId="0" applyNumberFormat="1" applyFont="1" applyFill="1" applyBorder="1"/>
    <x:xf numFmtId="201" fontId="6" fillId="0" borderId="0" xfId="0" applyNumberFormat="1" applyFont="1" applyFill="1" applyBorder="1" applyAlignment="1">
      <x:alignment vertical="center"/>
    </x:xf>
    <x:xf numFmtId="201" fontId="5" fillId="5" borderId="0" xfId="0" applyNumberFormat="1" applyFont="1" applyFill="1" applyBorder="1" applyAlignment="1">
      <x:alignment vertical="center"/>
    </x:xf>
    <x:xf numFmtId="0" fontId="1" fillId="0" borderId="0" xfId="0" applyNumberFormat="1" applyFont="1" applyFill="1" applyBorder="1" applyAlignment="1">
      <x:alignment vertical="center" wrapText="0"/>
    </x:xf>
    <x:xf numFmtId="201" fontId="1" fillId="4" borderId="0" xfId="0" applyNumberFormat="1" applyFont="1" applyFill="1" applyBorder="1" applyAlignment="1">
      <x:alignment vertical="center"/>
    </x:xf>
    <x:xf numFmtId="0" fontId="1" fillId="4" borderId="0" xfId="0" applyNumberFormat="1" applyFont="1" applyFill="1" applyBorder="1" applyAlignment="1">
      <x:alignment vertical="center"/>
    </x:xf>
    <x:xf numFmtId="205" fontId="1" fillId="0" borderId="0" xfId="0" applyNumberFormat="1" applyFont="1" applyFill="1" applyBorder="1" applyAlignment="1">
      <x:alignment vertical="center"/>
    </x:xf>
    <x:xf numFmtId="0" fontId="7" fillId="0" borderId="0" xfId="0" applyNumberFormat="1" applyFont="1" applyFill="1" applyBorder="1"/>
    <x:xf numFmtId="0" fontId="7"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780425a7c447a4" /><Relationship Type="http://schemas.openxmlformats.org/officeDocument/2006/relationships/theme" Target="/xl/theme/theme1.xml" Id="Rf064c2fe5f1a4f27" /><Relationship Type="http://schemas.openxmlformats.org/officeDocument/2006/relationships/sharedStrings" Target="/xl/sharedStrings.xml" Id="Rff4fadea0c5b43cf" /><Relationship Type="http://schemas.openxmlformats.org/officeDocument/2006/relationships/worksheet" Target="/xl/worksheets/sheet1.xml" Id="R61a04141cbf347a7" /><Relationship Type="http://schemas.openxmlformats.org/officeDocument/2006/relationships/worksheet" Target="/xl/worksheets/sheet2.xml" Id="R3ada9244308e4397" /><Relationship Type="http://schemas.openxmlformats.org/officeDocument/2006/relationships/worksheet" Target="/xl/worksheets/sheet3.xml" Id="Rea3bc734f83147f2" /><Relationship Type="http://schemas.openxmlformats.org/officeDocument/2006/relationships/worksheet" Target="/xl/worksheets/sheet4.xml" Id="R5948f9c480434821" /><Relationship Type="http://schemas.openxmlformats.org/officeDocument/2006/relationships/worksheet" Target="/xl/worksheets/sheet5.xml" Id="Rf3bda8e585d046b8" /><Relationship Type="http://schemas.openxmlformats.org/officeDocument/2006/relationships/worksheet" Target="/xl/worksheets/sheet6.xml" Id="R4d99dc6836f5499e" /></Relationships>
</file>

<file path=xl/drawings/_rels/drawing1.xml.rels>&#65279;<?xml version="1.0" encoding="utf-8"?><Relationships xmlns="http://schemas.openxmlformats.org/package/2006/relationships"><Relationship Type="http://schemas.openxmlformats.org/officeDocument/2006/relationships/chart" Target="/xl/drawings/charts/chart1.xml" Id="Rc68aa35d6764420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Domestic 2W sales (million)</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2W sales (m)</c:v>
          </c:tx>
          <c:spPr>
            <a:ln xmlns:a="http://schemas.openxmlformats.org/drawingml/2006/main" w="19050">
              <a:solidFill>
                <a:srgbClr val="255B86"/>
              </a:solidFill>
              <a:prstDash val="solid"/>
            </a:ln>
          </c:spPr>
          <c:marker>
            <c:symbol val="none"/>
          </c:marker>
          <c:cat>
            <c:strRef>
              <c:f>'Summary'!$J$6:$J$11</c:f>
              <c:strCache>
                <c:ptCount val="0"/>
              </c:strCache>
            </c:strRef>
          </c:cat>
          <c:val>
            <c:numRef>
              <c:f>'Summary'!$K$6:$K$11</c:f>
              <c:numCache>
                <c:formatCode>#,##0.000;(#,##0.000);–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13</xdr:row>
      <xdr:rowOff>0</xdr:rowOff>
    </xdr:from>
    <xdr:to>
      <xdr:col>17</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8aa35d6764420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fac60ead16f4e69" /></Relationships>
</file>

<file path=xl/worksheets/sheet1.xml><?xml version="1.0" encoding="utf-8"?>
<x:worksheet xmlns:x="http://schemas.openxmlformats.org/spreadsheetml/2006/main">
  <x:sheetPr>
    <x:tabColor rgb="FF14304D"/>
  </x:sheetPr>
  <x:sheetViews>
    <x:sheetView showGridLines="0" workbookViewId="0"/>
  </x:sheetViews>
  <x:sheetFormatPr defaultRowHeight="15"/>
  <x:cols>
    <x:col min="2" max="2" width="36"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2" ht="21" customHeight="1">
      <x:c r="B2" s="3" t="str">
        <x:v>India two-wheeler volume outlook</x:v>
      </x:c>
      <x:c r="C2" s="2"/>
      <x:c r="D2" s="2"/>
      <x:c r="E2" s="2"/>
      <x:c r="F2" s="2"/>
      <x:c r="G2" s="2"/>
      <x:c r="H2" s="2"/>
      <x:c r="I2" s="2"/>
      <x:c r="J2" s="2"/>
      <x:c r="K2" s="2"/>
      <x:c r="L2" s="2"/>
      <x:c r="M2" s="2"/>
      <x:c r="N2" s="2"/>
      <x:c r="O2" s="2"/>
      <x:c r="P2" s="2"/>
      <x:c r="Q2" s="2"/>
      <x:c r="R2" s="2"/>
    </x:row>
    <x:row r="3" ht="21" customHeight="1">
      <x:c r="B3" s="4"/>
      <x:c r="C3" s="5"/>
      <x:c r="D3" s="5"/>
      <x:c r="E3" s="5"/>
      <x:c r="F3" s="5"/>
      <x:c r="G3" s="5"/>
      <x:c r="H3" s="5"/>
      <x:c r="I3" s="2"/>
      <x:c r="J3" s="2"/>
      <x:c r="K3" s="2"/>
      <x:c r="L3" s="2"/>
      <x:c r="M3" s="2"/>
      <x:c r="N3" s="2"/>
      <x:c r="O3" s="2"/>
      <x:c r="P3" s="2"/>
      <x:c r="Q3" s="2"/>
      <x:c r="R3" s="2"/>
    </x:row>
    <x:row r="4" ht="21" customHeight="1">
      <x:c r="B4" s="6" t="str">
        <x:v>Domestic SIAM wholesales, million units. Replacement vintages and income/EMI arithmetic on Driver working.</x:v>
      </x:c>
      <x:c r="C4" s="7"/>
      <x:c r="D4" s="7"/>
      <x:c r="E4" s="7"/>
      <x:c r="F4" s="7"/>
      <x:c r="G4" s="7"/>
      <x:c r="H4" s="7"/>
      <x:c r="I4" s="2"/>
      <x:c r="J4" s="2"/>
      <x:c r="K4" s="2"/>
      <x:c r="L4" s="2"/>
      <x:c r="M4" s="2"/>
      <x:c r="N4" s="2"/>
      <x:c r="O4" s="2"/>
      <x:c r="P4" s="2"/>
      <x:c r="Q4" s="2"/>
      <x:c r="R4" s="2"/>
    </x:row>
    <x:row r="5" ht="21" customHeight="1">
      <x:c r="B5" s="1"/>
      <x:c r="C5" s="2"/>
      <x:c r="D5" s="2"/>
      <x:c r="E5" s="2"/>
      <x:c r="F5" s="2"/>
      <x:c r="G5" s="2"/>
      <x:c r="H5" s="2"/>
      <x:c r="I5" s="2"/>
      <x:c r="J5" s="2" t="str">
        <x:v>Fiscal year</x:v>
      </x:c>
      <x:c r="K5" s="2" t="str">
        <x:v>2W sales (m)</x:v>
      </x:c>
      <x:c r="L5" s="2"/>
      <x:c r="M5" s="2"/>
      <x:c r="N5" s="2"/>
      <x:c r="O5" s="2"/>
      <x:c r="P5" s="2"/>
      <x:c r="Q5" s="2"/>
      <x:c r="R5" s="2"/>
    </x:row>
    <x:row r="6" ht="21" customHeight="1">
      <x:c r="B6" s="1"/>
      <x:c r="C6" s="2" t="str">
        <x:v>FY24A</x:v>
      </x:c>
      <x:c r="D6" s="2" t="str">
        <x:v>FY25A</x:v>
      </x:c>
      <x:c r="E6" s="2" t="str">
        <x:v>FY26A</x:v>
      </x:c>
      <x:c r="F6" s="2" t="str">
        <x:v>FY27E</x:v>
      </x:c>
      <x:c r="G6" s="2" t="str">
        <x:v>FY28E</x:v>
      </x:c>
      <x:c r="H6" s="2" t="str">
        <x:v>FY29E</x:v>
      </x:c>
      <x:c r="I6" s="2"/>
      <x:c r="J6" s="2" t="str">
        <x:v>FY24</x:v>
      </x:c>
      <x:c r="K6" s="12" t="n">
        <x:f>C11</x:f>
        <x:v>17.974365</x:v>
      </x:c>
      <x:c r="L6" s="2"/>
      <x:c r="M6" s="2"/>
      <x:c r="N6" s="2"/>
      <x:c r="O6" s="2"/>
      <x:c r="P6" s="2"/>
      <x:c r="Q6" s="2"/>
      <x:c r="R6" s="2"/>
    </x:row>
    <x:row r="7" ht="25" customHeight="1">
      <x:c r="B7" s="10" t="str">
        <x:v>Industry volumes</x:v>
      </x:c>
      <x:c r="C7" s="11"/>
      <x:c r="D7" s="11"/>
      <x:c r="E7" s="11"/>
      <x:c r="F7" s="11"/>
      <x:c r="G7" s="11"/>
      <x:c r="H7" s="11"/>
      <x:c r="I7" s="2"/>
      <x:c r="J7" s="2" t="str">
        <x:v>FY25</x:v>
      </x:c>
      <x:c r="K7" s="12" t="n">
        <x:f>D11</x:f>
        <x:v>19.607332</x:v>
      </x:c>
      <x:c r="L7" s="2"/>
      <x:c r="M7" s="2"/>
      <x:c r="N7" s="2"/>
      <x:c r="O7" s="2"/>
      <x:c r="P7" s="2"/>
      <x:c r="Q7" s="2"/>
      <x:c r="R7" s="2"/>
    </x:row>
    <x:row r="8" ht="21" customHeight="1">
      <x:c r="B8" s="1" t="str">
        <x:v>Motorcycles</x:v>
      </x:c>
      <x:c r="C8" s="12" t="n">
        <x:f>Actuals!C8</x:f>
        <x:v>11.653237</x:v>
      </x:c>
      <x:c r="D8" s="12" t="n">
        <x:f>Actuals!D8</x:f>
        <x:v>12.252305</x:v>
      </x:c>
      <x:c r="E8" s="12" t="n">
        <x:f>Actuals!E8</x:f>
        <x:v>13.064789</x:v>
      </x:c>
      <x:c r="F8" s="12" t="n">
        <x:f>'Demand build'!D17</x:f>
        <x:v>12.921250467624487</x:v>
      </x:c>
      <x:c r="G8" s="12" t="n">
        <x:f>'Demand build'!E17</x:f>
        <x:v>12.270558795173317</x:v>
      </x:c>
      <x:c r="H8" s="12" t="n">
        <x:f>'Demand build'!F17</x:f>
        <x:v>11.387090356757335</x:v>
      </x:c>
      <x:c r="I8" s="2"/>
      <x:c r="J8" s="2" t="str">
        <x:v>FY26</x:v>
      </x:c>
      <x:c r="K8" s="12" t="n">
        <x:f>E11</x:f>
        <x:v>21.705974</x:v>
      </x:c>
      <x:c r="L8" s="2"/>
      <x:c r="M8" s="2"/>
      <x:c r="N8" s="2"/>
      <x:c r="O8" s="2"/>
      <x:c r="P8" s="2"/>
      <x:c r="Q8" s="2"/>
      <x:c r="R8" s="2"/>
    </x:row>
    <x:row r="9" ht="21" customHeight="1">
      <x:c r="B9" s="1" t="str">
        <x:v>Scooters</x:v>
      </x:c>
      <x:c r="C9" s="12" t="n">
        <x:f>Actuals!C9</x:f>
        <x:v>5.839325</x:v>
      </x:c>
      <x:c r="D9" s="12" t="n">
        <x:f>Actuals!D9</x:f>
        <x:v>6.853214</x:v>
      </x:c>
      <x:c r="E9" s="12" t="n">
        <x:f>Actuals!E9</x:f>
        <x:v>8.117945</x:v>
      </x:c>
      <x:c r="F9" s="12" t="n">
        <x:f>'Demand build'!D33</x:f>
        <x:v>8.555581277956541</x:v>
      </x:c>
      <x:c r="G9" s="12" t="n">
        <x:f>'Demand build'!E33</x:f>
        <x:v>8.490146584134576</x:v>
      </x:c>
      <x:c r="H9" s="12" t="n">
        <x:f>'Demand build'!F33</x:f>
        <x:v>8.231862420391238</x:v>
      </x:c>
      <x:c r="I9" s="2"/>
      <x:c r="J9" s="2" t="str">
        <x:v>FY27E</x:v>
      </x:c>
      <x:c r="K9" s="12" t="n">
        <x:f>F11</x:f>
        <x:v>21.988496452012306</x:v>
      </x:c>
      <x:c r="L9" s="2"/>
      <x:c r="M9" s="2"/>
      <x:c r="N9" s="2"/>
      <x:c r="O9" s="2"/>
      <x:c r="P9" s="2"/>
      <x:c r="Q9" s="2"/>
      <x:c r="R9" s="2"/>
    </x:row>
    <x:row r="10" ht="21" customHeight="1">
      <x:c r="B10" s="1" t="str">
        <x:v>Mopeds</x:v>
      </x:c>
      <x:c r="C10" s="12" t="n">
        <x:f>Actuals!C10</x:f>
        <x:v>0.481803</x:v>
      </x:c>
      <x:c r="D10" s="12" t="n">
        <x:f>Actuals!D10</x:f>
        <x:v>0.501813</x:v>
      </x:c>
      <x:c r="E10" s="12" t="n">
        <x:f>Actuals!E10</x:f>
        <x:v>0.52324</x:v>
      </x:c>
      <x:c r="F10" s="12" t="n">
        <x:f>'Demand build'!D49</x:f>
        <x:v>0.5116647064312766</x:v>
      </x:c>
      <x:c r="G10" s="12" t="n">
        <x:f>'Demand build'!E49</x:f>
        <x:v>0.4705588596524123</x:v>
      </x:c>
      <x:c r="H10" s="12" t="n">
        <x:f>'Demand build'!F49</x:f>
        <x:v>0.4212160196322855</x:v>
      </x:c>
      <x:c r="I10" s="2"/>
      <x:c r="J10" s="2" t="str">
        <x:v>FY28E</x:v>
      </x:c>
      <x:c r="K10" s="12" t="n">
        <x:f>G11</x:f>
        <x:v>21.231264238960307</x:v>
      </x:c>
      <x:c r="L10" s="2"/>
      <x:c r="M10" s="2"/>
      <x:c r="N10" s="2"/>
      <x:c r="O10" s="2"/>
      <x:c r="P10" s="2"/>
      <x:c r="Q10" s="2"/>
      <x:c r="R10" s="2"/>
    </x:row>
    <x:row r="11" ht="21" customHeight="1">
      <x:c r="B11" s="1" t="str">
        <x:v>Total two-wheelers</x:v>
      </x:c>
      <x:c r="C11" s="15" t="n">
        <x:f>SUM(C8:C10)</x:f>
        <x:v>17.974365</x:v>
      </x:c>
      <x:c r="D11" s="15" t="n">
        <x:f>SUM(D8:D10)</x:f>
        <x:v>19.607332</x:v>
      </x:c>
      <x:c r="E11" s="15" t="n">
        <x:f>SUM(E8:E10)</x:f>
        <x:v>21.705974</x:v>
      </x:c>
      <x:c r="F11" s="15" t="n">
        <x:f>SUM(F8:F10)</x:f>
        <x:v>21.988496452012306</x:v>
      </x:c>
      <x:c r="G11" s="15" t="n">
        <x:f>SUM(G8:G10)</x:f>
        <x:v>21.231264238960307</x:v>
      </x:c>
      <x:c r="H11" s="15" t="n">
        <x:f>SUM(H8:H10)</x:f>
        <x:v>20.040168796780858</x:v>
      </x:c>
      <x:c r="I11" s="2"/>
      <x:c r="J11" s="2" t="str">
        <x:v>FY29E</x:v>
      </x:c>
      <x:c r="K11" s="12" t="n">
        <x:f>H11</x:f>
        <x:v>20.040168796780858</x:v>
      </x:c>
      <x:c r="L11" s="2"/>
      <x:c r="M11" s="2"/>
      <x:c r="N11" s="2"/>
      <x:c r="O11" s="2"/>
      <x:c r="P11" s="2"/>
      <x:c r="Q11" s="2"/>
      <x:c r="R11" s="2"/>
    </x:row>
    <x:row r="12" ht="21" customHeight="1">
      <x:c r="B12" s="1" t="str">
        <x:v>Year-on-year growth</x:v>
      </x:c>
      <x:c r="C12" s="35"/>
      <x:c r="D12" s="34" t="n">
        <x:f>D11/C11-1</x:f>
        <x:v>0.09084977410884898</x:v>
      </x:c>
      <x:c r="E12" s="34" t="n">
        <x:f>E11/D11-1</x:f>
        <x:v>0.10703353215011613</x:v>
      </x:c>
      <x:c r="F12" s="34" t="n">
        <x:f>F11/E11-1</x:f>
        <x:v>0.01301588456764513</x:v>
      </x:c>
      <x:c r="G12" s="34" t="n">
        <x:f>G11/F11-1</x:f>
        <x:v>-0.03443765310213831</x:v>
      </x:c>
      <x:c r="H12" s="34" t="n">
        <x:f>H11/G11-1</x:f>
        <x:v>-0.05610101352296004</x:v>
      </x:c>
      <x:c r="I12" s="2"/>
      <x:c r="J12" s="2"/>
      <x:c r="K12" s="2"/>
      <x:c r="L12" s="2"/>
      <x:c r="M12" s="2"/>
      <x:c r="N12" s="2"/>
      <x:c r="O12" s="2"/>
      <x:c r="P12" s="2"/>
      <x:c r="Q12" s="2"/>
      <x:c r="R12" s="2"/>
    </x:row>
    <x:row r="13" ht="21" customHeight="1">
      <x:c r="B13" s="1"/>
      <x:c r="C13" s="2"/>
      <x:c r="D13" s="2"/>
      <x:c r="E13" s="2"/>
      <x:c r="F13" s="2"/>
      <x:c r="G13" s="2"/>
      <x:c r="H13" s="2"/>
      <x:c r="I13" s="2"/>
      <x:c r="J13" s="2"/>
      <x:c r="K13" s="2"/>
      <x:c r="L13" s="2"/>
      <x:c r="M13" s="2"/>
      <x:c r="N13" s="2"/>
      <x:c r="O13" s="2"/>
      <x:c r="P13" s="2"/>
      <x:c r="Q13" s="2"/>
      <x:c r="R13" s="2"/>
    </x:row>
    <x:row r="14" ht="21" customHeight="1">
      <x:c r="B14" s="1"/>
      <x:c r="C14" s="2"/>
      <x:c r="D14" s="2"/>
      <x:c r="E14" s="2"/>
      <x:c r="F14" s="2"/>
      <x:c r="G14" s="2"/>
      <x:c r="H14" s="2"/>
      <x:c r="I14" s="2"/>
      <x:c r="J14" s="2"/>
      <x:c r="K14" s="2"/>
      <x:c r="L14" s="2"/>
      <x:c r="M14" s="2"/>
      <x:c r="N14" s="2"/>
      <x:c r="O14" s="2"/>
      <x:c r="P14" s="2"/>
      <x:c r="Q14" s="2"/>
      <x:c r="R14" s="2"/>
    </x:row>
    <x:row r="15" ht="25" customHeight="1">
      <x:c r="B15" s="10" t="str">
        <x:v>Growth drivers (million units versus prior year)</x:v>
      </x:c>
      <x:c r="C15" s="11"/>
      <x:c r="D15" s="11"/>
      <x:c r="E15" s="11"/>
      <x:c r="F15" s="11"/>
      <x:c r="G15" s="11"/>
      <x:c r="H15" s="11"/>
      <x:c r="I15" s="2"/>
      <x:c r="J15" s="2"/>
      <x:c r="K15" s="2"/>
      <x:c r="L15" s="2"/>
      <x:c r="M15" s="2"/>
      <x:c r="N15" s="2"/>
      <x:c r="O15" s="2"/>
      <x:c r="P15" s="2"/>
      <x:c r="Q15" s="2"/>
      <x:c r="R15" s="2"/>
    </x:row>
    <x:row r="16" ht="21" customHeight="1">
      <x:c r="B16" s="1" t="str">
        <x:v>Replacement demand</x:v>
      </x:c>
      <x:c r="C16" s="2"/>
      <x:c r="D16" s="2"/>
      <x:c r="E16" s="2"/>
      <x:c r="F16" s="12" t="n">
        <x:f>SUM('Demand build'!D9,'Demand build'!D25,'Demand build'!D41)</x:f>
        <x:v>0.21039969559234142</x:v>
      </x:c>
      <x:c r="G16" s="12" t="n">
        <x:f>SUM('Demand build'!E9,'Demand build'!E25,'Demand build'!E41)</x:f>
        <x:v>-0.5045286586159856</x:v>
      </x:c>
      <x:c r="H16" s="12" t="n">
        <x:f>SUM('Demand build'!F9,'Demand build'!F25,'Demand build'!F41)</x:f>
        <x:v>-1.3699228516245399</x:v>
      </x:c>
      <x:c r="I16" s="2"/>
      <x:c r="J16" s="2"/>
      <x:c r="K16" s="2"/>
      <x:c r="L16" s="2"/>
      <x:c r="M16" s="2"/>
      <x:c r="N16" s="2"/>
      <x:c r="O16" s="2"/>
      <x:c r="P16" s="2"/>
      <x:c r="Q16" s="2"/>
      <x:c r="R16" s="2"/>
    </x:row>
    <x:row r="17" ht="21" customHeight="1">
      <x:c r="B17" s="1" t="str">
        <x:v>First-time demand</x:v>
      </x:c>
      <x:c r="C17" s="2"/>
      <x:c r="D17" s="2"/>
      <x:c r="E17" s="2"/>
      <x:c r="F17" s="12" t="n">
        <x:f>SUM('Demand build'!D10,'Demand build'!D26,'Demand build'!D42)</x:f>
        <x:v>0.061859639999999994</x:v>
      </x:c>
      <x:c r="G17" s="12" t="n">
        <x:f>SUM('Demand build'!E10,'Demand build'!E26,'Demand build'!E42)</x:f>
        <x:v>0.06301515770155602</x:v>
      </x:c>
      <x:c r="H17" s="12" t="n">
        <x:f>SUM('Demand build'!F10,'Demand build'!F26,'Demand build'!F42)</x:f>
        <x:v>0.06109774832188293</x:v>
      </x:c>
      <x:c r="I17" s="2"/>
      <x:c r="J17" s="2"/>
      <x:c r="K17" s="2"/>
      <x:c r="L17" s="2"/>
      <x:c r="M17" s="2"/>
      <x:c r="N17" s="2"/>
      <x:c r="O17" s="2"/>
      <x:c r="P17" s="2"/>
      <x:c r="Q17" s="2"/>
      <x:c r="R17" s="2"/>
    </x:row>
    <x:row r="18" ht="21" customHeight="1">
      <x:c r="B18" s="1" t="str">
        <x:v>Rural income</x:v>
      </x:c>
      <x:c r="C18" s="2"/>
      <x:c r="D18" s="2"/>
      <x:c r="E18" s="2"/>
      <x:c r="F18" s="12" t="n">
        <x:f>SUM('Demand build'!D11,'Demand build'!D27,'Demand build'!D43)</x:f>
        <x:v>0.05989228859950444</x:v>
      </x:c>
      <x:c r="G18" s="12" t="n">
        <x:f>SUM('Demand build'!E11,'Demand build'!E27,'Demand build'!E43)</x:f>
        <x:v>0.06010091657597357</x:v>
      </x:c>
      <x:c r="H18" s="12" t="n">
        <x:f>SUM('Demand build'!F11,'Demand build'!F27,'Demand build'!F43)</x:f>
        <x:v>0.05763093463002933</x:v>
      </x:c>
      <x:c r="I18" s="2"/>
      <x:c r="J18" s="2"/>
      <x:c r="K18" s="2"/>
      <x:c r="L18" s="2"/>
      <x:c r="M18" s="2"/>
      <x:c r="N18" s="2"/>
      <x:c r="O18" s="2"/>
      <x:c r="P18" s="2"/>
      <x:c r="Q18" s="2"/>
      <x:c r="R18" s="2"/>
    </x:row>
    <x:row r="19" ht="21" customHeight="1">
      <x:c r="B19" s="1" t="str">
        <x:v>Financing</x:v>
      </x:c>
      <x:c r="C19" s="2"/>
      <x:c r="D19" s="2"/>
      <x:c r="E19" s="2"/>
      <x:c r="F19" s="12" t="n">
        <x:f>SUM('Demand build'!D12,'Demand build'!D28,'Demand build'!D44)</x:f>
        <x:v>0</x:v>
      </x:c>
      <x:c r="G19" s="12" t="n">
        <x:f>SUM('Demand build'!E12,'Demand build'!E28,'Demand build'!E44)</x:f>
        <x:v>-0.06382817173684163</x:v>
      </x:c>
      <x:c r="H19" s="12" t="n">
        <x:f>SUM('Demand build'!F12,'Demand build'!F28,'Demand build'!F44)</x:f>
        <x:v>0.06107054525281878</x:v>
      </x:c>
      <x:c r="I19" s="2"/>
      <x:c r="J19" s="2"/>
      <x:c r="K19" s="2"/>
      <x:c r="L19" s="2"/>
      <x:c r="M19" s="2"/>
      <x:c r="N19" s="2"/>
      <x:c r="O19" s="2"/>
      <x:c r="P19" s="2"/>
      <x:c r="Q19" s="2"/>
      <x:c r="R19" s="2"/>
    </x:row>
    <x:row r="20" ht="21" customHeight="1">
      <x:c r="B20" s="1" t="str">
        <x:v>Change in GST affordability</x:v>
      </x:c>
      <x:c r="C20" s="2"/>
      <x:c r="D20" s="2"/>
      <x:c r="E20" s="2"/>
      <x:c r="F20" s="12" t="n">
        <x:f>SUM('Demand build'!D13,'Demand build'!D29,'Demand build'!D45)</x:f>
        <x:v>0.06555909329999997</x:v>
      </x:c>
      <x:c r="G20" s="12" t="n">
        <x:f>SUM('Demand build'!E13,'Demand build'!E29,'Demand build'!E45)</x:f>
        <x:v>-0.266894359575012</x:v>
      </x:c>
      <x:c r="H20" s="12" t="n">
        <x:f>SUM('Demand build'!F13,'Demand build'!F29,'Demand build'!F45)</x:f>
        <x:v>-0.06464791814064857</x:v>
      </x:c>
      <x:c r="I20" s="2"/>
      <x:c r="J20" s="2"/>
      <x:c r="K20" s="2"/>
      <x:c r="L20" s="2"/>
      <x:c r="M20" s="2"/>
      <x:c r="N20" s="2"/>
      <x:c r="O20" s="2"/>
      <x:c r="P20" s="2"/>
      <x:c r="Q20" s="2"/>
      <x:c r="R20" s="2"/>
    </x:row>
    <x:row r="21" ht="21" customHeight="1">
      <x:c r="B21" s="1" t="str">
        <x:v>Repayment of FY26 timing benefit</x:v>
      </x:c>
      <x:c r="C21" s="2"/>
      <x:c r="D21" s="2"/>
      <x:c r="E21" s="2"/>
      <x:c r="F21" s="12" t="n">
        <x:f>SUM('Demand build'!D14,'Demand build'!D30,'Demand build'!D46)</x:f>
        <x:v>-0.16389593547954054</x:v>
      </x:c>
      <x:c r="G21" s="12" t="n">
        <x:f>SUM('Demand build'!E14,'Demand build'!E30,'Demand build'!E46)</x:f>
        <x:v>-0.10926395698636038</x:v>
      </x:c>
      <x:c r="H21" s="12" t="n">
        <x:f>SUM('Demand build'!F14,'Demand build'!F30,'Demand build'!F46)</x:f>
        <x:v>0</x:v>
      </x:c>
      <x:c r="I21" s="2"/>
      <x:c r="J21" s="2"/>
      <x:c r="K21" s="2"/>
      <x:c r="L21" s="2"/>
      <x:c r="M21" s="2"/>
      <x:c r="N21" s="2"/>
      <x:c r="O21" s="2"/>
      <x:c r="P21" s="2"/>
      <x:c r="Q21" s="2"/>
      <x:c r="R21" s="2"/>
    </x:row>
    <x:row r="22" ht="21" customHeight="1">
      <x:c r="B22" s="1" t="str">
        <x:v>Category switching and net new EV demand</x:v>
      </x:c>
      <x:c r="C22" s="2"/>
      <x:c r="D22" s="2"/>
      <x:c r="E22" s="2"/>
      <x:c r="F22" s="12" t="n">
        <x:f>SUM('Demand build'!D15,'Demand build'!D31,'Demand build'!D47)</x:f>
        <x:v>0.04870766999999998</x:v>
      </x:c>
      <x:c r="G22" s="12" t="n">
        <x:f>SUM('Demand build'!E15,'Demand build'!E31,'Demand build'!E47)</x:f>
        <x:v>0.06416685958467411</x:v>
      </x:c>
      <x:c r="H22" s="12" t="n">
        <x:f>SUM('Demand build'!F15,'Demand build'!F31,'Demand build'!F47)</x:f>
        <x:v>0.06367609938100932</x:v>
      </x:c>
      <x:c r="I22" s="2"/>
      <x:c r="J22" s="2"/>
      <x:c r="K22" s="2"/>
      <x:c r="L22" s="2"/>
      <x:c r="M22" s="2"/>
      <x:c r="N22" s="2"/>
      <x:c r="O22" s="2"/>
      <x:c r="P22" s="2"/>
      <x:c r="Q22" s="2"/>
      <x:c r="R22" s="2"/>
    </x:row>
    <x:row r="23" ht="21" customHeight="1">
      <x:c r="B23" s="1" t="str">
        <x:v>Dealer inventory change</x:v>
      </x:c>
      <x:c r="C23" s="2"/>
      <x:c r="D23" s="2"/>
      <x:c r="E23" s="2"/>
      <x:c r="F23" s="12" t="n">
        <x:f>SUM('Demand build'!D16,'Demand build'!D32,'Demand build'!D48)</x:f>
        <x:v>0</x:v>
      </x:c>
      <x:c r="G23" s="12" t="n">
        <x:f>SUM('Demand build'!E16,'Demand build'!E32,'Demand build'!E48)</x:f>
        <x:v>0</x:v>
      </x:c>
      <x:c r="H23" s="12" t="n">
        <x:f>SUM('Demand build'!F16,'Demand build'!F32,'Demand build'!F48)</x:f>
        <x:v>0</x:v>
      </x:c>
      <x:c r="I23" s="2"/>
      <x:c r="J23" s="2"/>
      <x:c r="K23" s="2"/>
      <x:c r="L23" s="2"/>
      <x:c r="M23" s="2"/>
      <x:c r="N23" s="2"/>
      <x:c r="O23" s="2"/>
      <x:c r="P23" s="2"/>
      <x:c r="Q23" s="2"/>
      <x:c r="R23" s="2"/>
    </x:row>
    <x:row r="24" ht="21" customHeight="1">
      <x:c r="B24" s="1" t="str">
        <x:v>Total change in domestic wholesales</x:v>
      </x:c>
      <x:c r="C24" s="2"/>
      <x:c r="D24" s="2"/>
      <x:c r="E24" s="2"/>
      <x:c r="F24" s="15" t="n">
        <x:f>SUM(F16:F23)</x:f>
        <x:v>0.2825224520123053</x:v>
      </x:c>
      <x:c r="G24" s="15" t="n">
        <x:f>SUM(G16:G23)</x:f>
        <x:v>-0.757232213051996</x:v>
      </x:c>
      <x:c r="H24" s="15" t="n">
        <x:f>SUM(H16:H23)</x:f>
        <x:v>-1.1910954421794482</x:v>
      </x:c>
      <x:c r="I24" s="2"/>
      <x:c r="J24" s="2"/>
      <x:c r="K24" s="2"/>
      <x:c r="L24" s="2"/>
      <x:c r="M24" s="2"/>
      <x:c r="N24" s="2"/>
      <x:c r="O24" s="2"/>
      <x:c r="P24" s="2"/>
      <x:c r="Q24" s="2"/>
      <x:c r="R24" s="2"/>
    </x:row>
    <x:row r="25" ht="21" customHeight="1">
      <x:c r="B25" s="1"/>
      <x:c r="C25" s="2"/>
      <x:c r="D25" s="2"/>
      <x:c r="E25" s="2"/>
      <x:c r="F25" s="2"/>
      <x:c r="G25" s="2"/>
      <x:c r="H25" s="2"/>
      <x:c r="I25" s="2"/>
      <x:c r="J25" s="2"/>
      <x:c r="K25" s="2"/>
      <x:c r="L25" s="2"/>
      <x:c r="M25" s="2"/>
      <x:c r="N25" s="2"/>
      <x:c r="O25" s="2"/>
      <x:c r="P25" s="2"/>
      <x:c r="Q25" s="2"/>
      <x:c r="R25" s="2"/>
    </x:row>
    <x:row r="26" ht="21" customHeight="1">
      <x:c r="B26" s="1"/>
      <x:c r="C26" s="2"/>
      <x:c r="D26" s="2"/>
      <x:c r="E26" s="2"/>
      <x:c r="F26" s="2"/>
      <x:c r="G26" s="2"/>
      <x:c r="H26" s="2"/>
      <x:c r="I26" s="2"/>
      <x:c r="J26" s="2"/>
      <x:c r="K26" s="2"/>
      <x:c r="L26" s="2"/>
      <x:c r="M26" s="2"/>
      <x:c r="N26" s="2"/>
      <x:c r="O26" s="2"/>
      <x:c r="P26" s="2"/>
      <x:c r="Q26" s="2"/>
      <x:c r="R26" s="2"/>
    </x:row>
    <x:row r="27" ht="25" customHeight="1">
      <x:c r="B27" s="10" t="str">
        <x:v>Scooter electrification and checks</x:v>
      </x:c>
      <x:c r="C27" s="11"/>
      <x:c r="D27" s="11"/>
      <x:c r="E27" s="11"/>
      <x:c r="F27" s="11"/>
      <x:c r="G27" s="11"/>
      <x:c r="H27" s="11"/>
      <x:c r="I27" s="2"/>
      <x:c r="J27" s="2"/>
      <x:c r="K27" s="2"/>
      <x:c r="L27" s="2"/>
      <x:c r="M27" s="2"/>
      <x:c r="N27" s="2"/>
      <x:c r="O27" s="2"/>
      <x:c r="P27" s="2"/>
      <x:c r="Q27" s="2"/>
      <x:c r="R27" s="2"/>
    </x:row>
    <x:row r="28" ht="21" customHeight="1">
      <x:c r="B28" s="1" t="str">
        <x:v>Electric share of scooters</x:v>
      </x:c>
      <x:c r="C28" s="2"/>
      <x:c r="D28" s="2"/>
      <x:c r="E28" s="21" t="n">
        <x:f>Actuals!E20</x:f>
        <x:v>0.08</x:v>
      </x:c>
      <x:c r="F28" s="21" t="n">
        <x:f>Drivers!D36</x:f>
        <x:v>0.12</x:v>
      </x:c>
      <x:c r="G28" s="21" t="n">
        <x:f>Drivers!E36</x:f>
        <x:v>0.17</x:v>
      </x:c>
      <x:c r="H28" s="21" t="n">
        <x:f>Drivers!F36</x:f>
        <x:v>0.22</x:v>
      </x:c>
      <x:c r="I28" s="2"/>
      <x:c r="J28" s="2"/>
      <x:c r="K28" s="2"/>
      <x:c r="L28" s="2"/>
      <x:c r="M28" s="2"/>
      <x:c r="N28" s="2"/>
      <x:c r="O28" s="2"/>
      <x:c r="P28" s="2"/>
      <x:c r="Q28" s="2"/>
      <x:c r="R28" s="2"/>
    </x:row>
    <x:row r="29" ht="21" customHeight="1">
      <x:c r="B29" s="1" t="str">
        <x:v>Electric scooter sales (included in scooters)</x:v>
      </x:c>
      <x:c r="C29" s="2"/>
      <x:c r="D29" s="2"/>
      <x:c r="E29" s="2"/>
      <x:c r="F29" s="12" t="n">
        <x:f>F9*F28</x:f>
        <x:v>1.0266697533547848</x:v>
      </x:c>
      <x:c r="G29" s="12" t="n">
        <x:f>G9*G28</x:f>
        <x:v>1.443324919302878</x:v>
      </x:c>
      <x:c r="H29" s="12" t="n">
        <x:f>H9*H28</x:f>
        <x:v>1.8110097324860723</x:v>
      </x:c>
      <x:c r="I29" s="2"/>
      <x:c r="J29" s="2"/>
      <x:c r="K29" s="2"/>
      <x:c r="L29" s="2"/>
      <x:c r="M29" s="2"/>
      <x:c r="N29" s="2"/>
      <x:c r="O29" s="2"/>
      <x:c r="P29" s="2"/>
      <x:c r="Q29" s="2"/>
      <x:c r="R29" s="2"/>
    </x:row>
    <x:row r="30" ht="21" customHeight="1">
      <x:c r="B30" s="1"/>
      <x:c r="C30" s="2"/>
      <x:c r="D30" s="2"/>
      <x:c r="E30" s="2"/>
      <x:c r="F30" s="2"/>
      <x:c r="G30" s="2"/>
      <x:c r="H30" s="2"/>
      <x:c r="I30" s="2"/>
      <x:c r="J30" s="2"/>
      <x:c r="K30" s="2"/>
      <x:c r="L30" s="2"/>
      <x:c r="M30" s="2"/>
      <x:c r="N30" s="2"/>
      <x:c r="O30" s="2"/>
      <x:c r="P30" s="2"/>
      <x:c r="Q30" s="2"/>
      <x:c r="R30" s="2"/>
    </x:row>
    <x:row r="31" ht="21" customHeight="1">
      <x:c r="B31" s="1" t="str">
        <x:v>Bridge difference vs. annual change</x:v>
      </x:c>
      <x:c r="C31" s="2"/>
      <x:c r="D31" s="2"/>
      <x:c r="E31" s="2"/>
      <x:c r="F31" s="36" t="n">
        <x:f>F24-(F11-E11)</x:f>
        <x:v>2.220446049250313e-16</x:v>
      </x:c>
      <x:c r="G31" s="36" t="n">
        <x:f>G24-(G11-F11)</x:f>
        <x:v>3.3306690738754696e-15</x:v>
      </x:c>
      <x:c r="H31" s="36" t="n">
        <x:f>H24-(H11-G11)</x:f>
        <x:v>1.1102230246251565e-15</x:v>
      </x:c>
      <x:c r="I31" s="2"/>
      <x:c r="J31" s="2"/>
      <x:c r="K31" s="2"/>
      <x:c r="L31" s="2"/>
      <x:c r="M31" s="2"/>
      <x:c r="N31" s="2"/>
      <x:c r="O31" s="2"/>
      <x:c r="P31" s="2"/>
      <x:c r="Q31" s="2"/>
      <x:c r="R31" s="2"/>
    </x:row>
    <x:row r="32" ht="21" customHeight="1">
      <x:c r="B32" s="1" t="str">
        <x:v>FY26 timing debt remaining after FY29</x:v>
      </x:c>
      <x:c r="C32" s="2"/>
      <x:c r="D32" s="2"/>
      <x:c r="E32" s="2"/>
      <x:c r="F32" s="36"/>
      <x:c r="G32" s="36"/>
      <x:c r="H32" s="36" t="n">
        <x:f>Actuals!E26*(1-SUM(Drivers!D34:F34))</x:f>
        <x:v>0</x:v>
      </x:c>
      <x:c r="I32" s="2"/>
      <x:c r="J32" s="2"/>
      <x:c r="K32" s="2"/>
      <x:c r="L32" s="2"/>
      <x:c r="M32" s="2"/>
      <x:c r="N32" s="2"/>
      <x:c r="O32" s="2"/>
      <x:c r="P32" s="2"/>
      <x:c r="Q32" s="2"/>
      <x:c r="R32" s="2"/>
    </x:row>
    <x:row r="33" ht="21" customHeight="1">
      <x:c r="B33" s="1"/>
      <x:c r="C33" s="2"/>
      <x:c r="D33" s="2"/>
      <x:c r="E33" s="2"/>
      <x:c r="F33" s="2"/>
      <x:c r="G33" s="2"/>
      <x:c r="H33" s="2"/>
      <x:c r="I33" s="2"/>
      <x:c r="J33" s="2"/>
      <x:c r="K33" s="2"/>
      <x:c r="L33" s="2"/>
      <x:c r="M33" s="2"/>
      <x:c r="N33" s="2"/>
      <x:c r="O33" s="2"/>
      <x:c r="P33" s="2"/>
      <x:c r="Q33" s="2"/>
      <x:c r="R33" s="2"/>
    </x:row>
    <x:row r="34" ht="21" customHeight="1">
      <x:c r="B34" s="1"/>
      <x:c r="C34" s="2"/>
      <x:c r="D34" s="2"/>
      <x:c r="E34" s="2"/>
      <x:c r="F34" s="2"/>
      <x:c r="G34" s="2"/>
      <x:c r="H34" s="2"/>
      <x:c r="I34" s="2"/>
      <x:c r="J34" s="2"/>
      <x:c r="K34" s="2"/>
      <x:c r="L34" s="2"/>
      <x:c r="M34" s="2"/>
      <x:c r="N34" s="2"/>
      <x:c r="O34" s="2"/>
      <x:c r="P34" s="2"/>
      <x:c r="Q34" s="2"/>
      <x:c r="R34" s="2"/>
    </x:row>
    <x:row r="35" ht="21" customHeight="1">
      <x:c r="B35" s="1" t="str">
        <x:v>Interpretation</x:v>
      </x:c>
      <x:c r="C35" s="2"/>
      <x:c r="D35" s="2"/>
      <x:c r="E35" s="2"/>
      <x:c r="F35" s="2"/>
      <x:c r="G35" s="2"/>
      <x:c r="H35" s="2"/>
      <x:c r="I35" s="2"/>
      <x:c r="J35" s="2"/>
      <x:c r="K35" s="2"/>
      <x:c r="L35" s="2"/>
      <x:c r="M35" s="2"/>
      <x:c r="N35" s="2"/>
      <x:c r="O35" s="2"/>
      <x:c r="P35" s="2"/>
      <x:c r="Q35" s="2"/>
      <x:c r="R35" s="2"/>
    </x:row>
    <x:row r="36" ht="21" customHeight="1">
      <x:c r="B36" s="37" t="str">
        <x:v>Replacement growth follows SIAM sales vintages aged 7–10; actual replacement probabilities remain unobserved.</x:v>
      </x:c>
      <x:c r="C36" s="38"/>
      <x:c r="D36" s="38"/>
      <x:c r="E36" s="38"/>
      <x:c r="F36" s="38"/>
      <x:c r="G36" s="38"/>
      <x:c r="H36" s="38"/>
      <x:c r="I36" s="2"/>
      <x:c r="J36" s="2"/>
      <x:c r="K36" s="2"/>
      <x:c r="L36" s="2"/>
      <x:c r="M36" s="2"/>
      <x:c r="N36" s="2"/>
      <x:c r="O36" s="2"/>
      <x:c r="P36" s="2"/>
      <x:c r="Q36" s="2"/>
      <x:c r="R36" s="2"/>
    </x:row>
    <x:row r="37" ht="21" customHeight="1">
      <x:c r="B37" s="37" t="str">
        <x:v>New-buyer growth uses a household proxy; half the FY24–26 scooter-share trend shifts motorcycle sales to scooters.</x:v>
      </x:c>
      <x:c r="C37" s="38"/>
      <x:c r="D37" s="38"/>
      <x:c r="E37" s="38"/>
      <x:c r="F37" s="38"/>
      <x:c r="G37" s="38"/>
      <x:c r="H37" s="38"/>
      <x:c r="I37" s="2"/>
      <x:c r="J37" s="2"/>
      <x:c r="K37" s="2"/>
      <x:c r="L37" s="2"/>
      <x:c r="M37" s="2"/>
      <x:c r="N37" s="2"/>
      <x:c r="O37" s="2"/>
      <x:c r="P37" s="2"/>
      <x:c r="Q37" s="2"/>
      <x:c r="R37" s="2"/>
    </x:row>
    <x:row r="38" ht="21" customHeight="1">
      <x:c r="B38" s="37" t="str">
        <x:v>The forecast remains conditional on age weights, replacement share, income response and FY26 timing debt.</x:v>
      </x:c>
      <x:c r="C38" s="38"/>
      <x:c r="D38" s="38"/>
      <x:c r="E38" s="38"/>
      <x:c r="F38" s="38"/>
      <x:c r="G38" s="38"/>
      <x:c r="H38" s="38"/>
      <x:c r="I38" s="2"/>
      <x:c r="J38" s="2"/>
      <x:c r="K38" s="2"/>
      <x:c r="L38" s="2"/>
      <x:c r="M38" s="2"/>
      <x:c r="N38" s="2"/>
      <x:c r="O38" s="2"/>
      <x:c r="P38" s="2"/>
      <x:c r="Q38" s="2"/>
      <x:c r="R38" s="2"/>
    </x:row>
    <x:row r="39" ht="21" customHeight="1">
      <x:c r="B39" s="1"/>
      <x:c r="C39" s="2"/>
      <x:c r="D39" s="2"/>
      <x:c r="E39" s="2"/>
      <x:c r="F39" s="2"/>
      <x:c r="G39" s="2"/>
      <x:c r="H39" s="2"/>
      <x:c r="I39" s="2"/>
      <x:c r="J39" s="2"/>
      <x:c r="K39" s="2"/>
      <x:c r="L39" s="2"/>
      <x:c r="M39" s="2"/>
      <x:c r="N39" s="2"/>
      <x:c r="O39" s="2"/>
      <x:c r="P39" s="2"/>
      <x:c r="Q39" s="2"/>
      <x:c r="R39" s="2"/>
    </x:row>
    <x:row r="40" ht="21" customHeight="1">
      <x:c r="B40" s="1"/>
      <x:c r="C40" s="2"/>
      <x:c r="D40" s="2"/>
      <x:c r="E40" s="2"/>
      <x:c r="F40" s="2"/>
      <x:c r="G40" s="2"/>
      <x:c r="H40" s="2"/>
      <x:c r="I40" s="2"/>
      <x:c r="J40" s="2"/>
      <x:c r="K40" s="2"/>
      <x:c r="L40" s="2"/>
      <x:c r="M40" s="2"/>
      <x:c r="N40" s="2"/>
      <x:c r="O40" s="2"/>
      <x:c r="P40" s="2"/>
      <x:c r="Q40" s="2"/>
      <x:c r="R40" s="2"/>
    </x:row>
    <x:row r="41" ht="25" customHeight="1">
      <x:c r="B41" s="10" t="str">
        <x:v>FY27 published sales versus forecast</x:v>
      </x:c>
      <x:c r="C41" s="11"/>
      <x:c r="D41" s="11"/>
      <x:c r="E41" s="11"/>
      <x:c r="F41" s="11"/>
      <x:c r="G41" s="11"/>
      <x:c r="H41" s="11"/>
      <x:c r="I41" s="2"/>
      <x:c r="J41" s="2"/>
      <x:c r="K41" s="2"/>
      <x:c r="L41" s="2"/>
      <x:c r="M41" s="2"/>
      <x:c r="N41" s="2"/>
      <x:c r="O41" s="2"/>
      <x:c r="P41" s="2"/>
      <x:c r="Q41" s="2"/>
      <x:c r="R41" s="2"/>
    </x:row>
    <x:row r="42" ht="21" customHeight="1">
      <x:c r="B42" s="1" t="str">
        <x:v>April–August FY27 actual</x:v>
      </x:c>
      <x:c r="C42" s="2"/>
      <x:c r="D42" s="2"/>
      <x:c r="E42" s="2"/>
      <x:c r="F42" s="12" t="n">
        <x:f>Actuals!E37</x:f>
        <x:v>9.586856000000001</x:v>
      </x:c>
      <x:c r="G42" s="2"/>
      <x:c r="H42" s="2"/>
      <x:c r="I42" s="2"/>
      <x:c r="J42" s="2"/>
      <x:c r="K42" s="2"/>
      <x:c r="L42" s="2"/>
      <x:c r="M42" s="2"/>
      <x:c r="N42" s="2"/>
      <x:c r="O42" s="2"/>
      <x:c r="P42" s="2"/>
      <x:c r="Q42" s="2"/>
      <x:c r="R42" s="2"/>
    </x:row>
    <x:row r="43" ht="21" customHeight="1">
      <x:c r="B43" s="1" t="str">
        <x:v>April–August growth</x:v>
      </x:c>
      <x:c r="C43" s="2"/>
      <x:c r="D43" s="2"/>
      <x:c r="E43" s="2"/>
      <x:c r="F43" s="21" t="n">
        <x:f>Actuals!E38</x:f>
        <x:v>0.18711649072841552</x:v>
      </x:c>
      <x:c r="G43" s="2"/>
      <x:c r="H43" s="2"/>
      <x:c r="I43" s="2"/>
      <x:c r="J43" s="2"/>
      <x:c r="K43" s="2"/>
      <x:c r="L43" s="2"/>
      <x:c r="M43" s="2"/>
      <x:c r="N43" s="2"/>
      <x:c r="O43" s="2"/>
      <x:c r="P43" s="2"/>
      <x:c r="Q43" s="2"/>
      <x:c r="R43" s="2"/>
    </x:row>
    <x:row r="44" ht="21" customHeight="1">
      <x:c r="B44" s="1" t="str">
        <x:v>FY27 remaining September–March required</x:v>
      </x:c>
      <x:c r="C44" s="2"/>
      <x:c r="D44" s="2"/>
      <x:c r="E44" s="2"/>
      <x:c r="F44" s="12" t="n">
        <x:f>F11-F42</x:f>
        <x:v>12.401640452012305</x:v>
      </x:c>
      <x:c r="G44" s="2"/>
      <x:c r="H44" s="2"/>
      <x:c r="I44" s="2"/>
      <x:c r="J44" s="2"/>
      <x:c r="K44" s="2"/>
      <x:c r="L44" s="2"/>
      <x:c r="M44" s="2"/>
      <x:c r="N44" s="2"/>
      <x:c r="O44" s="2"/>
      <x:c r="P44" s="2"/>
      <x:c r="Q44" s="2"/>
      <x:c r="R44" s="2"/>
    </x:row>
    <x:row r="45" ht="21" customHeight="1">
      <x:c r="B45" s="1" t="str">
        <x:v>FY26 September–March comparison</x:v>
      </x:c>
      <x:c r="C45" s="2"/>
      <x:c r="D45" s="2"/>
      <x:c r="E45" s="2"/>
      <x:c r="F45" s="12" t="n">
        <x:f>E11-Actuals!E32</x:f>
        <x:v>13.630224000000002</x:v>
      </x:c>
      <x:c r="G45" s="2"/>
      <x:c r="H45" s="2"/>
      <x:c r="I45" s="2"/>
      <x:c r="J45" s="2"/>
      <x:c r="K45" s="2"/>
      <x:c r="L45" s="2"/>
      <x:c r="M45" s="2"/>
      <x:c r="N45" s="2"/>
      <x:c r="O45" s="2"/>
      <x:c r="P45" s="2"/>
      <x:c r="Q45" s="2"/>
      <x:c r="R45" s="2"/>
    </x:row>
    <x:row r="46" ht="21" customHeight="1">
      <x:c r="B46" s="1" t="str">
        <x:v>Implied September–March growth</x:v>
      </x:c>
      <x:c r="C46" s="2"/>
      <x:c r="D46" s="2"/>
      <x:c r="E46" s="2"/>
      <x:c r="F46" s="34" t="n">
        <x:f>F44/F45-1</x:f>
        <x:v>-0.09013671000474355</x:v>
      </x:c>
      <x:c r="G46" s="2"/>
      <x:c r="H46" s="2"/>
      <x:c r="I46" s="2"/>
      <x:c r="J46" s="2"/>
      <x:c r="K46" s="2"/>
      <x:c r="L46" s="2"/>
      <x:c r="M46" s="2"/>
      <x:c r="N46" s="2"/>
      <x:c r="O46" s="2"/>
      <x:c r="P46" s="2"/>
      <x:c r="Q46" s="2"/>
      <x:c r="R46" s="2"/>
    </x:row>
    <x:row r="47" ht="21" customHeight="1">
      <x:c r="B47" s="1"/>
      <x:c r="C47" s="2"/>
      <x:c r="D47" s="2"/>
      <x:c r="E47" s="2"/>
      <x:c r="F47" s="2"/>
      <x:c r="G47" s="2"/>
      <x:c r="H47" s="2"/>
      <x:c r="I47" s="2"/>
      <x:c r="J47" s="2"/>
      <x:c r="K47" s="2"/>
      <x:c r="L47" s="2"/>
      <x:c r="M47" s="2"/>
      <x:c r="N47" s="2"/>
      <x:c r="O47" s="2"/>
      <x:c r="P47" s="2"/>
      <x:c r="Q47" s="2"/>
      <x:c r="R47" s="2"/>
    </x:row>
    <x:row r="48" ht="21" customHeight="1">
      <x:c r="B48" s="1"/>
      <x:c r="C48" s="2"/>
      <x:c r="D48" s="2"/>
      <x:c r="E48" s="2"/>
      <x:c r="F48" s="2"/>
      <x:c r="G48" s="2"/>
      <x:c r="H48" s="2"/>
      <x:c r="I48" s="2"/>
      <x:c r="J48" s="2"/>
      <x:c r="K48" s="2"/>
      <x:c r="L48" s="2"/>
      <x:c r="M48" s="2"/>
      <x:c r="N48" s="2"/>
      <x:c r="O48" s="2"/>
      <x:c r="P48" s="2"/>
      <x:c r="Q48" s="2"/>
      <x:c r="R48" s="2"/>
    </x:row>
    <x:row r="49" ht="21" customHeight="1">
      <x:c r="B49" s="1"/>
      <x:c r="C49" s="2"/>
      <x:c r="D49" s="2"/>
      <x:c r="E49" s="2"/>
      <x:c r="F49" s="2"/>
      <x:c r="G49" s="2"/>
      <x:c r="H49" s="2"/>
      <x:c r="I49" s="2"/>
      <x:c r="J49" s="2"/>
      <x:c r="K49" s="2"/>
      <x:c r="L49" s="2"/>
      <x:c r="M49" s="2"/>
      <x:c r="N49" s="2"/>
      <x:c r="O49" s="2"/>
      <x:c r="P49" s="2"/>
      <x:c r="Q49" s="2"/>
      <x:c r="R49" s="2"/>
    </x:row>
    <x:row r="50" ht="21" customHeight="1">
      <x:c r="B50" s="1"/>
      <x:c r="C50" s="2"/>
      <x:c r="D50" s="2"/>
      <x:c r="E50" s="2"/>
      <x:c r="F50" s="2"/>
      <x:c r="G50" s="2"/>
      <x:c r="H50" s="2"/>
      <x:c r="I50" s="2"/>
      <x:c r="J50" s="2"/>
      <x:c r="K50" s="2"/>
      <x:c r="L50" s="2"/>
      <x:c r="M50" s="2"/>
      <x:c r="N50" s="2"/>
      <x:c r="O50" s="2"/>
      <x:c r="P50" s="2"/>
      <x:c r="Q50" s="2"/>
      <x:c r="R50" s="2"/>
    </x:row>
    <x:row r="51" ht="21" customHeight="1">
      <x:c r="B51" s="1"/>
      <x:c r="C51" s="2"/>
      <x:c r="D51" s="2"/>
      <x:c r="E51" s="2"/>
      <x:c r="F51" s="2"/>
      <x:c r="G51" s="2"/>
      <x:c r="H51" s="2"/>
      <x:c r="I51" s="2"/>
      <x:c r="J51" s="2"/>
      <x:c r="K51" s="2"/>
      <x:c r="L51" s="2"/>
      <x:c r="M51" s="2"/>
      <x:c r="N51" s="2"/>
      <x:c r="O51" s="2"/>
      <x:c r="P51" s="2"/>
      <x:c r="Q51" s="2"/>
      <x:c r="R51" s="2"/>
    </x:row>
    <x:row r="52" ht="21" customHeight="1">
      <x:c r="B52" s="1"/>
      <x:c r="C52" s="2"/>
      <x:c r="D52" s="2"/>
      <x:c r="E52" s="2"/>
      <x:c r="F52" s="2"/>
      <x:c r="G52" s="2"/>
      <x:c r="H52" s="2"/>
      <x:c r="I52" s="2"/>
      <x:c r="J52" s="2"/>
      <x:c r="K52" s="2"/>
      <x:c r="L52" s="2"/>
      <x:c r="M52" s="2"/>
      <x:c r="N52" s="2"/>
      <x:c r="O52" s="2"/>
      <x:c r="P52" s="2"/>
      <x:c r="Q52" s="2"/>
      <x:c r="R52" s="2"/>
    </x:row>
    <x:row r="53" ht="21" customHeight="1">
      <x:c r="B53" s="1"/>
      <x:c r="C53" s="2"/>
      <x:c r="D53" s="2"/>
      <x:c r="E53" s="2"/>
      <x:c r="F53" s="2"/>
      <x:c r="G53" s="2"/>
      <x:c r="H53" s="2"/>
      <x:c r="I53" s="2"/>
      <x:c r="J53" s="2"/>
      <x:c r="K53" s="2"/>
      <x:c r="L53" s="2"/>
      <x:c r="M53" s="2"/>
      <x:c r="N53" s="2"/>
      <x:c r="O53" s="2"/>
      <x:c r="P53" s="2"/>
      <x:c r="Q53" s="2"/>
      <x:c r="R53" s="2"/>
    </x:row>
    <x:row r="54" ht="21" customHeight="1">
      <x:c r="B54" s="1"/>
      <x:c r="C54" s="2"/>
      <x:c r="D54" s="2"/>
      <x:c r="E54" s="2"/>
      <x:c r="F54" s="2"/>
      <x:c r="G54" s="2"/>
      <x:c r="H54" s="2"/>
      <x:c r="I54" s="2"/>
      <x:c r="J54" s="2"/>
      <x:c r="K54" s="2"/>
      <x:c r="L54" s="2"/>
      <x:c r="M54" s="2"/>
      <x:c r="N54" s="2"/>
      <x:c r="O54" s="2"/>
      <x:c r="P54" s="2"/>
      <x:c r="Q54" s="2"/>
      <x:c r="R54" s="2"/>
    </x:row>
    <x:row r="55" ht="21" customHeight="1">
      <x:c r="B55" s="1"/>
      <x:c r="C55" s="2"/>
      <x:c r="D55" s="2"/>
      <x:c r="E55" s="2"/>
      <x:c r="F55" s="2"/>
      <x:c r="G55" s="2"/>
      <x:c r="H55" s="2"/>
      <x:c r="I55" s="2"/>
      <x:c r="J55" s="2"/>
      <x:c r="K55" s="2"/>
      <x:c r="L55" s="2"/>
      <x:c r="M55" s="2"/>
      <x:c r="N55" s="2"/>
      <x:c r="O55" s="2"/>
      <x:c r="P55" s="2"/>
      <x:c r="Q55" s="2"/>
      <x:c r="R55" s="2"/>
    </x:row>
    <x:row r="56" ht="21" customHeight="1">
      <x:c r="B56" s="1"/>
      <x:c r="C56" s="2"/>
      <x:c r="D56" s="2"/>
      <x:c r="E56" s="2"/>
      <x:c r="F56" s="2"/>
      <x:c r="G56" s="2"/>
      <x:c r="H56" s="2"/>
      <x:c r="I56" s="2"/>
      <x:c r="J56" s="2"/>
      <x:c r="K56" s="2"/>
      <x:c r="L56" s="2"/>
      <x:c r="M56" s="2"/>
      <x:c r="N56" s="2"/>
      <x:c r="O56" s="2"/>
      <x:c r="P56" s="2"/>
      <x:c r="Q56" s="2"/>
      <x:c r="R56" s="2"/>
    </x:row>
    <x:row r="57" ht="21" customHeight="1">
      <x:c r="B57" s="1"/>
      <x:c r="C57" s="2"/>
      <x:c r="D57" s="2"/>
      <x:c r="E57" s="2"/>
      <x:c r="F57" s="2"/>
      <x:c r="G57" s="2"/>
      <x:c r="H57" s="2"/>
      <x:c r="I57" s="2"/>
      <x:c r="J57" s="2"/>
      <x:c r="K57" s="2"/>
      <x:c r="L57" s="2"/>
      <x:c r="M57" s="2"/>
      <x:c r="N57" s="2"/>
      <x:c r="O57" s="2"/>
      <x:c r="P57" s="2"/>
      <x:c r="Q57" s="2"/>
      <x:c r="R57" s="2"/>
    </x:row>
    <x:row r="58" ht="21" customHeight="1">
      <x:c r="B58" s="1"/>
      <x:c r="C58" s="2"/>
      <x:c r="D58" s="2"/>
      <x:c r="E58" s="2"/>
      <x:c r="F58" s="2"/>
      <x:c r="G58" s="2"/>
      <x:c r="H58" s="2"/>
      <x:c r="I58" s="2"/>
      <x:c r="J58" s="2"/>
      <x:c r="K58" s="2"/>
      <x:c r="L58" s="2"/>
      <x:c r="M58" s="2"/>
      <x:c r="N58" s="2"/>
      <x:c r="O58" s="2"/>
      <x:c r="P58" s="2"/>
      <x:c r="Q58" s="2"/>
      <x:c r="R58" s="2"/>
    </x:row>
  </x:sheetData>
  <x:pageMargins left="0.7" right="0.7" top="0.75" bottom="0.75" header="0.3" footer="0.3"/>
  <x:drawing xmlns:r="http://schemas.openxmlformats.org/officeDocument/2006/relationships" r:id="R1fac60ead16f4e69"/>
</x:worksheet>
</file>

<file path=xl/worksheets/sheet2.xml><?xml version="1.0" encoding="utf-8"?>
<x:worksheet xmlns:x="http://schemas.openxmlformats.org/spreadsheetml/2006/main">
  <x:sheetPr>
    <x:tabColor rgb="FF255B86"/>
  </x:sheetPr>
  <x:sheetViews>
    <x:sheetView showGridLines="0" workbookViewId="0">
      <x:pane ySplit="6" topLeftCell="A7" activePane="bottomLeft" state="frozen"/>
    </x:sheetView>
  </x:sheetViews>
  <x:sheetFormatPr defaultRowHeight="15"/>
  <x:cols>
    <x:col min="2" max="2" width="36" hidden="0" customWidth="1"/>
    <x:col min="3" max="3" width="15" hidden="0" customWidth="1"/>
    <x:col min="4" max="4" width="15" hidden="0" customWidth="1"/>
    <x:col min="5" max="5" width="15" hidden="0" customWidth="1"/>
    <x:col min="6" max="6" width="15" hidden="0" customWidth="1"/>
    <x:col min="7" max="7" width="15" hidden="0" customWidth="1"/>
    <x:col min="8" max="8" width="82"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2" ht="21" customHeight="1">
      <x:c r="B2" s="3" t="str">
        <x:v>Forecast drivers</x:v>
      </x:c>
      <x:c r="C2" s="2"/>
      <x:c r="D2" s="2"/>
      <x:c r="E2" s="2"/>
      <x:c r="F2" s="2"/>
      <x:c r="G2" s="2"/>
      <x:c r="H2" s="2"/>
      <x:c r="I2" s="2"/>
      <x:c r="J2" s="2"/>
      <x:c r="K2" s="2"/>
      <x:c r="L2" s="2"/>
      <x:c r="M2" s="2"/>
      <x:c r="N2" s="2"/>
      <x:c r="O2" s="2"/>
      <x:c r="P2" s="2"/>
      <x:c r="Q2" s="2"/>
      <x:c r="R2" s="2"/>
    </x:row>
    <x:row r="3" ht="21" customHeight="1">
      <x:c r="B3" s="4"/>
      <x:c r="C3" s="5"/>
      <x:c r="D3" s="5"/>
      <x:c r="E3" s="5"/>
      <x:c r="F3" s="5"/>
      <x:c r="G3" s="5"/>
      <x:c r="H3" s="5"/>
      <x:c r="I3" s="2"/>
      <x:c r="J3" s="2"/>
      <x:c r="K3" s="2"/>
      <x:c r="L3" s="2"/>
      <x:c r="M3" s="2"/>
      <x:c r="N3" s="2"/>
      <x:c r="O3" s="2"/>
      <x:c r="P3" s="2"/>
      <x:c r="Q3" s="2"/>
      <x:c r="R3" s="2"/>
    </x:row>
    <x:row r="4" ht="21" customHeight="1">
      <x:c r="B4" s="6" t="str">
        <x:v>Yellow cells are analyst assumptions. All growth inputs are annual percentage changes or contributions.</x:v>
      </x:c>
      <x:c r="C4" s="7"/>
      <x:c r="D4" s="7"/>
      <x:c r="E4" s="7"/>
      <x:c r="F4" s="7"/>
      <x:c r="G4" s="7"/>
      <x:c r="H4" s="7"/>
      <x:c r="I4" s="2"/>
      <x:c r="J4" s="2"/>
      <x:c r="K4" s="2"/>
      <x:c r="L4" s="2"/>
      <x:c r="M4" s="2"/>
      <x:c r="N4" s="2"/>
      <x:c r="O4" s="2"/>
      <x:c r="P4" s="2"/>
      <x:c r="Q4" s="2"/>
      <x:c r="R4" s="2"/>
    </x:row>
    <x:row r="5" ht="21" customHeight="1">
      <x:c r="B5" s="1"/>
      <x:c r="C5" s="2"/>
      <x:c r="D5" s="2"/>
      <x:c r="E5" s="2"/>
      <x:c r="F5" s="2"/>
      <x:c r="G5" s="2"/>
      <x:c r="H5" s="2"/>
      <x:c r="I5" s="2"/>
      <x:c r="J5" s="2"/>
      <x:c r="K5" s="2"/>
      <x:c r="L5" s="2"/>
      <x:c r="M5" s="2"/>
      <x:c r="N5" s="2"/>
      <x:c r="O5" s="2"/>
      <x:c r="P5" s="2"/>
      <x:c r="Q5" s="2"/>
      <x:c r="R5" s="2"/>
    </x:row>
    <x:row r="6" ht="21" customHeight="1">
      <x:c r="B6" s="1"/>
      <x:c r="C6" s="2"/>
      <x:c r="D6" s="2" t="str">
        <x:v>FY27E</x:v>
      </x:c>
      <x:c r="E6" s="2" t="str">
        <x:v>FY28E</x:v>
      </x:c>
      <x:c r="F6" s="2" t="str">
        <x:v>FY29E</x:v>
      </x:c>
      <x:c r="G6" s="2"/>
      <x:c r="H6" s="2"/>
      <x:c r="I6" s="2"/>
      <x:c r="J6" s="2"/>
      <x:c r="K6" s="2"/>
      <x:c r="L6" s="2"/>
      <x:c r="M6" s="2"/>
      <x:c r="N6" s="2"/>
      <x:c r="O6" s="2"/>
      <x:c r="P6" s="2"/>
      <x:c r="Q6" s="2"/>
      <x:c r="R6" s="2"/>
    </x:row>
    <x:row r="7" ht="25" customHeight="1">
      <x:c r="B7" s="10" t="str">
        <x:v>Composition and underlying demand</x:v>
      </x:c>
      <x:c r="C7" s="11"/>
      <x:c r="D7" s="11"/>
      <x:c r="E7" s="11"/>
      <x:c r="F7" s="11"/>
      <x:c r="G7" s="2"/>
      <x:c r="H7" s="2" t="str">
        <x:v>Interpretation</x:v>
      </x:c>
      <x:c r="I7" s="2"/>
      <x:c r="J7" s="2"/>
      <x:c r="K7" s="2"/>
      <x:c r="L7" s="2"/>
      <x:c r="M7" s="2"/>
      <x:c r="N7" s="2"/>
      <x:c r="O7" s="2"/>
      <x:c r="P7" s="2"/>
      <x:c r="Q7" s="2"/>
      <x:c r="R7" s="2"/>
    </x:row>
    <x:row r="8" ht="21" customHeight="1">
      <x:c r="B8" s="1" t="str">
        <x:v>Motorcycle replacement share</x:v>
      </x:c>
      <x:c r="C8" s="2"/>
      <x:c r="D8" s="18" t="n">
        <x:v>0.75</x:v>
      </x:c>
      <x:c r="E8" s="18" t="n">
        <x:v>0.75</x:v>
      </x:c>
      <x:c r="F8" s="18" t="n">
        <x:v>0.75</x:v>
      </x:c>
      <x:c r="G8" s="2"/>
      <x:c r="H8" s="33" t="str">
        <x:v>Replacement share remains an unverified anchor. Validate with dealer exchanges or buyer surveys.</x:v>
      </x:c>
      <x:c r="I8" s="2"/>
      <x:c r="J8" s="2"/>
      <x:c r="K8" s="2"/>
      <x:c r="L8" s="2"/>
      <x:c r="M8" s="2"/>
      <x:c r="N8" s="2"/>
      <x:c r="O8" s="2"/>
      <x:c r="P8" s="2"/>
      <x:c r="Q8" s="2"/>
      <x:c r="R8" s="2"/>
    </x:row>
    <x:row r="9" ht="21" customHeight="1">
      <x:c r="B9" s="1" t="str">
        <x:v>Scooter replacement share</x:v>
      </x:c>
      <x:c r="C9" s="2"/>
      <x:c r="D9" s="18" t="n">
        <x:v>0.65</x:v>
      </x:c>
      <x:c r="E9" s="18" t="n">
        <x:v>0.65</x:v>
      </x:c>
      <x:c r="F9" s="18" t="n">
        <x:v>0.65</x:v>
      </x:c>
      <x:c r="G9" s="2"/>
      <x:c r="H9" s="33"/>
      <x:c r="I9" s="2"/>
      <x:c r="J9" s="2"/>
      <x:c r="K9" s="2"/>
      <x:c r="L9" s="2"/>
      <x:c r="M9" s="2"/>
      <x:c r="N9" s="2"/>
      <x:c r="O9" s="2"/>
      <x:c r="P9" s="2"/>
      <x:c r="Q9" s="2"/>
      <x:c r="R9" s="2"/>
    </x:row>
    <x:row r="10" ht="21" customHeight="1">
      <x:c r="B10" s="1" t="str">
        <x:v>Moped replacement share</x:v>
      </x:c>
      <x:c r="C10" s="2"/>
      <x:c r="D10" s="18" t="n">
        <x:v>0.85</x:v>
      </x:c>
      <x:c r="E10" s="18" t="n">
        <x:v>0.85</x:v>
      </x:c>
      <x:c r="F10" s="18" t="n">
        <x:v>0.85</x:v>
      </x:c>
      <x:c r="G10" s="2"/>
      <x:c r="H10" s="33"/>
      <x:c r="I10" s="2"/>
      <x:c r="J10" s="2"/>
      <x:c r="K10" s="2"/>
      <x:c r="L10" s="2"/>
      <x:c r="M10" s="2"/>
      <x:c r="N10" s="2"/>
      <x:c r="O10" s="2"/>
      <x:c r="P10" s="2"/>
      <x:c r="Q10" s="2"/>
      <x:c r="R10" s="2"/>
    </x:row>
    <x:row r="11" ht="25" customHeight="1">
      <x:c r="B11" s="10" t="str">
        <x:v>Cohort growth</x:v>
      </x:c>
      <x:c r="C11" s="11"/>
      <x:c r="D11" s="11"/>
      <x:c r="E11" s="11"/>
      <x:c r="F11" s="11"/>
      <x:c r="G11" s="2"/>
      <x:c r="H11" s="33"/>
      <x:c r="I11" s="2"/>
      <x:c r="J11" s="2"/>
      <x:c r="K11" s="2"/>
      <x:c r="L11" s="2"/>
      <x:c r="M11" s="2"/>
      <x:c r="N11" s="2"/>
      <x:c r="O11" s="2"/>
      <x:c r="P11" s="2"/>
      <x:c r="Q11" s="2"/>
      <x:c r="R11" s="2"/>
    </x:row>
    <x:row r="12" ht="21" customHeight="1">
      <x:c r="B12" s="1" t="str">
        <x:v>Motorcycle replacement cohort growth</x:v>
      </x:c>
      <x:c r="C12" s="2"/>
      <x:c r="D12" s="31" t="n">
        <x:f>'Driver working'!D30</x:f>
        <x:v>0.010689752680232756</x:v>
      </x:c>
      <x:c r="E12" s="31" t="n">
        <x:f>'Driver working'!E30</x:f>
        <x:v>-0.02211787317388847</x:v>
      </x:c>
      <x:c r="F12" s="31" t="n">
        <x:f>'Driver working'!F30</x:f>
        <x:v>-0.07663255775257316</x:v>
      </x:c>
      <x:c r="G12" s="2"/>
      <x:c r="H12" s="33" t="str">
        <x:v>Replacement opportunity is calculated from 7–10-year-old SIAM sales vintages on Driver working.</x:v>
      </x:c>
      <x:c r="I12" s="2"/>
      <x:c r="J12" s="2"/>
      <x:c r="K12" s="2"/>
      <x:c r="L12" s="2"/>
      <x:c r="M12" s="2"/>
      <x:c r="N12" s="2"/>
      <x:c r="O12" s="2"/>
      <x:c r="P12" s="2"/>
      <x:c r="Q12" s="2"/>
      <x:c r="R12" s="2"/>
    </x:row>
    <x:row r="13" ht="21" customHeight="1">
      <x:c r="B13" s="1" t="str">
        <x:v>Scooter replacement cohort growth</x:v>
      </x:c>
      <x:c r="C13" s="2"/>
      <x:c r="D13" s="31" t="n">
        <x:f>'Driver working'!D31</x:f>
        <x:v>0.022208283505191106</x:v>
      </x:c>
      <x:c r="E13" s="31" t="n">
        <x:f>'Driver working'!E31</x:f>
        <x:v>-0.04563961325587185</x:v>
      </x:c>
      <x:c r="F13" s="31" t="n">
        <x:f>'Driver working'!F31</x:f>
        <x:v>-0.11108995371970953</x:v>
      </x:c>
      <x:c r="G13" s="2"/>
      <x:c r="H13" s="33"/>
      <x:c r="I13" s="2"/>
      <x:c r="J13" s="2"/>
      <x:c r="K13" s="2"/>
      <x:c r="L13" s="2"/>
      <x:c r="M13" s="2"/>
      <x:c r="N13" s="2"/>
      <x:c r="O13" s="2"/>
      <x:c r="P13" s="2"/>
      <x:c r="Q13" s="2"/>
      <x:c r="R13" s="2"/>
    </x:row>
    <x:row r="14" ht="21" customHeight="1">
      <x:c r="B14" s="1" t="str">
        <x:v>Moped replacement cohort growth</x:v>
      </x:c>
      <x:c r="C14" s="2"/>
      <x:c r="D14" s="31" t="n">
        <x:f>'Driver working'!D32</x:f>
        <x:v>-0.02592552839420048</x:v>
      </x:c>
      <x:c r="E14" s="31" t="n">
        <x:f>'Driver working'!E32</x:f>
        <x:v>-0.08364393226356914</x:v>
      </x:c>
      <x:c r="F14" s="31" t="n">
        <x:f>'Driver working'!F32</x:f>
        <x:v>-0.12905587673742158</x:v>
      </x:c>
      <x:c r="G14" s="2"/>
      <x:c r="H14" s="33"/>
      <x:c r="I14" s="2"/>
      <x:c r="J14" s="2"/>
      <x:c r="K14" s="2"/>
      <x:c r="L14" s="2"/>
      <x:c r="M14" s="2"/>
      <x:c r="N14" s="2"/>
      <x:c r="O14" s="2"/>
      <x:c r="P14" s="2"/>
      <x:c r="Q14" s="2"/>
      <x:c r="R14" s="2"/>
    </x:row>
    <x:row r="15" ht="21" customHeight="1">
      <x:c r="B15" s="1"/>
      <x:c r="C15" s="2"/>
      <x:c r="D15" s="2"/>
      <x:c r="E15" s="2"/>
      <x:c r="F15" s="2"/>
      <x:c r="G15" s="2"/>
      <x:c r="H15" s="33"/>
      <x:c r="I15" s="2"/>
      <x:c r="J15" s="2"/>
      <x:c r="K15" s="2"/>
      <x:c r="L15" s="2"/>
      <x:c r="M15" s="2"/>
      <x:c r="N15" s="2"/>
      <x:c r="O15" s="2"/>
      <x:c r="P15" s="2"/>
      <x:c r="Q15" s="2"/>
      <x:c r="R15" s="2"/>
    </x:row>
    <x:row r="16" ht="21" customHeight="1">
      <x:c r="B16" s="1" t="str">
        <x:v>Motorcycle first-time demand growth</x:v>
      </x:c>
      <x:c r="C16" s="2"/>
      <x:c r="D16" s="31" t="n">
        <x:f>'Driver working'!D40</x:f>
        <x:v>0.01</x:v>
      </x:c>
      <x:c r="E16" s="31" t="n">
        <x:f>'Driver working'!E40</x:f>
        <x:v>0.01</x:v>
      </x:c>
      <x:c r="F16" s="31" t="n">
        <x:f>'Driver working'!F40</x:f>
        <x:v>0.01</x:v>
      </x:c>
      <x:c r="G16" s="2"/>
      <x:c r="H16" s="33" t="str">
        <x:v>First-time demand grows with an illustrative 1% annual household-pool proxy.</x:v>
      </x:c>
      <x:c r="I16" s="2"/>
      <x:c r="J16" s="2"/>
      <x:c r="K16" s="2"/>
      <x:c r="L16" s="2"/>
      <x:c r="M16" s="2"/>
      <x:c r="N16" s="2"/>
      <x:c r="O16" s="2"/>
      <x:c r="P16" s="2"/>
      <x:c r="Q16" s="2"/>
      <x:c r="R16" s="2"/>
    </x:row>
    <x:row r="17" ht="21" customHeight="1">
      <x:c r="B17" s="1" t="str">
        <x:v>Scooter first-time demand growth</x:v>
      </x:c>
      <x:c r="C17" s="2"/>
      <x:c r="D17" s="31" t="n">
        <x:f>'Driver working'!D41</x:f>
        <x:v>0.01</x:v>
      </x:c>
      <x:c r="E17" s="31" t="n">
        <x:f>'Driver working'!E41</x:f>
        <x:v>0.01</x:v>
      </x:c>
      <x:c r="F17" s="31" t="n">
        <x:f>'Driver working'!F41</x:f>
        <x:v>0.01</x:v>
      </x:c>
      <x:c r="G17" s="2"/>
      <x:c r="H17" s="33"/>
      <x:c r="I17" s="2"/>
      <x:c r="J17" s="2"/>
      <x:c r="K17" s="2"/>
      <x:c r="L17" s="2"/>
      <x:c r="M17" s="2"/>
      <x:c r="N17" s="2"/>
      <x:c r="O17" s="2"/>
      <x:c r="P17" s="2"/>
      <x:c r="Q17" s="2"/>
      <x:c r="R17" s="2"/>
    </x:row>
    <x:row r="18" ht="21" customHeight="1">
      <x:c r="B18" s="1" t="str">
        <x:v>Moped first-time demand growth</x:v>
      </x:c>
      <x:c r="C18" s="2"/>
      <x:c r="D18" s="31" t="n">
        <x:f>'Driver working'!D42</x:f>
        <x:v>0.01</x:v>
      </x:c>
      <x:c r="E18" s="31" t="n">
        <x:f>'Driver working'!E42</x:f>
        <x:v>0.01</x:v>
      </x:c>
      <x:c r="F18" s="31" t="n">
        <x:f>'Driver working'!F42</x:f>
        <x:v>0.01</x:v>
      </x:c>
      <x:c r="G18" s="2"/>
      <x:c r="H18" s="33"/>
      <x:c r="I18" s="2"/>
      <x:c r="J18" s="2"/>
      <x:c r="K18" s="2"/>
      <x:c r="L18" s="2"/>
      <x:c r="M18" s="2"/>
      <x:c r="N18" s="2"/>
      <x:c r="O18" s="2"/>
      <x:c r="P18" s="2"/>
      <x:c r="Q18" s="2"/>
      <x:c r="R18" s="2"/>
    </x:row>
    <x:row r="19" ht="25" customHeight="1">
      <x:c r="B19" s="10" t="str">
        <x:v>Income and credit</x:v>
      </x:c>
      <x:c r="C19" s="11"/>
      <x:c r="D19" s="11"/>
      <x:c r="E19" s="11"/>
      <x:c r="F19" s="11"/>
      <x:c r="G19" s="2"/>
      <x:c r="H19" s="33"/>
      <x:c r="I19" s="2"/>
      <x:c r="J19" s="2"/>
      <x:c r="K19" s="2"/>
      <x:c r="L19" s="2"/>
      <x:c r="M19" s="2"/>
      <x:c r="N19" s="2"/>
      <x:c r="O19" s="2"/>
      <x:c r="P19" s="2"/>
      <x:c r="Q19" s="2"/>
      <x:c r="R19" s="2"/>
    </x:row>
    <x:row r="20" ht="21" customHeight="1">
      <x:c r="B20" s="1" t="str">
        <x:v>Motorcycle rural-income growth contribution</x:v>
      </x:c>
      <x:c r="C20" s="2"/>
      <x:c r="D20" s="31" t="n">
        <x:f>'Driver working'!D53</x:f>
        <x:v>0.003377218088151146</x:v>
      </x:c>
      <x:c r="E20" s="31" t="n">
        <x:f>'Driver working'!E53</x:f>
        <x:v>0.003377218088151146</x:v>
      </x:c>
      <x:c r="F20" s="31" t="n">
        <x:f>'Driver working'!F53</x:f>
        <x:v>0.003377218088151146</x:v>
      </x:c>
      <x:c r="G20" s="2"/>
      <x:c r="H20" s="33" t="str">
        <x:v>Real-income proxy, rural exposure and response are shown on Driver working.</x:v>
      </x:c>
      <x:c r="I20" s="2"/>
      <x:c r="J20" s="2"/>
      <x:c r="K20" s="2"/>
      <x:c r="L20" s="2"/>
      <x:c r="M20" s="2"/>
      <x:c r="N20" s="2"/>
      <x:c r="O20" s="2"/>
      <x:c r="P20" s="2"/>
      <x:c r="Q20" s="2"/>
      <x:c r="R20" s="2"/>
    </x:row>
    <x:row r="21" ht="21" customHeight="1">
      <x:c r="B21" s="1" t="str">
        <x:v>Scooter rural-income growth contribution</x:v>
      </x:c>
      <x:c r="C21" s="2"/>
      <x:c r="D21" s="31" t="n">
        <x:f>'Driver working'!D54</x:f>
        <x:v>0.001688609044075573</x:v>
      </x:c>
      <x:c r="E21" s="31" t="n">
        <x:f>'Driver working'!E54</x:f>
        <x:v>0.001688609044075573</x:v>
      </x:c>
      <x:c r="F21" s="31" t="n">
        <x:f>'Driver working'!F54</x:f>
        <x:v>0.001688609044075573</x:v>
      </x:c>
      <x:c r="G21" s="2"/>
      <x:c r="H21" s="33"/>
      <x:c r="I21" s="2"/>
      <x:c r="J21" s="2"/>
      <x:c r="K21" s="2"/>
      <x:c r="L21" s="2"/>
      <x:c r="M21" s="2"/>
      <x:c r="N21" s="2"/>
      <x:c r="O21" s="2"/>
      <x:c r="P21" s="2"/>
      <x:c r="Q21" s="2"/>
      <x:c r="R21" s="2"/>
    </x:row>
    <x:row r="22" ht="21" customHeight="1">
      <x:c r="B22" s="1" t="str">
        <x:v>Moped rural-income growth contribution</x:v>
      </x:c>
      <x:c r="C22" s="2"/>
      <x:c r="D22" s="31" t="n">
        <x:f>'Driver working'!D55</x:f>
        <x:v>0.0039400877695096705</x:v>
      </x:c>
      <x:c r="E22" s="31" t="n">
        <x:f>'Driver working'!E55</x:f>
        <x:v>0.0039400877695096705</x:v>
      </x:c>
      <x:c r="F22" s="31" t="n">
        <x:f>'Driver working'!F55</x:f>
        <x:v>0.0039400877695096705</x:v>
      </x:c>
      <x:c r="G22" s="2"/>
      <x:c r="H22" s="33"/>
      <x:c r="I22" s="2"/>
      <x:c r="J22" s="2"/>
      <x:c r="K22" s="2"/>
      <x:c r="L22" s="2"/>
      <x:c r="M22" s="2"/>
      <x:c r="N22" s="2"/>
      <x:c r="O22" s="2"/>
      <x:c r="P22" s="2"/>
      <x:c r="Q22" s="2"/>
      <x:c r="R22" s="2"/>
    </x:row>
    <x:row r="23" ht="21" customHeight="1">
      <x:c r="B23" s="1"/>
      <x:c r="C23" s="2"/>
      <x:c r="D23" s="2"/>
      <x:c r="E23" s="2"/>
      <x:c r="F23" s="2"/>
      <x:c r="G23" s="2"/>
      <x:c r="H23" s="33"/>
      <x:c r="I23" s="2"/>
      <x:c r="J23" s="2"/>
      <x:c r="K23" s="2"/>
      <x:c r="L23" s="2"/>
      <x:c r="M23" s="2"/>
      <x:c r="N23" s="2"/>
      <x:c r="O23" s="2"/>
      <x:c r="P23" s="2"/>
      <x:c r="Q23" s="2"/>
      <x:c r="R23" s="2"/>
    </x:row>
    <x:row r="24" ht="21" customHeight="1">
      <x:c r="B24" s="1" t="str">
        <x:v>Motorcycle financing growth contribution</x:v>
      </x:c>
      <x:c r="C24" s="2"/>
      <x:c r="D24" s="31" t="n">
        <x:f>'Driver working'!D68</x:f>
        <x:v>0</x:v>
      </x:c>
      <x:c r="E24" s="31" t="n">
        <x:f>'Driver working'!E68</x:f>
        <x:v>-0.003223157006024513</x:v>
      </x:c>
      <x:c r="F24" s="31" t="n">
        <x:f>'Driver working'!F68</x:f>
        <x:v>0.0032002350945447623</x:v>
      </x:c>
      <x:c r="G24" s="2"/>
      <x:c r="H24" s="33" t="str">
        <x:v>Income and loan APR working is on Driver working. Exposure and sensitivity remain judgment.</x:v>
      </x:c>
      <x:c r="I24" s="2"/>
      <x:c r="J24" s="2"/>
      <x:c r="K24" s="2"/>
      <x:c r="L24" s="2"/>
      <x:c r="M24" s="2"/>
      <x:c r="N24" s="2"/>
      <x:c r="O24" s="2"/>
      <x:c r="P24" s="2"/>
      <x:c r="Q24" s="2"/>
      <x:c r="R24" s="2"/>
    </x:row>
    <x:row r="25" ht="21" customHeight="1">
      <x:c r="B25" s="1" t="str">
        <x:v>Scooter financing growth contribution</x:v>
      </x:c>
      <x:c r="C25" s="2"/>
      <x:c r="D25" s="31" t="n">
        <x:f>'Driver working'!D69</x:f>
        <x:v>0</x:v>
      </x:c>
      <x:c r="E25" s="31" t="n">
        <x:f>'Driver working'!E69</x:f>
        <x:v>-0.002506899893574621</x:v>
      </x:c>
      <x:c r="F25" s="31" t="n">
        <x:f>'Driver working'!F69</x:f>
        <x:v>0.0024890717402014815</x:v>
      </x:c>
      <x:c r="G25" s="2"/>
      <x:c r="H25" s="2"/>
      <x:c r="I25" s="2"/>
      <x:c r="J25" s="2"/>
      <x:c r="K25" s="2"/>
      <x:c r="L25" s="2"/>
      <x:c r="M25" s="2"/>
      <x:c r="N25" s="2"/>
      <x:c r="O25" s="2"/>
      <x:c r="P25" s="2"/>
      <x:c r="Q25" s="2"/>
      <x:c r="R25" s="2"/>
    </x:row>
    <x:row r="26" ht="21" customHeight="1">
      <x:c r="B26" s="1" t="str">
        <x:v>Moped financing growth contribution</x:v>
      </x:c>
      <x:c r="C26" s="2"/>
      <x:c r="D26" s="31" t="n">
        <x:f>'Driver working'!D70</x:f>
        <x:v>0</x:v>
      </x:c>
      <x:c r="E26" s="31" t="n">
        <x:f>'Driver working'!E70</x:f>
        <x:v>-0.0014325142248997837</x:v>
      </x:c>
      <x:c r="F26" s="31" t="n">
        <x:f>'Driver working'!F70</x:f>
        <x:v>0.001422326708686561</x:v>
      </x:c>
      <x:c r="G26" s="2"/>
      <x:c r="H26" s="2"/>
      <x:c r="I26" s="2"/>
      <x:c r="J26" s="2"/>
      <x:c r="K26" s="2"/>
      <x:c r="L26" s="2"/>
      <x:c r="M26" s="2"/>
      <x:c r="N26" s="2"/>
      <x:c r="O26" s="2"/>
      <x:c r="P26" s="2"/>
      <x:c r="Q26" s="2"/>
      <x:c r="R26" s="2"/>
    </x:row>
    <x:row r="27" ht="25" customHeight="1">
      <x:c r="B27" s="10" t="str">
        <x:v>Price, timing and EV mix</x:v>
      </x:c>
      <x:c r="C27" s="11"/>
      <x:c r="D27" s="11"/>
      <x:c r="E27" s="11"/>
      <x:c r="F27" s="11"/>
      <x:c r="G27" s="2"/>
      <x:c r="H27" s="2"/>
      <x:c r="I27" s="2"/>
      <x:c r="J27" s="2"/>
      <x:c r="K27" s="2"/>
      <x:c r="L27" s="2"/>
      <x:c r="M27" s="2"/>
      <x:c r="N27" s="2"/>
      <x:c r="O27" s="2"/>
      <x:c r="P27" s="2"/>
      <x:c r="Q27" s="2"/>
      <x:c r="R27" s="2"/>
    </x:row>
    <x:row r="28" ht="21" customHeight="1">
      <x:c r="B28" s="1" t="str">
        <x:v>Residual GST consumer price benefit</x:v>
      </x:c>
      <x:c r="C28" s="2"/>
      <x:c r="D28" s="18" t="n">
        <x:v>0.04</x:v>
      </x:c>
      <x:c r="E28" s="18" t="n">
        <x:v>0.02</x:v>
      </x:c>
      <x:c r="F28" s="18" t="n">
        <x:v>0.015</x:v>
      </x:c>
      <x:c r="G28" s="2"/>
      <x:c r="H28" s="2" t="str">
        <x:v>GST benefit is net of subsequent OEM price increases; only the year-on-year change is counted.</x:v>
      </x:c>
      <x:c r="I28" s="2"/>
      <x:c r="J28" s="2"/>
      <x:c r="K28" s="2"/>
      <x:c r="L28" s="2"/>
      <x:c r="M28" s="2"/>
      <x:c r="N28" s="2"/>
      <x:c r="O28" s="2"/>
      <x:c r="P28" s="2"/>
      <x:c r="Q28" s="2"/>
      <x:c r="R28" s="2"/>
    </x:row>
    <x:row r="29" ht="21" customHeight="1">
      <x:c r="B29" s="1" t="str">
        <x:v>Share exposed to GST cut</x:v>
      </x:c>
      <x:c r="C29" s="2"/>
      <x:c r="D29" s="18" t="n">
        <x:v>0.9</x:v>
      </x:c>
      <x:c r="E29" s="18" t="n">
        <x:v>0.9</x:v>
      </x:c>
      <x:c r="F29" s="18" t="n">
        <x:v>0.9</x:v>
      </x:c>
      <x:c r="G29" s="2"/>
      <x:c r="H29" s="2"/>
      <x:c r="I29" s="2"/>
      <x:c r="J29" s="2"/>
      <x:c r="K29" s="2"/>
      <x:c r="L29" s="2"/>
      <x:c r="M29" s="2"/>
      <x:c r="N29" s="2"/>
      <x:c r="O29" s="2"/>
      <x:c r="P29" s="2"/>
      <x:c r="Q29" s="2"/>
      <x:c r="R29" s="2"/>
    </x:row>
    <x:row r="30" ht="21" customHeight="1">
      <x:c r="B30" s="1" t="str">
        <x:v>Motorcycle volume elasticity to price</x:v>
      </x:c>
      <x:c r="C30" s="2"/>
      <x:c r="D30" s="19" t="n">
        <x:v>0.6</x:v>
      </x:c>
      <x:c r="E30" s="19" t="n">
        <x:v>0.6</x:v>
      </x:c>
      <x:c r="F30" s="19" t="n">
        <x:v>0.6</x:v>
      </x:c>
      <x:c r="G30" s="2"/>
      <x:c r="H30" s="2"/>
      <x:c r="I30" s="2"/>
      <x:c r="J30" s="2"/>
      <x:c r="K30" s="2"/>
      <x:c r="L30" s="2"/>
      <x:c r="M30" s="2"/>
      <x:c r="N30" s="2"/>
      <x:c r="O30" s="2"/>
      <x:c r="P30" s="2"/>
      <x:c r="Q30" s="2"/>
      <x:c r="R30" s="2"/>
    </x:row>
    <x:row r="31" ht="21" customHeight="1">
      <x:c r="B31" s="1" t="str">
        <x:v>Scooter volume elasticity to price</x:v>
      </x:c>
      <x:c r="C31" s="2"/>
      <x:c r="D31" s="19" t="n">
        <x:v>0.8</x:v>
      </x:c>
      <x:c r="E31" s="19" t="n">
        <x:v>0.8</x:v>
      </x:c>
      <x:c r="F31" s="19" t="n">
        <x:v>0.8</x:v>
      </x:c>
      <x:c r="G31" s="2"/>
      <x:c r="H31" s="2"/>
      <x:c r="I31" s="2"/>
      <x:c r="J31" s="2"/>
      <x:c r="K31" s="2"/>
      <x:c r="L31" s="2"/>
      <x:c r="M31" s="2"/>
      <x:c r="N31" s="2"/>
      <x:c r="O31" s="2"/>
      <x:c r="P31" s="2"/>
      <x:c r="Q31" s="2"/>
      <x:c r="R31" s="2"/>
    </x:row>
    <x:row r="32" ht="21" customHeight="1">
      <x:c r="B32" s="1" t="str">
        <x:v>Moped volume elasticity to price</x:v>
      </x:c>
      <x:c r="C32" s="2"/>
      <x:c r="D32" s="19" t="n">
        <x:v>0.45</x:v>
      </x:c>
      <x:c r="E32" s="19" t="n">
        <x:v>0.45</x:v>
      </x:c>
      <x:c r="F32" s="19" t="n">
        <x:v>0.45</x:v>
      </x:c>
      <x:c r="G32" s="2"/>
      <x:c r="H32" s="2"/>
      <x:c r="I32" s="2"/>
      <x:c r="J32" s="2"/>
      <x:c r="K32" s="2"/>
      <x:c r="L32" s="2"/>
      <x:c r="M32" s="2"/>
      <x:c r="N32" s="2"/>
      <x:c r="O32" s="2"/>
      <x:c r="P32" s="2"/>
      <x:c r="Q32" s="2"/>
      <x:c r="R32" s="2"/>
    </x:row>
    <x:row r="33" ht="21" customHeight="1">
      <x:c r="B33" s="1"/>
      <x:c r="C33" s="2"/>
      <x:c r="D33" s="2"/>
      <x:c r="E33" s="2"/>
      <x:c r="F33" s="2"/>
      <x:c r="G33" s="2"/>
      <x:c r="H33" s="2"/>
      <x:c r="I33" s="2"/>
      <x:c r="J33" s="2"/>
      <x:c r="K33" s="2"/>
      <x:c r="L33" s="2"/>
      <x:c r="M33" s="2"/>
      <x:c r="N33" s="2"/>
      <x:c r="O33" s="2"/>
      <x:c r="P33" s="2"/>
      <x:c r="Q33" s="2"/>
      <x:c r="R33" s="2"/>
    </x:row>
    <x:row r="34" ht="21" customHeight="1">
      <x:c r="B34" s="1" t="str">
        <x:v>FY26 timing debt repaid this year</x:v>
      </x:c>
      <x:c r="C34" s="2"/>
      <x:c r="D34" s="32" t="n">
        <x:v>0.6</x:v>
      </x:c>
      <x:c r="E34" s="32" t="n">
        <x:v>0.4</x:v>
      </x:c>
      <x:c r="F34" s="32" t="n">
        <x:v>0</x:v>
      </x:c>
      <x:c r="G34" s="2"/>
      <x:c r="H34" s="2"/>
      <x:c r="I34" s="2"/>
      <x:c r="J34" s="2"/>
      <x:c r="K34" s="2"/>
      <x:c r="L34" s="2"/>
      <x:c r="M34" s="2"/>
      <x:c r="N34" s="2"/>
      <x:c r="O34" s="2"/>
      <x:c r="P34" s="2"/>
      <x:c r="Q34" s="2"/>
      <x:c r="R34" s="2"/>
    </x:row>
    <x:row r="35" ht="21" customHeight="1">
      <x:c r="B35" s="1"/>
      <x:c r="C35" s="2"/>
      <x:c r="D35" s="2"/>
      <x:c r="E35" s="2"/>
      <x:c r="F35" s="2"/>
      <x:c r="G35" s="2"/>
      <x:c r="H35" s="2"/>
      <x:c r="I35" s="2"/>
      <x:c r="J35" s="2"/>
      <x:c r="K35" s="2"/>
      <x:c r="L35" s="2"/>
      <x:c r="M35" s="2"/>
      <x:c r="N35" s="2"/>
      <x:c r="O35" s="2"/>
      <x:c r="P35" s="2"/>
      <x:c r="Q35" s="2"/>
      <x:c r="R35" s="2"/>
    </x:row>
    <x:row r="36" ht="21" customHeight="1">
      <x:c r="B36" s="1" t="str">
        <x:v>Electric share of scooter sales</x:v>
      </x:c>
      <x:c r="C36" s="2"/>
      <x:c r="D36" s="18" t="n">
        <x:v>0.12</x:v>
      </x:c>
      <x:c r="E36" s="18" t="n">
        <x:v>0.17</x:v>
      </x:c>
      <x:c r="F36" s="18" t="n">
        <x:v>0.22</x:v>
      </x:c>
      <x:c r="G36" s="2"/>
      <x:c r="H36" s="2" t="str">
        <x:v>EV share is included within scooters; only an assumed fraction of adoption creates category demand.</x:v>
      </x:c>
      <x:c r="I36" s="2"/>
      <x:c r="J36" s="2"/>
      <x:c r="K36" s="2"/>
      <x:c r="L36" s="2"/>
      <x:c r="M36" s="2"/>
      <x:c r="N36" s="2"/>
      <x:c r="O36" s="2"/>
      <x:c r="P36" s="2"/>
      <x:c r="Q36" s="2"/>
      <x:c r="R36" s="2"/>
    </x:row>
    <x:row r="37" ht="21" customHeight="1">
      <x:c r="B37" s="1" t="str">
        <x:v>Share of new EV sales incremental to category</x:v>
      </x:c>
      <x:c r="C37" s="2"/>
      <x:c r="D37" s="18" t="n">
        <x:v>0.15</x:v>
      </x:c>
      <x:c r="E37" s="18" t="n">
        <x:v>0.15</x:v>
      </x:c>
      <x:c r="F37" s="18" t="n">
        <x:v>0.15</x:v>
      </x:c>
      <x:c r="G37" s="2"/>
      <x:c r="H37" s="2"/>
      <x:c r="I37" s="2"/>
      <x:c r="J37" s="2"/>
      <x:c r="K37" s="2"/>
      <x:c r="L37" s="2"/>
      <x:c r="M37" s="2"/>
      <x:c r="N37" s="2"/>
      <x:c r="O37" s="2"/>
      <x:c r="P37" s="2"/>
      <x:c r="Q37" s="2"/>
      <x:c r="R37" s="2"/>
    </x:row>
    <x:row r="38" ht="21" customHeight="1">
      <x:c r="B38" s="1"/>
      <x:c r="C38" s="2"/>
      <x:c r="D38" s="2"/>
      <x:c r="E38" s="2"/>
      <x:c r="F38" s="2"/>
      <x:c r="G38" s="2"/>
      <x:c r="H38" s="2"/>
      <x:c r="I38" s="2"/>
      <x:c r="J38" s="2"/>
      <x:c r="K38" s="2"/>
      <x:c r="L38" s="2"/>
      <x:c r="M38" s="2"/>
      <x:c r="N38" s="2"/>
      <x:c r="O38" s="2"/>
      <x:c r="P38" s="2"/>
      <x:c r="Q38" s="2"/>
      <x:c r="R38" s="2"/>
    </x:row>
    <x:row r="39" ht="21" customHeight="1">
      <x:c r="B39" s="1" t="str">
        <x:v>Dealer inventory change (million units)</x:v>
      </x:c>
      <x:c r="C39" s="2"/>
      <x:c r="D39" s="14" t="n">
        <x:v>0</x:v>
      </x:c>
      <x:c r="E39" s="14" t="n">
        <x:v>0</x:v>
      </x:c>
      <x:c r="F39" s="14" t="n">
        <x:v>0</x:v>
      </x:c>
      <x:c r="G39" s="2"/>
      <x:c r="H39" s="2"/>
      <x:c r="I39" s="2"/>
      <x:c r="J39" s="2"/>
      <x:c r="K39" s="2"/>
      <x:c r="L39" s="2"/>
      <x:c r="M39" s="2"/>
      <x:c r="N39" s="2"/>
      <x:c r="O39" s="2"/>
      <x:c r="P39" s="2"/>
      <x:c r="Q39" s="2"/>
      <x:c r="R39" s="2"/>
    </x:row>
    <x:row r="40" ht="21" customHeight="1">
      <x:c r="B40" s="1"/>
      <x:c r="C40" s="2"/>
      <x:c r="D40" s="2"/>
      <x:c r="E40" s="2"/>
      <x:c r="F40" s="2"/>
      <x:c r="G40" s="2"/>
      <x:c r="H40" s="2"/>
      <x:c r="I40" s="2"/>
      <x:c r="J40" s="2"/>
      <x:c r="K40" s="2"/>
      <x:c r="L40" s="2"/>
      <x:c r="M40" s="2"/>
      <x:c r="N40" s="2"/>
      <x:c r="O40" s="2"/>
      <x:c r="P40" s="2"/>
      <x:c r="Q40" s="2"/>
      <x:c r="R40" s="2"/>
    </x:row>
    <x:row r="41" ht="21" customHeight="1">
      <x:c r="B41" s="1"/>
      <x:c r="C41" s="2"/>
      <x:c r="D41" s="2"/>
      <x:c r="E41" s="2"/>
      <x:c r="F41" s="2"/>
      <x:c r="G41" s="2"/>
      <x:c r="H41" s="2"/>
      <x:c r="I41" s="2"/>
      <x:c r="J41" s="2"/>
      <x:c r="K41" s="2"/>
      <x:c r="L41" s="2"/>
      <x:c r="M41" s="2"/>
      <x:c r="N41" s="2"/>
      <x:c r="O41" s="2"/>
      <x:c r="P41" s="2"/>
      <x:c r="Q41" s="2"/>
      <x:c r="R41" s="2"/>
    </x:row>
    <x:row r="42" ht="21" customHeight="1">
      <x:c r="B42" s="1"/>
      <x:c r="C42" s="2"/>
      <x:c r="D42" s="2"/>
      <x:c r="E42" s="2"/>
      <x:c r="F42" s="2"/>
      <x:c r="G42" s="2"/>
      <x:c r="H42" s="2"/>
      <x:c r="I42" s="2"/>
      <x:c r="J42" s="2"/>
      <x:c r="K42" s="2"/>
      <x:c r="L42" s="2"/>
      <x:c r="M42" s="2"/>
      <x:c r="N42" s="2"/>
      <x:c r="O42" s="2"/>
      <x:c r="P42" s="2"/>
      <x:c r="Q42" s="2"/>
      <x:c r="R42" s="2"/>
    </x:row>
    <x:row r="43" ht="21" customHeight="1">
      <x:c r="B43" s="1"/>
      <x:c r="C43" s="2"/>
      <x:c r="D43" s="2"/>
      <x:c r="E43" s="2"/>
      <x:c r="F43" s="2"/>
      <x:c r="G43" s="2"/>
      <x:c r="H43" s="2"/>
      <x:c r="I43" s="2"/>
      <x:c r="J43" s="2"/>
      <x:c r="K43" s="2"/>
      <x:c r="L43" s="2"/>
      <x:c r="M43" s="2"/>
      <x:c r="N43" s="2"/>
      <x:c r="O43" s="2"/>
      <x:c r="P43" s="2"/>
      <x:c r="Q43" s="2"/>
      <x:c r="R43" s="2"/>
    </x:row>
    <x:row r="44" ht="21" customHeight="1">
      <x:c r="B44" s="1"/>
      <x:c r="C44" s="2"/>
      <x:c r="D44" s="2"/>
      <x:c r="E44" s="2"/>
      <x:c r="F44" s="2"/>
      <x:c r="G44" s="2"/>
      <x:c r="H44" s="2"/>
      <x:c r="I44" s="2"/>
      <x:c r="J44" s="2"/>
      <x:c r="K44" s="2"/>
      <x:c r="L44" s="2"/>
      <x:c r="M44" s="2"/>
      <x:c r="N44" s="2"/>
      <x:c r="O44" s="2"/>
      <x:c r="P44" s="2"/>
      <x:c r="Q44" s="2"/>
      <x:c r="R44" s="2"/>
    </x:row>
    <x:row r="45" ht="21" customHeight="1">
      <x:c r="B45" s="1"/>
      <x:c r="C45" s="2"/>
      <x:c r="D45" s="2"/>
      <x:c r="E45" s="2"/>
      <x:c r="F45" s="2"/>
      <x:c r="G45" s="2"/>
      <x:c r="H45" s="2"/>
      <x:c r="I45" s="2"/>
      <x:c r="J45" s="2"/>
      <x:c r="K45" s="2"/>
      <x:c r="L45" s="2"/>
      <x:c r="M45" s="2"/>
      <x:c r="N45" s="2"/>
      <x:c r="O45" s="2"/>
      <x:c r="P45" s="2"/>
      <x:c r="Q45" s="2"/>
      <x:c r="R45" s="2"/>
    </x:row>
    <x:row r="46" ht="21" customHeight="1">
      <x:c r="B46" s="1"/>
      <x:c r="C46" s="2"/>
      <x:c r="D46" s="2"/>
      <x:c r="E46" s="2"/>
      <x:c r="F46" s="2"/>
      <x:c r="G46" s="2"/>
      <x:c r="H46" s="2"/>
      <x:c r="I46" s="2"/>
      <x:c r="J46" s="2"/>
      <x:c r="K46" s="2"/>
      <x:c r="L46" s="2"/>
      <x:c r="M46" s="2"/>
      <x:c r="N46" s="2"/>
      <x:c r="O46" s="2"/>
      <x:c r="P46" s="2"/>
      <x:c r="Q46" s="2"/>
      <x:c r="R46" s="2"/>
    </x:row>
    <x:row r="47" ht="21" customHeight="1">
      <x:c r="B47" s="1"/>
      <x:c r="C47" s="2"/>
      <x:c r="D47" s="2"/>
      <x:c r="E47" s="2"/>
      <x:c r="F47" s="2"/>
      <x:c r="G47" s="2"/>
      <x:c r="H47" s="2"/>
      <x:c r="I47" s="2"/>
      <x:c r="J47" s="2"/>
      <x:c r="K47" s="2"/>
      <x:c r="L47" s="2"/>
      <x:c r="M47" s="2"/>
      <x:c r="N47" s="2"/>
      <x:c r="O47" s="2"/>
      <x:c r="P47" s="2"/>
      <x:c r="Q47" s="2"/>
      <x:c r="R47" s="2"/>
    </x:row>
    <x:row r="48" ht="21" customHeight="1">
      <x:c r="B48" s="1"/>
      <x:c r="C48" s="2"/>
      <x:c r="D48" s="2"/>
      <x:c r="E48" s="2"/>
      <x:c r="F48" s="2"/>
      <x:c r="G48" s="2"/>
      <x:c r="H48" s="2"/>
      <x:c r="I48" s="2"/>
      <x:c r="J48" s="2"/>
      <x:c r="K48" s="2"/>
      <x:c r="L48" s="2"/>
      <x:c r="M48" s="2"/>
      <x:c r="N48" s="2"/>
      <x:c r="O48" s="2"/>
      <x:c r="P48" s="2"/>
      <x:c r="Q48" s="2"/>
      <x:c r="R48" s="2"/>
    </x:row>
    <x:row r="49" ht="21" customHeight="1">
      <x:c r="B49" s="1"/>
      <x:c r="C49" s="2"/>
      <x:c r="D49" s="2"/>
      <x:c r="E49" s="2"/>
      <x:c r="F49" s="2"/>
      <x:c r="G49" s="2"/>
      <x:c r="H49" s="2"/>
      <x:c r="I49" s="2"/>
      <x:c r="J49" s="2"/>
      <x:c r="K49" s="2"/>
      <x:c r="L49" s="2"/>
      <x:c r="M49" s="2"/>
      <x:c r="N49" s="2"/>
      <x:c r="O49" s="2"/>
      <x:c r="P49" s="2"/>
      <x:c r="Q49" s="2"/>
      <x:c r="R49" s="2"/>
    </x:row>
    <x:row r="50" ht="21" customHeight="1">
      <x:c r="B50" s="1"/>
      <x:c r="C50" s="2"/>
      <x:c r="D50" s="2"/>
      <x:c r="E50" s="2"/>
      <x:c r="F50" s="2"/>
      <x:c r="G50" s="2"/>
      <x:c r="H50" s="2"/>
      <x:c r="I50" s="2"/>
      <x:c r="J50" s="2"/>
      <x:c r="K50" s="2"/>
      <x:c r="L50" s="2"/>
      <x:c r="M50" s="2"/>
      <x:c r="N50" s="2"/>
      <x:c r="O50" s="2"/>
      <x:c r="P50" s="2"/>
      <x:c r="Q50" s="2"/>
      <x:c r="R50" s="2"/>
    </x:row>
    <x:row r="51" ht="21" customHeight="1">
      <x:c r="B51" s="1"/>
      <x:c r="C51" s="2"/>
      <x:c r="D51" s="2"/>
      <x:c r="E51" s="2"/>
      <x:c r="F51" s="2"/>
      <x:c r="G51" s="2"/>
      <x:c r="H51" s="2"/>
      <x:c r="I51" s="2"/>
      <x:c r="J51" s="2"/>
      <x:c r="K51" s="2"/>
      <x:c r="L51" s="2"/>
      <x:c r="M51" s="2"/>
      <x:c r="N51" s="2"/>
      <x:c r="O51" s="2"/>
      <x:c r="P51" s="2"/>
      <x:c r="Q51" s="2"/>
      <x:c r="R51" s="2"/>
    </x:row>
    <x:row r="52" ht="21" customHeight="1">
      <x:c r="B52" s="1"/>
      <x:c r="C52" s="2"/>
      <x:c r="D52" s="2"/>
      <x:c r="E52" s="2"/>
      <x:c r="F52" s="2"/>
      <x:c r="G52" s="2"/>
      <x:c r="H52" s="2"/>
      <x:c r="I52" s="2"/>
      <x:c r="J52" s="2"/>
      <x:c r="K52" s="2"/>
      <x:c r="L52" s="2"/>
      <x:c r="M52" s="2"/>
      <x:c r="N52" s="2"/>
      <x:c r="O52" s="2"/>
      <x:c r="P52" s="2"/>
      <x:c r="Q52" s="2"/>
      <x:c r="R52" s="2"/>
    </x:row>
    <x:row r="53" ht="21" customHeight="1">
      <x:c r="B53" s="1"/>
      <x:c r="C53" s="2"/>
      <x:c r="D53" s="2"/>
      <x:c r="E53" s="2"/>
      <x:c r="F53" s="2"/>
      <x:c r="G53" s="2"/>
      <x:c r="H53" s="2"/>
      <x:c r="I53" s="2"/>
      <x:c r="J53" s="2"/>
      <x:c r="K53" s="2"/>
      <x:c r="L53" s="2"/>
      <x:c r="M53" s="2"/>
      <x:c r="N53" s="2"/>
      <x:c r="O53" s="2"/>
      <x:c r="P53" s="2"/>
      <x:c r="Q53" s="2"/>
      <x:c r="R53" s="2"/>
    </x:row>
    <x:row r="54" ht="21" customHeight="1">
      <x:c r="B54" s="1"/>
      <x:c r="C54" s="2"/>
      <x:c r="D54" s="2"/>
      <x:c r="E54" s="2"/>
      <x:c r="F54" s="2"/>
      <x:c r="G54" s="2"/>
      <x:c r="H54" s="2"/>
      <x:c r="I54" s="2"/>
      <x:c r="J54" s="2"/>
      <x:c r="K54" s="2"/>
      <x:c r="L54" s="2"/>
      <x:c r="M54" s="2"/>
      <x:c r="N54" s="2"/>
      <x:c r="O54" s="2"/>
      <x:c r="P54" s="2"/>
      <x:c r="Q54" s="2"/>
      <x:c r="R54" s="2"/>
    </x:row>
    <x:row r="55" ht="21" customHeight="1">
      <x:c r="B55" s="1"/>
      <x:c r="C55" s="2"/>
      <x:c r="D55" s="2"/>
      <x:c r="E55" s="2"/>
      <x:c r="F55" s="2"/>
      <x:c r="G55" s="2"/>
      <x:c r="H55" s="2"/>
      <x:c r="I55" s="2"/>
      <x:c r="J55" s="2"/>
      <x:c r="K55" s="2"/>
      <x:c r="L55" s="2"/>
      <x:c r="M55" s="2"/>
      <x:c r="N55" s="2"/>
      <x:c r="O55" s="2"/>
      <x:c r="P55" s="2"/>
      <x:c r="Q55" s="2"/>
      <x:c r="R55" s="2"/>
    </x:row>
    <x:row r="56" ht="21" customHeight="1">
      <x:c r="B56" s="1"/>
      <x:c r="C56" s="2"/>
      <x:c r="D56" s="2"/>
      <x:c r="E56" s="2"/>
      <x:c r="F56" s="2"/>
      <x:c r="G56" s="2"/>
      <x:c r="H56" s="2"/>
      <x:c r="I56" s="2"/>
      <x:c r="J56" s="2"/>
      <x:c r="K56" s="2"/>
      <x:c r="L56" s="2"/>
      <x:c r="M56" s="2"/>
      <x:c r="N56" s="2"/>
      <x:c r="O56" s="2"/>
      <x:c r="P56" s="2"/>
      <x:c r="Q56" s="2"/>
      <x:c r="R56" s="2"/>
    </x:row>
    <x:row r="57" ht="21" customHeight="1">
      <x:c r="B57" s="1"/>
      <x:c r="C57" s="2"/>
      <x:c r="D57" s="2"/>
      <x:c r="E57" s="2"/>
      <x:c r="F57" s="2"/>
      <x:c r="G57" s="2"/>
      <x:c r="H57" s="2"/>
      <x:c r="I57" s="2"/>
      <x:c r="J57" s="2"/>
      <x:c r="K57" s="2"/>
      <x:c r="L57" s="2"/>
      <x:c r="M57" s="2"/>
      <x:c r="N57" s="2"/>
      <x:c r="O57" s="2"/>
      <x:c r="P57" s="2"/>
      <x:c r="Q57" s="2"/>
      <x:c r="R57" s="2"/>
    </x:row>
    <x:row r="58" ht="21" customHeight="1">
      <x:c r="B58" s="1"/>
      <x:c r="C58" s="2"/>
      <x:c r="D58" s="2"/>
      <x:c r="E58" s="2"/>
      <x:c r="F58" s="2"/>
      <x:c r="G58" s="2"/>
      <x:c r="H58" s="2"/>
      <x:c r="I58" s="2"/>
      <x:c r="J58" s="2"/>
      <x:c r="K58" s="2"/>
      <x:c r="L58" s="2"/>
      <x:c r="M58" s="2"/>
      <x:c r="N58" s="2"/>
      <x:c r="O58" s="2"/>
      <x:c r="P58" s="2"/>
      <x:c r="Q58" s="2"/>
      <x:c r="R58"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2" max="2" width="36"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2" ht="21" customHeight="1">
      <x:c r="B2" s="3" t="str">
        <x:v>Demand build</x:v>
      </x:c>
      <x:c r="C2" s="2"/>
      <x:c r="D2" s="2"/>
      <x:c r="E2" s="2"/>
      <x:c r="F2" s="2"/>
      <x:c r="G2" s="2"/>
      <x:c r="H2" s="2"/>
      <x:c r="I2" s="2"/>
      <x:c r="J2" s="2"/>
      <x:c r="K2" s="2"/>
      <x:c r="L2" s="2"/>
      <x:c r="M2" s="2"/>
      <x:c r="N2" s="2"/>
      <x:c r="O2" s="2"/>
      <x:c r="P2" s="2"/>
      <x:c r="Q2" s="2"/>
      <x:c r="R2" s="2"/>
    </x:row>
    <x:row r="3" ht="21" customHeight="1">
      <x:c r="B3" s="4"/>
      <x:c r="C3" s="5"/>
      <x:c r="D3" s="5"/>
      <x:c r="E3" s="5"/>
      <x:c r="F3" s="5"/>
      <x:c r="G3" s="5"/>
      <x:c r="H3" s="5"/>
      <x:c r="I3" s="2"/>
      <x:c r="J3" s="2"/>
      <x:c r="K3" s="2"/>
      <x:c r="L3" s="2"/>
      <x:c r="M3" s="2"/>
      <x:c r="N3" s="2"/>
      <x:c r="O3" s="2"/>
      <x:c r="P3" s="2"/>
      <x:c r="Q3" s="2"/>
      <x:c r="R3" s="2"/>
    </x:row>
    <x:row r="4" ht="21" customHeight="1">
      <x:c r="B4" s="6" t="str">
        <x:v>Domestic wholesales in millions; bottom-up motorcycles, scooters and mopeds.</x:v>
      </x:c>
      <x:c r="C4" s="7"/>
      <x:c r="D4" s="7"/>
      <x:c r="E4" s="7"/>
      <x:c r="F4" s="7"/>
      <x:c r="G4" s="7"/>
      <x:c r="H4" s="7"/>
      <x:c r="I4" s="2"/>
      <x:c r="J4" s="2"/>
      <x:c r="K4" s="2"/>
      <x:c r="L4" s="2"/>
      <x:c r="M4" s="2"/>
      <x:c r="N4" s="2"/>
      <x:c r="O4" s="2"/>
      <x:c r="P4" s="2"/>
      <x:c r="Q4" s="2"/>
      <x:c r="R4" s="2"/>
    </x:row>
    <x:row r="5" ht="21" customHeight="1">
      <x:c r="B5" s="1"/>
      <x:c r="C5" s="2"/>
      <x:c r="D5" s="2"/>
      <x:c r="E5" s="2"/>
      <x:c r="F5" s="2"/>
      <x:c r="G5" s="2"/>
      <x:c r="H5" s="2"/>
      <x:c r="I5" s="2"/>
      <x:c r="J5" s="2"/>
      <x:c r="K5" s="2"/>
      <x:c r="L5" s="2"/>
      <x:c r="M5" s="2"/>
      <x:c r="N5" s="2"/>
      <x:c r="O5" s="2"/>
      <x:c r="P5" s="2"/>
      <x:c r="Q5" s="2"/>
      <x:c r="R5" s="2"/>
    </x:row>
    <x:row r="6" ht="21" customHeight="1">
      <x:c r="B6" s="1"/>
      <x:c r="C6" s="2"/>
      <x:c r="D6" s="2" t="str">
        <x:v>FY27E</x:v>
      </x:c>
      <x:c r="E6" s="2" t="str">
        <x:v>FY28E</x:v>
      </x:c>
      <x:c r="F6" s="2" t="str">
        <x:v>FY29E</x:v>
      </x:c>
      <x:c r="G6" s="2"/>
      <x:c r="H6" s="2"/>
      <x:c r="I6" s="2"/>
      <x:c r="J6" s="2"/>
      <x:c r="K6" s="2"/>
      <x:c r="L6" s="2"/>
      <x:c r="M6" s="2"/>
      <x:c r="N6" s="2"/>
      <x:c r="O6" s="2"/>
      <x:c r="P6" s="2"/>
      <x:c r="Q6" s="2"/>
      <x:c r="R6" s="2"/>
    </x:row>
    <x:row r="7" ht="25" customHeight="1">
      <x:c r="B7" s="10" t="str">
        <x:v>Motorcycles</x:v>
      </x:c>
      <x:c r="C7" s="11"/>
      <x:c r="D7" s="11"/>
      <x:c r="E7" s="11"/>
      <x:c r="F7" s="11"/>
      <x:c r="G7" s="2"/>
      <x:c r="H7" s="2"/>
      <x:c r="I7" s="2"/>
      <x:c r="J7" s="2"/>
      <x:c r="K7" s="2"/>
      <x:c r="L7" s="2"/>
      <x:c r="M7" s="2"/>
      <x:c r="N7" s="2"/>
      <x:c r="O7" s="2"/>
      <x:c r="P7" s="2"/>
      <x:c r="Q7" s="2"/>
      <x:c r="R7" s="2"/>
    </x:row>
    <x:row r="8" ht="21" customHeight="1">
      <x:c r="B8" s="1" t="str">
        <x:v>Prior-year reported sales</x:v>
      </x:c>
      <x:c r="C8" s="2"/>
      <x:c r="D8" s="12" t="n">
        <x:f>Actuals!E8</x:f>
        <x:v>13.064789</x:v>
      </x:c>
      <x:c r="E8" s="12" t="n">
        <x:f>D17</x:f>
        <x:v>12.921250467624487</x:v>
      </x:c>
      <x:c r="F8" s="12" t="n">
        <x:f>E17</x:f>
        <x:v>12.270558795173317</x:v>
      </x:c>
      <x:c r="G8" s="2"/>
      <x:c r="H8" s="2"/>
      <x:c r="I8" s="2"/>
      <x:c r="J8" s="2"/>
      <x:c r="K8" s="2"/>
      <x:c r="L8" s="2"/>
      <x:c r="M8" s="2"/>
      <x:c r="N8" s="2"/>
      <x:c r="O8" s="2"/>
      <x:c r="P8" s="2"/>
      <x:c r="Q8" s="2"/>
      <x:c r="R8" s="2"/>
    </x:row>
    <x:row r="9" ht="21" customHeight="1">
      <x:c r="B9" s="1" t="str">
        <x:v>Replacement demand addition</x:v>
      </x:c>
      <x:c r="C9" s="2"/>
      <x:c r="D9" s="12" t="n">
        <x:f>D8*Drivers!D8*Drivers!D12</x:f>
        <x:v>0.10474452242206907</x:v>
      </x:c>
      <x:c r="E9" s="12" t="n">
        <x:f>E8*Drivers!E8*Drivers!E12</x:f>
        <x:v>-0.2143429343182241</x:v>
      </x:c>
      <x:c r="F9" s="12" t="n">
        <x:f>F8*Drivers!F8*Drivers!F12</x:f>
        <x:v>-0.7052432291455979</x:v>
      </x:c>
      <x:c r="G9" s="2"/>
      <x:c r="H9" s="2"/>
      <x:c r="I9" s="2"/>
      <x:c r="J9" s="2"/>
      <x:c r="K9" s="2"/>
      <x:c r="L9" s="2"/>
      <x:c r="M9" s="2"/>
      <x:c r="N9" s="2"/>
      <x:c r="O9" s="2"/>
      <x:c r="P9" s="2"/>
      <x:c r="Q9" s="2"/>
      <x:c r="R9" s="2"/>
    </x:row>
    <x:row r="10" ht="21" customHeight="1">
      <x:c r="B10" s="1" t="str">
        <x:v>First-time demand addition</x:v>
      </x:c>
      <x:c r="C10" s="2"/>
      <x:c r="D10" s="12" t="n">
        <x:f>D8*(1-Drivers!D8)*Drivers!D16</x:f>
        <x:v>0.0326619725</x:v>
      </x:c>
      <x:c r="E10" s="12" t="n">
        <x:f>E8*(1-Drivers!E8)*Drivers!E16</x:f>
        <x:v>0.03230312616906122</x:v>
      </x:c>
      <x:c r="F10" s="12" t="n">
        <x:f>F8*(1-Drivers!F8)*Drivers!F16</x:f>
        <x:v>0.030676396987933292</x:v>
      </x:c>
      <x:c r="G10" s="2"/>
      <x:c r="H10" s="2"/>
      <x:c r="I10" s="2"/>
      <x:c r="J10" s="2"/>
      <x:c r="K10" s="2"/>
      <x:c r="L10" s="2"/>
      <x:c r="M10" s="2"/>
      <x:c r="N10" s="2"/>
      <x:c r="O10" s="2"/>
      <x:c r="P10" s="2"/>
      <x:c r="Q10" s="2"/>
      <x:c r="R10" s="2"/>
    </x:row>
    <x:row r="11" ht="21" customHeight="1">
      <x:c r="B11" s="1" t="str">
        <x:v>Rural income contribution</x:v>
      </x:c>
      <x:c r="C11" s="2"/>
      <x:c r="D11" s="12" t="n">
        <x:f>D8*Drivers!D20</x:f>
        <x:v>0.04412264172867812</x:v>
      </x:c>
      <x:c r="E11" s="12" t="n">
        <x:f>E8*Drivers!E20</x:f>
        <x:v>0.04363788080079287</x:v>
      </x:c>
      <x:c r="F11" s="12" t="n">
        <x:f>F8*Drivers!F20</x:f>
        <x:v>0.04144035311478146</x:v>
      </x:c>
      <x:c r="G11" s="2"/>
      <x:c r="H11" s="2"/>
      <x:c r="I11" s="2"/>
      <x:c r="J11" s="2"/>
      <x:c r="K11" s="2"/>
      <x:c r="L11" s="2"/>
      <x:c r="M11" s="2"/>
      <x:c r="N11" s="2"/>
      <x:c r="O11" s="2"/>
      <x:c r="P11" s="2"/>
      <x:c r="Q11" s="2"/>
      <x:c r="R11" s="2"/>
    </x:row>
    <x:row r="12" ht="21" customHeight="1">
      <x:c r="B12" s="1" t="str">
        <x:v>Financing contribution</x:v>
      </x:c>
      <x:c r="C12" s="2"/>
      <x:c r="D12" s="12" t="n">
        <x:f>D8*Drivers!D24</x:f>
        <x:v>0</x:v>
      </x:c>
      <x:c r="E12" s="12" t="n">
        <x:f>E8*Drivers!E24</x:f>
        <x:v>-0.04164721897132138</x:v>
      </x:c>
      <x:c r="F12" s="12" t="n">
        <x:f>F8*Drivers!F24</x:f>
        <x:v>0.039268672885988544</x:v>
      </x:c>
      <x:c r="G12" s="2"/>
      <x:c r="H12" s="2"/>
      <x:c r="I12" s="2"/>
      <x:c r="J12" s="2"/>
      <x:c r="K12" s="2"/>
      <x:c r="L12" s="2"/>
      <x:c r="M12" s="2"/>
      <x:c r="N12" s="2"/>
      <x:c r="O12" s="2"/>
      <x:c r="P12" s="2"/>
      <x:c r="Q12" s="2"/>
      <x:c r="R12" s="2"/>
    </x:row>
    <x:row r="13" ht="21" customHeight="1">
      <x:c r="B13" s="1" t="str">
        <x:v>Change in GST affordability</x:v>
      </x:c>
      <x:c r="C13" s="2"/>
      <x:c r="D13" s="12" t="n">
        <x:f>D8*Drivers!D29*Drivers!D30*(Drivers!D28-Actuals!$E$16)</x:f>
        <x:v>0.03527493029999998</x:v>
      </x:c>
      <x:c r="E13" s="12" t="n">
        <x:f>E8*Drivers!E29*Drivers!E30*(Drivers!E28-Drivers!D28)</x:f>
        <x:v>-0.13954950505034447</x:v>
      </x:c>
      <x:c r="F13" s="12" t="n">
        <x:f>F8*Drivers!F29*Drivers!F30*(Drivers!F28-Drivers!E28)</x:f>
        <x:v>-0.03313050874696796</x:v>
      </x:c>
      <x:c r="G13" s="2"/>
      <x:c r="H13" s="2"/>
      <x:c r="I13" s="2"/>
      <x:c r="J13" s="2"/>
      <x:c r="K13" s="2"/>
      <x:c r="L13" s="2"/>
      <x:c r="M13" s="2"/>
      <x:c r="N13" s="2"/>
      <x:c r="O13" s="2"/>
      <x:c r="P13" s="2"/>
      <x:c r="Q13" s="2"/>
      <x:c r="R13" s="2"/>
    </x:row>
    <x:row r="14" ht="21" customHeight="1">
      <x:c r="B14" s="1" t="str">
        <x:v>FY26 demand-debt payback</x:v>
      </x:c>
      <x:c r="C14" s="2"/>
      <x:c r="D14" s="12" t="n">
        <x:f>-Actuals!$E$26*(Actuals!$E$8/Actuals!$E$11)*Drivers!D34</x:f>
        <x:v>-0.09864868607130049</x:v>
      </x:c>
      <x:c r="E14" s="12" t="n">
        <x:f>-Actuals!$E$26*(Actuals!$E$8/Actuals!$E$11)*Drivers!E34</x:f>
        <x:v>-0.06576579071420034</x:v>
      </x:c>
      <x:c r="F14" s="12" t="n">
        <x:f>-Actuals!$E$26*(Actuals!$E$8/Actuals!$E$11)*Drivers!F34</x:f>
        <x:v>0</x:v>
      </x:c>
      <x:c r="G14" s="2"/>
      <x:c r="H14" s="2"/>
      <x:c r="I14" s="2"/>
      <x:c r="J14" s="2"/>
      <x:c r="K14" s="2"/>
      <x:c r="L14" s="2"/>
      <x:c r="M14" s="2"/>
      <x:c r="N14" s="2"/>
      <x:c r="O14" s="2"/>
      <x:c r="P14" s="2"/>
      <x:c r="Q14" s="2"/>
      <x:c r="R14" s="2"/>
    </x:row>
    <x:row r="15" ht="21" customHeight="1">
      <x:c r="B15" s="1" t="str">
        <x:v>Category switching and net new EV demand</x:v>
      </x:c>
      <x:c r="C15" s="2"/>
      <x:c r="D15" s="12" t="n">
        <x:f>-'Driver working'!D43</x:f>
        <x:v>-0.26169391325495966</x:v>
      </x:c>
      <x:c r="E15" s="12" t="n">
        <x:f>-'Driver working'!E43</x:f>
        <x:v>-0.2653272303669321</x:v>
      </x:c>
      <x:c r="F15" s="12" t="n">
        <x:f>-'Driver working'!F43</x:f>
        <x:v>-0.2564801235121195</x:v>
      </x:c>
      <x:c r="G15" s="2"/>
      <x:c r="H15" s="2"/>
      <x:c r="I15" s="2"/>
      <x:c r="J15" s="2"/>
      <x:c r="K15" s="2"/>
      <x:c r="L15" s="2"/>
      <x:c r="M15" s="2"/>
      <x:c r="N15" s="2"/>
      <x:c r="O15" s="2"/>
      <x:c r="P15" s="2"/>
      <x:c r="Q15" s="2"/>
      <x:c r="R15" s="2"/>
    </x:row>
    <x:row r="16" ht="21" customHeight="1">
      <x:c r="B16" s="1" t="str">
        <x:v>Dealer inventory adjustment</x:v>
      </x:c>
      <x:c r="C16" s="2"/>
      <x:c r="D16" s="12" t="n">
        <x:f>Drivers!D39*Actuals!$E$8/Actuals!$E$11</x:f>
        <x:v>0</x:v>
      </x:c>
      <x:c r="E16" s="12" t="n">
        <x:f>Drivers!E39*Actuals!$E$8/Actuals!$E$11</x:f>
        <x:v>0</x:v>
      </x:c>
      <x:c r="F16" s="12" t="n">
        <x:f>Drivers!F39*Actuals!$E$8/Actuals!$E$11</x:f>
        <x:v>0</x:v>
      </x:c>
      <x:c r="G16" s="2"/>
      <x:c r="H16" s="2"/>
      <x:c r="I16" s="2"/>
      <x:c r="J16" s="2"/>
      <x:c r="K16" s="2"/>
      <x:c r="L16" s="2"/>
      <x:c r="M16" s="2"/>
      <x:c r="N16" s="2"/>
      <x:c r="O16" s="2"/>
      <x:c r="P16" s="2"/>
      <x:c r="Q16" s="2"/>
      <x:c r="R16" s="2"/>
    </x:row>
    <x:row r="17" ht="21" customHeight="1">
      <x:c r="B17" s="1" t="str">
        <x:v>Current-year reported sales</x:v>
      </x:c>
      <x:c r="C17" s="2"/>
      <x:c r="D17" s="15" t="n">
        <x:f>SUM(D8:D16)</x:f>
        <x:v>12.921250467624487</x:v>
      </x:c>
      <x:c r="E17" s="15" t="n">
        <x:f>SUM(E8:E16)</x:f>
        <x:v>12.270558795173317</x:v>
      </x:c>
      <x:c r="F17" s="15" t="n">
        <x:f>SUM(F8:F16)</x:f>
        <x:v>11.387090356757335</x:v>
      </x:c>
      <x:c r="G17" s="2"/>
      <x:c r="H17" s="2"/>
      <x:c r="I17" s="2"/>
      <x:c r="J17" s="2"/>
      <x:c r="K17" s="2"/>
      <x:c r="L17" s="2"/>
      <x:c r="M17" s="2"/>
      <x:c r="N17" s="2"/>
      <x:c r="O17" s="2"/>
      <x:c r="P17" s="2"/>
      <x:c r="Q17" s="2"/>
      <x:c r="R17" s="2"/>
    </x:row>
    <x:row r="18" ht="21" customHeight="1">
      <x:c r="B18" s="1" t="str">
        <x:v>Year-on-year growth</x:v>
      </x:c>
      <x:c r="C18" s="2"/>
      <x:c r="D18" s="21" t="n">
        <x:f>D17/D8-1</x:f>
        <x:v>-0.010986670536777265</x:v>
      </x:c>
      <x:c r="E18" s="21" t="n">
        <x:f>E17/E8-1</x:f>
        <x:v>-0.050358258597458905</x:v>
      </x:c>
      <x:c r="F18" s="21" t="n">
        <x:f>F17/F8-1</x:f>
        <x:v>-0.07199903876940783</x:v>
      </x:c>
      <x:c r="G18" s="2"/>
      <x:c r="H18" s="2"/>
      <x:c r="I18" s="2"/>
      <x:c r="J18" s="2"/>
      <x:c r="K18" s="2"/>
      <x:c r="L18" s="2"/>
      <x:c r="M18" s="2"/>
      <x:c r="N18" s="2"/>
      <x:c r="O18" s="2"/>
      <x:c r="P18" s="2"/>
      <x:c r="Q18" s="2"/>
      <x:c r="R18" s="2"/>
    </x:row>
    <x:row r="19" ht="21" customHeight="1">
      <x:c r="B19" s="1"/>
      <x:c r="C19" s="2"/>
      <x:c r="D19" s="2"/>
      <x:c r="E19" s="2"/>
      <x:c r="F19" s="2"/>
      <x:c r="G19" s="2"/>
      <x:c r="H19" s="2"/>
      <x:c r="I19" s="2"/>
      <x:c r="J19" s="2"/>
      <x:c r="K19" s="2"/>
      <x:c r="L19" s="2"/>
      <x:c r="M19" s="2"/>
      <x:c r="N19" s="2"/>
      <x:c r="O19" s="2"/>
      <x:c r="P19" s="2"/>
      <x:c r="Q19" s="2"/>
      <x:c r="R19" s="2"/>
    </x:row>
    <x:row r="20" ht="21" customHeight="1">
      <x:c r="B20" s="1"/>
      <x:c r="C20" s="2"/>
      <x:c r="D20" s="2"/>
      <x:c r="E20" s="2"/>
      <x:c r="F20" s="2"/>
      <x:c r="G20" s="2"/>
      <x:c r="H20" s="2"/>
      <x:c r="I20" s="2"/>
      <x:c r="J20" s="2"/>
      <x:c r="K20" s="2"/>
      <x:c r="L20" s="2"/>
      <x:c r="M20" s="2"/>
      <x:c r="N20" s="2"/>
      <x:c r="O20" s="2"/>
      <x:c r="P20" s="2"/>
      <x:c r="Q20" s="2"/>
      <x:c r="R20" s="2"/>
    </x:row>
    <x:row r="21" ht="21" customHeight="1">
      <x:c r="B21" s="1"/>
      <x:c r="C21" s="2"/>
      <x:c r="D21" s="2"/>
      <x:c r="E21" s="2"/>
      <x:c r="F21" s="2"/>
      <x:c r="G21" s="2"/>
      <x:c r="H21" s="2"/>
      <x:c r="I21" s="2"/>
      <x:c r="J21" s="2"/>
      <x:c r="K21" s="2"/>
      <x:c r="L21" s="2"/>
      <x:c r="M21" s="2"/>
      <x:c r="N21" s="2"/>
      <x:c r="O21" s="2"/>
      <x:c r="P21" s="2"/>
      <x:c r="Q21" s="2"/>
      <x:c r="R21" s="2"/>
    </x:row>
    <x:row r="22" ht="21" customHeight="1">
      <x:c r="B22" s="1"/>
      <x:c r="C22" s="2"/>
      <x:c r="D22" s="2"/>
      <x:c r="E22" s="2"/>
      <x:c r="F22" s="2"/>
      <x:c r="G22" s="2"/>
      <x:c r="H22" s="2"/>
      <x:c r="I22" s="2"/>
      <x:c r="J22" s="2"/>
      <x:c r="K22" s="2"/>
      <x:c r="L22" s="2"/>
      <x:c r="M22" s="2"/>
      <x:c r="N22" s="2"/>
      <x:c r="O22" s="2"/>
      <x:c r="P22" s="2"/>
      <x:c r="Q22" s="2"/>
      <x:c r="R22" s="2"/>
    </x:row>
    <x:row r="23" ht="25" customHeight="1">
      <x:c r="B23" s="10" t="str">
        <x:v>Scooters</x:v>
      </x:c>
      <x:c r="C23" s="11"/>
      <x:c r="D23" s="11"/>
      <x:c r="E23" s="11"/>
      <x:c r="F23" s="11"/>
      <x:c r="G23" s="2"/>
      <x:c r="H23" s="2"/>
      <x:c r="I23" s="2"/>
      <x:c r="J23" s="2"/>
      <x:c r="K23" s="2"/>
      <x:c r="L23" s="2"/>
      <x:c r="M23" s="2"/>
      <x:c r="N23" s="2"/>
      <x:c r="O23" s="2"/>
      <x:c r="P23" s="2"/>
      <x:c r="Q23" s="2"/>
      <x:c r="R23" s="2"/>
    </x:row>
    <x:row r="24" ht="21" customHeight="1">
      <x:c r="B24" s="1" t="str">
        <x:v>Prior-year reported sales</x:v>
      </x:c>
      <x:c r="C24" s="2"/>
      <x:c r="D24" s="12" t="n">
        <x:f>Actuals!E9</x:f>
        <x:v>8.117945</x:v>
      </x:c>
      <x:c r="E24" s="12" t="n">
        <x:f>D33</x:f>
        <x:v>8.555581277956541</x:v>
      </x:c>
      <x:c r="F24" s="12" t="n">
        <x:f>E33</x:f>
        <x:v>8.490146584134576</x:v>
      </x:c>
      <x:c r="G24" s="2"/>
      <x:c r="H24" s="2"/>
      <x:c r="I24" s="2"/>
      <x:c r="J24" s="2"/>
      <x:c r="K24" s="2"/>
      <x:c r="L24" s="2"/>
      <x:c r="M24" s="2"/>
      <x:c r="N24" s="2"/>
      <x:c r="O24" s="2"/>
      <x:c r="P24" s="2"/>
      <x:c r="Q24" s="2"/>
      <x:c r="R24" s="2"/>
    </x:row>
    <x:row r="25" ht="21" customHeight="1">
      <x:c r="B25" s="1" t="str">
        <x:v>Replacement demand addition</x:v>
      </x:c>
      <x:c r="C25" s="2"/>
      <x:c r="D25" s="12" t="n">
        <x:f>D24*Drivers!D9*Drivers!D13</x:f>
        <x:v>0.11718565562570661</x:v>
      </x:c>
      <x:c r="E25" s="12" t="n">
        <x:f>E24*Drivers!E9*Drivers!E13</x:f>
        <x:v>-0.2538077234583243</x:v>
      </x:c>
      <x:c r="F25" s="12" t="n">
        <x:f>F24*Drivers!F9*Drivers!F13</x:f>
        <x:v>-0.6130604942182891</x:v>
      </x:c>
      <x:c r="G25" s="2"/>
      <x:c r="H25" s="2"/>
      <x:c r="I25" s="2"/>
      <x:c r="J25" s="2"/>
      <x:c r="K25" s="2"/>
      <x:c r="L25" s="2"/>
      <x:c r="M25" s="2"/>
      <x:c r="N25" s="2"/>
      <x:c r="O25" s="2"/>
      <x:c r="P25" s="2"/>
      <x:c r="Q25" s="2"/>
      <x:c r="R25" s="2"/>
    </x:row>
    <x:row r="26" ht="21" customHeight="1">
      <x:c r="B26" s="1" t="str">
        <x:v>First-time demand addition</x:v>
      </x:c>
      <x:c r="C26" s="2"/>
      <x:c r="D26" s="12" t="n">
        <x:f>D24*(1-Drivers!D9)*Drivers!D17</x:f>
        <x:v>0.0284128075</x:v>
      </x:c>
      <x:c r="E26" s="12" t="n">
        <x:f>E24*(1-Drivers!E9)*Drivers!E17</x:f>
        <x:v>0.029944534472847895</x:v>
      </x:c>
      <x:c r="F26" s="12" t="n">
        <x:f>F24*(1-Drivers!F9)*Drivers!F17</x:f>
        <x:v>0.029715513044471016</x:v>
      </x:c>
      <x:c r="G26" s="2"/>
      <x:c r="H26" s="2"/>
      <x:c r="I26" s="2"/>
      <x:c r="J26" s="2"/>
      <x:c r="K26" s="2"/>
      <x:c r="L26" s="2"/>
      <x:c r="M26" s="2"/>
      <x:c r="N26" s="2"/>
      <x:c r="O26" s="2"/>
      <x:c r="P26" s="2"/>
      <x:c r="Q26" s="2"/>
      <x:c r="R26" s="2"/>
    </x:row>
    <x:row r="27" ht="21" customHeight="1">
      <x:c r="B27" s="1" t="str">
        <x:v>Rural income contribution</x:v>
      </x:c>
      <x:c r="C27" s="2"/>
      <x:c r="D27" s="12" t="n">
        <x:f>D24*Drivers!D21</x:f>
        <x:v>0.013708035346308078</x:v>
      </x:c>
      <x:c r="E27" s="12" t="n">
        <x:f>E24*Drivers!E21</x:f>
        <x:v>0.014447031923281065</x:v>
      </x:c>
      <x:c r="F27" s="12" t="n">
        <x:f>F24*Drivers!F21</x:f>
        <x:v>0.014336538307496979</x:v>
      </x:c>
      <x:c r="G27" s="2"/>
      <x:c r="H27" s="2"/>
      <x:c r="I27" s="2"/>
      <x:c r="J27" s="2"/>
      <x:c r="K27" s="2"/>
      <x:c r="L27" s="2"/>
      <x:c r="M27" s="2"/>
      <x:c r="N27" s="2"/>
      <x:c r="O27" s="2"/>
      <x:c r="P27" s="2"/>
      <x:c r="Q27" s="2"/>
      <x:c r="R27" s="2"/>
    </x:row>
    <x:row r="28" ht="21" customHeight="1">
      <x:c r="B28" s="1" t="str">
        <x:v>Financing contribution</x:v>
      </x:c>
      <x:c r="C28" s="2"/>
      <x:c r="D28" s="12" t="n">
        <x:f>D24*Drivers!D25</x:f>
        <x:v>0</x:v>
      </x:c>
      <x:c r="E28" s="12" t="n">
        <x:f>E24*Drivers!E25</x:f>
        <x:v>-0.021447985795178273</x:v>
      </x:c>
      <x:c r="F28" s="12" t="n">
        <x:f>F24*Drivers!F25</x:f>
        <x:v>0.021132583932737516</x:v>
      </x:c>
      <x:c r="G28" s="2"/>
      <x:c r="H28" s="2"/>
      <x:c r="I28" s="2"/>
      <x:c r="J28" s="2"/>
      <x:c r="K28" s="2"/>
      <x:c r="L28" s="2"/>
      <x:c r="M28" s="2"/>
      <x:c r="N28" s="2"/>
      <x:c r="O28" s="2"/>
      <x:c r="P28" s="2"/>
      <x:c r="Q28" s="2"/>
      <x:c r="R28" s="2"/>
    </x:row>
    <x:row r="29" ht="21" customHeight="1">
      <x:c r="B29" s="1" t="str">
        <x:v>Change in GST affordability</x:v>
      </x:c>
      <x:c r="C29" s="2"/>
      <x:c r="D29" s="12" t="n">
        <x:f>D24*Drivers!D29*Drivers!D31*(Drivers!D28-Actuals!$E$16)</x:f>
        <x:v>0.029224601999999992</x:v>
      </x:c>
      <x:c r="E29" s="12" t="n">
        <x:f>E24*Drivers!E29*Drivers!E31*(Drivers!E28-Drivers!D28)</x:f>
        <x:v>-0.1232003704025742</x:v>
      </x:c>
      <x:c r="F29" s="12" t="n">
        <x:f>F24*Drivers!F29*Drivers!F31*(Drivers!F28-Drivers!E28)</x:f>
        <x:v>-0.030564527702884484</x:v>
      </x:c>
      <x:c r="G29" s="2"/>
      <x:c r="H29" s="2"/>
      <x:c r="I29" s="2"/>
      <x:c r="J29" s="2"/>
      <x:c r="K29" s="2"/>
      <x:c r="L29" s="2"/>
      <x:c r="M29" s="2"/>
      <x:c r="N29" s="2"/>
      <x:c r="O29" s="2"/>
      <x:c r="P29" s="2"/>
      <x:c r="Q29" s="2"/>
      <x:c r="R29" s="2"/>
    </x:row>
    <x:row r="30" ht="21" customHeight="1">
      <x:c r="B30" s="1" t="str">
        <x:v>FY26 demand-debt payback</x:v>
      </x:c>
      <x:c r="C30" s="2"/>
      <x:c r="D30" s="12" t="n">
        <x:f>-Actuals!$E$26*(Actuals!$E$9/Actuals!$E$11)*Drivers!D34</x:f>
        <x:v>-0.06129640577043255</x:v>
      </x:c>
      <x:c r="E30" s="12" t="n">
        <x:f>-Actuals!$E$26*(Actuals!$E$9/Actuals!$E$11)*Drivers!E34</x:f>
        <x:v>-0.04086427051362171</x:v>
      </x:c>
      <x:c r="F30" s="12" t="n">
        <x:f>-Actuals!$E$26*(Actuals!$E$9/Actuals!$E$11)*Drivers!F34</x:f>
        <x:v>0</x:v>
      </x:c>
      <x:c r="G30" s="2"/>
      <x:c r="H30" s="2"/>
      <x:c r="I30" s="2"/>
      <x:c r="J30" s="2"/>
      <x:c r="K30" s="2"/>
      <x:c r="L30" s="2"/>
      <x:c r="M30" s="2"/>
      <x:c r="N30" s="2"/>
      <x:c r="O30" s="2"/>
      <x:c r="P30" s="2"/>
      <x:c r="Q30" s="2"/>
      <x:c r="R30" s="2"/>
    </x:row>
    <x:row r="31" ht="21" customHeight="1">
      <x:c r="B31" s="1" t="str">
        <x:v>Category switching and net new EV demand</x:v>
      </x:c>
      <x:c r="C31" s="2"/>
      <x:c r="D31" s="12" t="n">
        <x:f>D24*(Drivers!D36-Actuals!$E$20)*Drivers!D37+'Driver working'!D43</x:f>
        <x:v>0.31040158325495965</x:v>
      </x:c>
      <x:c r="E31" s="12" t="n">
        <x:f>E24*(Drivers!E36-Drivers!D36)*Drivers!E37+'Driver working'!E43</x:f>
        <x:v>0.32949408995160623</x:v>
      </x:c>
      <x:c r="F31" s="12" t="n">
        <x:f>F24*(Drivers!F36-Drivers!E36)*Drivers!F37+'Driver working'!F43</x:f>
        <x:v>0.32015622289312884</x:v>
      </x:c>
      <x:c r="G31" s="2"/>
      <x:c r="H31" s="2"/>
      <x:c r="I31" s="2"/>
      <x:c r="J31" s="2"/>
      <x:c r="K31" s="2"/>
      <x:c r="L31" s="2"/>
      <x:c r="M31" s="2"/>
      <x:c r="N31" s="2"/>
      <x:c r="O31" s="2"/>
      <x:c r="P31" s="2"/>
      <x:c r="Q31" s="2"/>
      <x:c r="R31" s="2"/>
    </x:row>
    <x:row r="32" ht="21" customHeight="1">
      <x:c r="B32" s="1" t="str">
        <x:v>Dealer inventory adjustment</x:v>
      </x:c>
      <x:c r="C32" s="2"/>
      <x:c r="D32" s="12" t="n">
        <x:f>Drivers!D39*Actuals!$E$9/Actuals!$E$11</x:f>
        <x:v>0</x:v>
      </x:c>
      <x:c r="E32" s="12" t="n">
        <x:f>Drivers!E39*Actuals!$E$9/Actuals!$E$11</x:f>
        <x:v>0</x:v>
      </x:c>
      <x:c r="F32" s="12" t="n">
        <x:f>Drivers!F39*Actuals!$E$9/Actuals!$E$11</x:f>
        <x:v>0</x:v>
      </x:c>
      <x:c r="G32" s="2"/>
      <x:c r="H32" s="2"/>
      <x:c r="I32" s="2"/>
      <x:c r="J32" s="2"/>
      <x:c r="K32" s="2"/>
      <x:c r="L32" s="2"/>
      <x:c r="M32" s="2"/>
      <x:c r="N32" s="2"/>
      <x:c r="O32" s="2"/>
      <x:c r="P32" s="2"/>
      <x:c r="Q32" s="2"/>
      <x:c r="R32" s="2"/>
    </x:row>
    <x:row r="33" ht="21" customHeight="1">
      <x:c r="B33" s="1" t="str">
        <x:v>Current-year reported sales</x:v>
      </x:c>
      <x:c r="C33" s="2"/>
      <x:c r="D33" s="15" t="n">
        <x:f>SUM(D24:D32)</x:f>
        <x:v>8.555581277956541</x:v>
      </x:c>
      <x:c r="E33" s="15" t="n">
        <x:f>SUM(E24:E32)</x:f>
        <x:v>8.490146584134576</x:v>
      </x:c>
      <x:c r="F33" s="15" t="n">
        <x:f>SUM(F24:F32)</x:f>
        <x:v>8.231862420391238</x:v>
      </x:c>
      <x:c r="G33" s="2"/>
      <x:c r="H33" s="2"/>
      <x:c r="I33" s="2"/>
      <x:c r="J33" s="2"/>
      <x:c r="K33" s="2"/>
      <x:c r="L33" s="2"/>
      <x:c r="M33" s="2"/>
      <x:c r="N33" s="2"/>
      <x:c r="O33" s="2"/>
      <x:c r="P33" s="2"/>
      <x:c r="Q33" s="2"/>
      <x:c r="R33" s="2"/>
    </x:row>
    <x:row r="34" ht="21" customHeight="1">
      <x:c r="B34" s="1" t="str">
        <x:v>Year-on-year growth</x:v>
      </x:c>
      <x:c r="C34" s="2"/>
      <x:c r="D34" s="21" t="n">
        <x:f>D33/D24-1</x:f>
        <x:v>0.053909736756844406</x:v>
      </x:c>
      <x:c r="E34" s="21" t="n">
        <x:f>E33/E24-1</x:f>
        <x:v>-0.007648187971816434</x:v>
      </x:c>
      <x:c r="F34" s="21" t="n">
        <x:f>F33/F24-1</x:f>
        <x:v>-0.03042163774015294</x:v>
      </x:c>
      <x:c r="G34" s="2"/>
      <x:c r="H34" s="2"/>
      <x:c r="I34" s="2"/>
      <x:c r="J34" s="2"/>
      <x:c r="K34" s="2"/>
      <x:c r="L34" s="2"/>
      <x:c r="M34" s="2"/>
      <x:c r="N34" s="2"/>
      <x:c r="O34" s="2"/>
      <x:c r="P34" s="2"/>
      <x:c r="Q34" s="2"/>
      <x:c r="R34" s="2"/>
    </x:row>
    <x:row r="35" ht="21" customHeight="1">
      <x:c r="B35" s="1"/>
      <x:c r="C35" s="2"/>
      <x:c r="D35" s="2"/>
      <x:c r="E35" s="2"/>
      <x:c r="F35" s="2"/>
      <x:c r="G35" s="2"/>
      <x:c r="H35" s="2"/>
      <x:c r="I35" s="2"/>
      <x:c r="J35" s="2"/>
      <x:c r="K35" s="2"/>
      <x:c r="L35" s="2"/>
      <x:c r="M35" s="2"/>
      <x:c r="N35" s="2"/>
      <x:c r="O35" s="2"/>
      <x:c r="P35" s="2"/>
      <x:c r="Q35" s="2"/>
      <x:c r="R35" s="2"/>
    </x:row>
    <x:row r="36" ht="21" customHeight="1">
      <x:c r="B36" s="1"/>
      <x:c r="C36" s="2"/>
      <x:c r="D36" s="2"/>
      <x:c r="E36" s="2"/>
      <x:c r="F36" s="2"/>
      <x:c r="G36" s="2"/>
      <x:c r="H36" s="2"/>
      <x:c r="I36" s="2"/>
      <x:c r="J36" s="2"/>
      <x:c r="K36" s="2"/>
      <x:c r="L36" s="2"/>
      <x:c r="M36" s="2"/>
      <x:c r="N36" s="2"/>
      <x:c r="O36" s="2"/>
      <x:c r="P36" s="2"/>
      <x:c r="Q36" s="2"/>
      <x:c r="R36" s="2"/>
    </x:row>
    <x:row r="37" ht="21" customHeight="1">
      <x:c r="B37" s="1"/>
      <x:c r="C37" s="2"/>
      <x:c r="D37" s="2"/>
      <x:c r="E37" s="2"/>
      <x:c r="F37" s="2"/>
      <x:c r="G37" s="2"/>
      <x:c r="H37" s="2"/>
      <x:c r="I37" s="2"/>
      <x:c r="J37" s="2"/>
      <x:c r="K37" s="2"/>
      <x:c r="L37" s="2"/>
      <x:c r="M37" s="2"/>
      <x:c r="N37" s="2"/>
      <x:c r="O37" s="2"/>
      <x:c r="P37" s="2"/>
      <x:c r="Q37" s="2"/>
      <x:c r="R37" s="2"/>
    </x:row>
    <x:row r="38" ht="21" customHeight="1">
      <x:c r="B38" s="1"/>
      <x:c r="C38" s="2"/>
      <x:c r="D38" s="2"/>
      <x:c r="E38" s="2"/>
      <x:c r="F38" s="2"/>
      <x:c r="G38" s="2"/>
      <x:c r="H38" s="2"/>
      <x:c r="I38" s="2"/>
      <x:c r="J38" s="2"/>
      <x:c r="K38" s="2"/>
      <x:c r="L38" s="2"/>
      <x:c r="M38" s="2"/>
      <x:c r="N38" s="2"/>
      <x:c r="O38" s="2"/>
      <x:c r="P38" s="2"/>
      <x:c r="Q38" s="2"/>
      <x:c r="R38" s="2"/>
    </x:row>
    <x:row r="39" ht="25" customHeight="1">
      <x:c r="B39" s="10" t="str">
        <x:v>Mopeds</x:v>
      </x:c>
      <x:c r="C39" s="11"/>
      <x:c r="D39" s="11"/>
      <x:c r="E39" s="11"/>
      <x:c r="F39" s="11"/>
      <x:c r="G39" s="2"/>
      <x:c r="H39" s="2"/>
      <x:c r="I39" s="2"/>
      <x:c r="J39" s="2"/>
      <x:c r="K39" s="2"/>
      <x:c r="L39" s="2"/>
      <x:c r="M39" s="2"/>
      <x:c r="N39" s="2"/>
      <x:c r="O39" s="2"/>
      <x:c r="P39" s="2"/>
      <x:c r="Q39" s="2"/>
      <x:c r="R39" s="2"/>
    </x:row>
    <x:row r="40" ht="21" customHeight="1">
      <x:c r="B40" s="1" t="str">
        <x:v>Prior-year reported sales</x:v>
      </x:c>
      <x:c r="C40" s="2"/>
      <x:c r="D40" s="12" t="n">
        <x:f>Actuals!E10</x:f>
        <x:v>0.52324</x:v>
      </x:c>
      <x:c r="E40" s="12" t="n">
        <x:f>D49</x:f>
        <x:v>0.5116647064312766</x:v>
      </x:c>
      <x:c r="F40" s="12" t="n">
        <x:f>E49</x:f>
        <x:v>0.4705588596524123</x:v>
      </x:c>
      <x:c r="G40" s="2"/>
      <x:c r="H40" s="2"/>
      <x:c r="I40" s="2"/>
      <x:c r="J40" s="2"/>
      <x:c r="K40" s="2"/>
      <x:c r="L40" s="2"/>
      <x:c r="M40" s="2"/>
      <x:c r="N40" s="2"/>
      <x:c r="O40" s="2"/>
      <x:c r="P40" s="2"/>
      <x:c r="Q40" s="2"/>
      <x:c r="R40" s="2"/>
    </x:row>
    <x:row r="41" ht="21" customHeight="1">
      <x:c r="B41" s="1" t="str">
        <x:v>Replacement demand addition</x:v>
      </x:c>
      <x:c r="C41" s="2"/>
      <x:c r="D41" s="12" t="n">
        <x:f>D40*Drivers!D10*Drivers!D14</x:f>
        <x:v>-0.011530482455434242</x:v>
      </x:c>
      <x:c r="E41" s="12" t="n">
        <x:f>E40*Drivers!E10*Drivers!E14</x:f>
        <x:v>-0.03637800083943719</x:v>
      </x:c>
      <x:c r="F41" s="12" t="n">
        <x:f>F40*Drivers!F10*Drivers!F14</x:f>
        <x:v>-0.051619128260652875</x:v>
      </x:c>
      <x:c r="G41" s="2"/>
      <x:c r="H41" s="2"/>
      <x:c r="I41" s="2"/>
      <x:c r="J41" s="2"/>
      <x:c r="K41" s="2"/>
      <x:c r="L41" s="2"/>
      <x:c r="M41" s="2"/>
      <x:c r="N41" s="2"/>
      <x:c r="O41" s="2"/>
      <x:c r="P41" s="2"/>
      <x:c r="Q41" s="2"/>
      <x:c r="R41" s="2"/>
    </x:row>
    <x:row r="42" ht="21" customHeight="1">
      <x:c r="B42" s="1" t="str">
        <x:v>First-time demand addition</x:v>
      </x:c>
      <x:c r="C42" s="2"/>
      <x:c r="D42" s="12" t="n">
        <x:f>D40*(1-Drivers!D10)*Drivers!D18</x:f>
        <x:v>0.0007848600000000002</x:v>
      </x:c>
      <x:c r="E42" s="12" t="n">
        <x:f>E40*(1-Drivers!E10)*Drivers!E18</x:f>
        <x:v>0.0007674970596469149</x:v>
      </x:c>
      <x:c r="F42" s="12" t="n">
        <x:f>F40*(1-Drivers!F10)*Drivers!F18</x:f>
        <x:v>0.0007058382894786186</x:v>
      </x:c>
      <x:c r="G42" s="2"/>
      <x:c r="H42" s="2"/>
      <x:c r="I42" s="2"/>
      <x:c r="J42" s="2"/>
      <x:c r="K42" s="2"/>
      <x:c r="L42" s="2"/>
      <x:c r="M42" s="2"/>
      <x:c r="N42" s="2"/>
      <x:c r="O42" s="2"/>
      <x:c r="P42" s="2"/>
      <x:c r="Q42" s="2"/>
      <x:c r="R42" s="2"/>
    </x:row>
    <x:row r="43" ht="21" customHeight="1">
      <x:c r="B43" s="1" t="str">
        <x:v>Rural income contribution</x:v>
      </x:c>
      <x:c r="C43" s="2"/>
      <x:c r="D43" s="12" t="n">
        <x:f>D40*Drivers!D22</x:f>
        <x:v>0.00206161152451824</x:v>
      </x:c>
      <x:c r="E43" s="12" t="n">
        <x:f>E40*Drivers!E22</x:f>
        <x:v>0.002016003851899629</x:v>
      </x:c>
      <x:c r="F43" s="12" t="n">
        <x:f>F40*Drivers!F22</x:f>
        <x:v>0.0018540432077508871</x:v>
      </x:c>
      <x:c r="G43" s="2"/>
      <x:c r="H43" s="2"/>
      <x:c r="I43" s="2"/>
      <x:c r="J43" s="2"/>
      <x:c r="K43" s="2"/>
      <x:c r="L43" s="2"/>
      <x:c r="M43" s="2"/>
      <x:c r="N43" s="2"/>
      <x:c r="O43" s="2"/>
      <x:c r="P43" s="2"/>
      <x:c r="Q43" s="2"/>
      <x:c r="R43" s="2"/>
    </x:row>
    <x:row r="44" ht="21" customHeight="1">
      <x:c r="B44" s="1" t="str">
        <x:v>Financing contribution</x:v>
      </x:c>
      <x:c r="C44" s="2"/>
      <x:c r="D44" s="12" t="n">
        <x:f>D40*Drivers!D26</x:f>
        <x:v>0</x:v>
      </x:c>
      <x:c r="E44" s="12" t="n">
        <x:f>E40*Drivers!E26</x:f>
        <x:v>-0.0007329669703419755</x:v>
      </x:c>
      <x:c r="F44" s="12" t="n">
        <x:f>F40*Drivers!F26</x:f>
        <x:v>0.0006692884340927169</x:v>
      </x:c>
      <x:c r="G44" s="2"/>
      <x:c r="H44" s="2"/>
      <x:c r="I44" s="2"/>
      <x:c r="J44" s="2"/>
      <x:c r="K44" s="2"/>
      <x:c r="L44" s="2"/>
      <x:c r="M44" s="2"/>
      <x:c r="N44" s="2"/>
      <x:c r="O44" s="2"/>
      <x:c r="P44" s="2"/>
      <x:c r="Q44" s="2"/>
      <x:c r="R44" s="2"/>
    </x:row>
    <x:row r="45" ht="21" customHeight="1">
      <x:c r="B45" s="1" t="str">
        <x:v>Change in GST affordability</x:v>
      </x:c>
      <x:c r="C45" s="2"/>
      <x:c r="D45" s="12" t="n">
        <x:f>D40*Drivers!D29*Drivers!D32*(Drivers!D28-Actuals!$E$16)</x:f>
        <x:v>0.0010595609999999997</x:v>
      </x:c>
      <x:c r="E45" s="12" t="n">
        <x:f>E40*Drivers!E29*Drivers!E32*(Drivers!E28-Drivers!D28)</x:f>
        <x:v>-0.004144484122093341</x:v>
      </x:c>
      <x:c r="F45" s="12" t="n">
        <x:f>F40*Drivers!F29*Drivers!F32*(Drivers!F28-Drivers!E28)</x:f>
        <x:v>-0.0009528816907961351</x:v>
      </x:c>
      <x:c r="G45" s="2"/>
      <x:c r="H45" s="2"/>
      <x:c r="I45" s="2"/>
      <x:c r="J45" s="2"/>
      <x:c r="K45" s="2"/>
      <x:c r="L45" s="2"/>
      <x:c r="M45" s="2"/>
      <x:c r="N45" s="2"/>
      <x:c r="O45" s="2"/>
      <x:c r="P45" s="2"/>
      <x:c r="Q45" s="2"/>
      <x:c r="R45" s="2"/>
    </x:row>
    <x:row r="46" ht="21" customHeight="1">
      <x:c r="B46" s="1" t="str">
        <x:v>FY26 demand-debt payback</x:v>
      </x:c>
      <x:c r="C46" s="2"/>
      <x:c r="D46" s="12" t="n">
        <x:f>-Actuals!$E$26*(Actuals!$E$10/Actuals!$E$11)*Drivers!D34</x:f>
        <x:v>-0.003950843637807491</x:v>
      </x:c>
      <x:c r="E46" s="12" t="n">
        <x:f>-Actuals!$E$26*(Actuals!$E$10/Actuals!$E$11)*Drivers!E34</x:f>
        <x:v>-0.0026338957585383274</x:v>
      </x:c>
      <x:c r="F46" s="12" t="n">
        <x:f>-Actuals!$E$26*(Actuals!$E$10/Actuals!$E$11)*Drivers!F34</x:f>
        <x:v>0</x:v>
      </x:c>
      <x:c r="G46" s="2"/>
      <x:c r="H46" s="2"/>
      <x:c r="I46" s="2"/>
      <x:c r="J46" s="2"/>
      <x:c r="K46" s="2"/>
      <x:c r="L46" s="2"/>
      <x:c r="M46" s="2"/>
      <x:c r="N46" s="2"/>
      <x:c r="O46" s="2"/>
      <x:c r="P46" s="2"/>
      <x:c r="Q46" s="2"/>
      <x:c r="R46" s="2"/>
    </x:row>
    <x:row r="47" ht="21" customHeight="1">
      <x:c r="B47" s="1" t="str">
        <x:v>Category switching and net new EV demand</x:v>
      </x:c>
      <x:c r="C47" s="2"/>
      <x:c r="D47" s="12" t="n">
        <x:f>0</x:f>
        <x:v>0</x:v>
      </x:c>
      <x:c r="E47" s="12" t="n">
        <x:f>0</x:f>
        <x:v>0</x:v>
      </x:c>
      <x:c r="F47" s="12" t="n">
        <x:f>0</x:f>
        <x:v>0</x:v>
      </x:c>
      <x:c r="G47" s="2"/>
      <x:c r="H47" s="2"/>
      <x:c r="I47" s="2"/>
      <x:c r="J47" s="2"/>
      <x:c r="K47" s="2"/>
      <x:c r="L47" s="2"/>
      <x:c r="M47" s="2"/>
      <x:c r="N47" s="2"/>
      <x:c r="O47" s="2"/>
      <x:c r="P47" s="2"/>
      <x:c r="Q47" s="2"/>
      <x:c r="R47" s="2"/>
    </x:row>
    <x:row r="48" ht="21" customHeight="1">
      <x:c r="B48" s="1" t="str">
        <x:v>Dealer inventory adjustment</x:v>
      </x:c>
      <x:c r="C48" s="2"/>
      <x:c r="D48" s="12" t="n">
        <x:f>Drivers!D39*Actuals!$E$10/Actuals!$E$11</x:f>
        <x:v>0</x:v>
      </x:c>
      <x:c r="E48" s="12" t="n">
        <x:f>Drivers!E39*Actuals!$E$10/Actuals!$E$11</x:f>
        <x:v>0</x:v>
      </x:c>
      <x:c r="F48" s="12" t="n">
        <x:f>Drivers!F39*Actuals!$E$10/Actuals!$E$11</x:f>
        <x:v>0</x:v>
      </x:c>
      <x:c r="G48" s="2"/>
      <x:c r="H48" s="2"/>
      <x:c r="I48" s="2"/>
      <x:c r="J48" s="2"/>
      <x:c r="K48" s="2"/>
      <x:c r="L48" s="2"/>
      <x:c r="M48" s="2"/>
      <x:c r="N48" s="2"/>
      <x:c r="O48" s="2"/>
      <x:c r="P48" s="2"/>
      <x:c r="Q48" s="2"/>
      <x:c r="R48" s="2"/>
    </x:row>
    <x:row r="49" ht="21" customHeight="1">
      <x:c r="B49" s="1" t="str">
        <x:v>Current-year reported sales</x:v>
      </x:c>
      <x:c r="C49" s="2"/>
      <x:c r="D49" s="15" t="n">
        <x:f>SUM(D40:D48)</x:f>
        <x:v>0.5116647064312766</x:v>
      </x:c>
      <x:c r="E49" s="15" t="n">
        <x:f>SUM(E40:E48)</x:f>
        <x:v>0.4705588596524123</x:v>
      </x:c>
      <x:c r="F49" s="15" t="n">
        <x:f>SUM(F40:F48)</x:f>
        <x:v>0.4212160196322855</x:v>
      </x:c>
      <x:c r="G49" s="2"/>
      <x:c r="H49" s="2"/>
      <x:c r="I49" s="2"/>
      <x:c r="J49" s="2"/>
      <x:c r="K49" s="2"/>
      <x:c r="L49" s="2"/>
      <x:c r="M49" s="2"/>
      <x:c r="N49" s="2"/>
      <x:c r="O49" s="2"/>
      <x:c r="P49" s="2"/>
      <x:c r="Q49" s="2"/>
      <x:c r="R49" s="2"/>
    </x:row>
    <x:row r="50" ht="21" customHeight="1">
      <x:c r="B50" s="1" t="str">
        <x:v>Year-on-year growth</x:v>
      </x:c>
      <x:c r="C50" s="2"/>
      <x:c r="D50" s="21" t="n">
        <x:f>D49/D40-1</x:f>
        <x:v>-0.022122340739858304</x:v>
      </x:c>
      <x:c r="E50" s="21" t="n">
        <x:f>E49/E40-1</x:f>
        <x:v>-0.08033746760757943</x:v>
      </x:c>
      <x:c r="F50" s="21" t="n">
        <x:f>F49/F40-1</x:f>
        <x:v>-0.10486008074861208</x:v>
      </x:c>
      <x:c r="G50" s="2"/>
      <x:c r="H50" s="2"/>
      <x:c r="I50" s="2"/>
      <x:c r="J50" s="2"/>
      <x:c r="K50" s="2"/>
      <x:c r="L50" s="2"/>
      <x:c r="M50" s="2"/>
      <x:c r="N50" s="2"/>
      <x:c r="O50" s="2"/>
      <x:c r="P50" s="2"/>
      <x:c r="Q50" s="2"/>
      <x:c r="R50" s="2"/>
    </x:row>
    <x:row r="51" ht="21" customHeight="1">
      <x:c r="B51" s="1"/>
      <x:c r="C51" s="2"/>
      <x:c r="D51" s="2"/>
      <x:c r="E51" s="2"/>
      <x:c r="F51" s="2"/>
      <x:c r="G51" s="2"/>
      <x:c r="H51" s="2"/>
      <x:c r="I51" s="2"/>
      <x:c r="J51" s="2"/>
      <x:c r="K51" s="2"/>
      <x:c r="L51" s="2"/>
      <x:c r="M51" s="2"/>
      <x:c r="N51" s="2"/>
      <x:c r="O51" s="2"/>
      <x:c r="P51" s="2"/>
      <x:c r="Q51" s="2"/>
      <x:c r="R51" s="2"/>
    </x:row>
    <x:row r="52" ht="21" customHeight="1">
      <x:c r="B52" s="1"/>
      <x:c r="C52" s="2"/>
      <x:c r="D52" s="2"/>
      <x:c r="E52" s="2"/>
      <x:c r="F52" s="2"/>
      <x:c r="G52" s="2"/>
      <x:c r="H52" s="2"/>
      <x:c r="I52" s="2"/>
      <x:c r="J52" s="2"/>
      <x:c r="K52" s="2"/>
      <x:c r="L52" s="2"/>
      <x:c r="M52" s="2"/>
      <x:c r="N52" s="2"/>
      <x:c r="O52" s="2"/>
      <x:c r="P52" s="2"/>
      <x:c r="Q52" s="2"/>
      <x:c r="R52" s="2"/>
    </x:row>
    <x:row r="53" ht="21" customHeight="1">
      <x:c r="B53" s="1"/>
      <x:c r="C53" s="2"/>
      <x:c r="D53" s="2"/>
      <x:c r="E53" s="2"/>
      <x:c r="F53" s="2"/>
      <x:c r="G53" s="2"/>
      <x:c r="H53" s="2"/>
      <x:c r="I53" s="2"/>
      <x:c r="J53" s="2"/>
      <x:c r="K53" s="2"/>
      <x:c r="L53" s="2"/>
      <x:c r="M53" s="2"/>
      <x:c r="N53" s="2"/>
      <x:c r="O53" s="2"/>
      <x:c r="P53" s="2"/>
      <x:c r="Q53" s="2"/>
      <x:c r="R53" s="2"/>
    </x:row>
    <x:row r="54" ht="25" customHeight="1">
      <x:c r="B54" s="10" t="str">
        <x:v>Industry roll-up</x:v>
      </x:c>
      <x:c r="C54" s="11"/>
      <x:c r="D54" s="11"/>
      <x:c r="E54" s="11"/>
      <x:c r="F54" s="11"/>
      <x:c r="G54" s="2"/>
      <x:c r="H54" s="2"/>
      <x:c r="I54" s="2"/>
      <x:c r="J54" s="2"/>
      <x:c r="K54" s="2"/>
      <x:c r="L54" s="2"/>
      <x:c r="M54" s="2"/>
      <x:c r="N54" s="2"/>
      <x:c r="O54" s="2"/>
      <x:c r="P54" s="2"/>
      <x:c r="Q54" s="2"/>
      <x:c r="R54" s="2"/>
    </x:row>
    <x:row r="55" ht="21" customHeight="1">
      <x:c r="B55" s="1" t="str">
        <x:v>Total domestic two-wheelers</x:v>
      </x:c>
      <x:c r="C55" s="2"/>
      <x:c r="D55" s="15" t="n">
        <x:f>SUM(D17,D33,D49)</x:f>
        <x:v>21.988496452012306</x:v>
      </x:c>
      <x:c r="E55" s="15" t="n">
        <x:f>SUM(E17,E33,E49)</x:f>
        <x:v>21.231264238960307</x:v>
      </x:c>
      <x:c r="F55" s="15" t="n">
        <x:f>SUM(F17,F33,F49)</x:f>
        <x:v>20.040168796780858</x:v>
      </x:c>
      <x:c r="G55" s="2"/>
      <x:c r="H55" s="2"/>
      <x:c r="I55" s="2"/>
      <x:c r="J55" s="2"/>
      <x:c r="K55" s="2"/>
      <x:c r="L55" s="2"/>
      <x:c r="M55" s="2"/>
      <x:c r="N55" s="2"/>
      <x:c r="O55" s="2"/>
      <x:c r="P55" s="2"/>
      <x:c r="Q55" s="2"/>
      <x:c r="R55" s="2"/>
    </x:row>
    <x:row r="56" ht="21" customHeight="1">
      <x:c r="B56" s="1" t="str">
        <x:v>Year-on-year growth</x:v>
      </x:c>
      <x:c r="C56" s="2"/>
      <x:c r="D56" s="34" t="n">
        <x:f>D55/Actuals!$E$11-1</x:f>
        <x:v>0.01301588456764513</x:v>
      </x:c>
      <x:c r="E56" s="34" t="n">
        <x:f>E55/D55-1</x:f>
        <x:v>-0.03443765310213831</x:v>
      </x:c>
      <x:c r="F56" s="34" t="n">
        <x:f>F55/E55-1</x:f>
        <x:v>-0.05610101352296004</x:v>
      </x:c>
      <x:c r="G56" s="2"/>
      <x:c r="H56" s="2"/>
      <x:c r="I56" s="2"/>
      <x:c r="J56" s="2"/>
      <x:c r="K56" s="2"/>
      <x:c r="L56" s="2"/>
      <x:c r="M56" s="2"/>
      <x:c r="N56" s="2"/>
      <x:c r="O56" s="2"/>
      <x:c r="P56" s="2"/>
      <x:c r="Q56" s="2"/>
      <x:c r="R56" s="2"/>
    </x:row>
    <x:row r="57" ht="21" customHeight="1">
      <x:c r="B57" s="1"/>
      <x:c r="C57" s="2"/>
      <x:c r="D57" s="2"/>
      <x:c r="E57" s="2"/>
      <x:c r="F57" s="2"/>
      <x:c r="G57" s="2"/>
      <x:c r="H57" s="2"/>
      <x:c r="I57" s="2"/>
      <x:c r="J57" s="2"/>
      <x:c r="K57" s="2"/>
      <x:c r="L57" s="2"/>
      <x:c r="M57" s="2"/>
      <x:c r="N57" s="2"/>
      <x:c r="O57" s="2"/>
      <x:c r="P57" s="2"/>
      <x:c r="Q57" s="2"/>
      <x:c r="R57" s="2"/>
    </x:row>
    <x:row r="58" ht="21" customHeight="1">
      <x:c r="B58" s="1"/>
      <x:c r="C58" s="2"/>
      <x:c r="D58" s="2"/>
      <x:c r="E58" s="2"/>
      <x:c r="F58" s="2"/>
      <x:c r="G58" s="2"/>
      <x:c r="H58" s="2"/>
      <x:c r="I58" s="2"/>
      <x:c r="J58" s="2"/>
      <x:c r="K58" s="2"/>
      <x:c r="L58" s="2"/>
      <x:c r="M58" s="2"/>
      <x:c r="N58" s="2"/>
      <x:c r="O58" s="2"/>
      <x:c r="P58" s="2"/>
      <x:c r="Q58" s="2"/>
      <x:c r="R58" s="2"/>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2" max="2" width="36" hidden="0" customWidth="1"/>
    <x:col min="3" max="3" width="15" hidden="0" customWidth="1"/>
    <x:col min="4" max="4" width="15" hidden="0" customWidth="1"/>
    <x:col min="5" max="5" width="15" hidden="0" customWidth="1"/>
    <x:col min="6" max="6" width="15" hidden="0" customWidth="1"/>
    <x:col min="7" max="7" width="20" hidden="0" customWidth="1"/>
    <x:col min="8" max="8" width="20" hidden="0" customWidth="1"/>
    <x:col min="9" max="9" width="20"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2" ht="21" customHeight="1">
      <x:c r="B2" s="3" t="str">
        <x:v>Domestic two-wheeler sales</x:v>
      </x:c>
      <x:c r="C2" s="2"/>
      <x:c r="D2" s="2"/>
      <x:c r="E2" s="2"/>
      <x:c r="F2" s="2"/>
      <x:c r="G2" s="2"/>
      <x:c r="H2" s="2"/>
      <x:c r="I2" s="2"/>
      <x:c r="J2" s="2"/>
      <x:c r="K2" s="2"/>
      <x:c r="L2" s="2"/>
      <x:c r="M2" s="2"/>
      <x:c r="N2" s="2"/>
      <x:c r="O2" s="2"/>
      <x:c r="P2" s="2"/>
      <x:c r="Q2" s="2"/>
      <x:c r="R2" s="2"/>
    </x:row>
    <x:row r="3" ht="21" customHeight="1">
      <x:c r="B3" s="4"/>
      <x:c r="C3" s="5"/>
      <x:c r="D3" s="5"/>
      <x:c r="E3" s="5"/>
      <x:c r="F3" s="5"/>
      <x:c r="G3" s="5"/>
      <x:c r="H3" s="5"/>
      <x:c r="I3" s="2"/>
      <x:c r="J3" s="2"/>
      <x:c r="K3" s="2"/>
      <x:c r="L3" s="2"/>
      <x:c r="M3" s="2"/>
      <x:c r="N3" s="2"/>
      <x:c r="O3" s="2"/>
      <x:c r="P3" s="2"/>
      <x:c r="Q3" s="2"/>
      <x:c r="R3" s="2"/>
    </x:row>
    <x:row r="4" ht="21" customHeight="1">
      <x:c r="B4" s="6" t="str">
        <x:v>SIAM wholesales, million vehicles; FY ends in March</x:v>
      </x:c>
      <x:c r="C4" s="7"/>
      <x:c r="D4" s="7"/>
      <x:c r="E4" s="7"/>
      <x:c r="F4" s="7"/>
      <x:c r="G4" s="7"/>
      <x:c r="H4" s="7"/>
      <x:c r="I4" s="2"/>
      <x:c r="J4" s="2"/>
      <x:c r="K4" s="2"/>
      <x:c r="L4" s="2"/>
      <x:c r="M4" s="2"/>
      <x:c r="N4" s="2"/>
      <x:c r="O4" s="2"/>
      <x:c r="P4" s="2"/>
      <x:c r="Q4" s="2"/>
      <x:c r="R4" s="2"/>
    </x:row>
    <x:row r="5" ht="21" customHeight="1">
      <x:c r="B5" s="1"/>
      <x:c r="C5" s="2"/>
      <x:c r="D5" s="2"/>
      <x:c r="E5" s="2"/>
      <x:c r="F5" s="2"/>
      <x:c r="G5" s="2"/>
      <x:c r="H5" s="2"/>
      <x:c r="I5" s="2"/>
      <x:c r="J5" s="2"/>
      <x:c r="K5" s="2"/>
      <x:c r="L5" s="2"/>
      <x:c r="M5" s="2"/>
      <x:c r="N5" s="2"/>
      <x:c r="O5" s="2"/>
      <x:c r="P5" s="2"/>
      <x:c r="Q5" s="2"/>
      <x:c r="R5" s="2"/>
    </x:row>
    <x:row r="6" ht="21" customHeight="1">
      <x:c r="B6" s="1"/>
      <x:c r="C6" s="2" t="str">
        <x:v>FY24A</x:v>
      </x:c>
      <x:c r="D6" s="2" t="str">
        <x:v>FY25A</x:v>
      </x:c>
      <x:c r="E6" s="2" t="str">
        <x:v>FY26A</x:v>
      </x:c>
      <x:c r="F6" s="2"/>
      <x:c r="G6" s="2"/>
      <x:c r="H6" s="2"/>
      <x:c r="I6" s="2"/>
      <x:c r="J6" s="2"/>
      <x:c r="K6" s="2"/>
      <x:c r="L6" s="2"/>
      <x:c r="M6" s="2"/>
      <x:c r="N6" s="2"/>
      <x:c r="O6" s="2"/>
      <x:c r="P6" s="2"/>
      <x:c r="Q6" s="2"/>
      <x:c r="R6" s="2"/>
    </x:row>
    <x:row r="7" ht="25" customHeight="1">
      <x:c r="B7" s="10" t="str">
        <x:v>Reported domestic sales</x:v>
      </x:c>
      <x:c r="C7" s="11"/>
      <x:c r="D7" s="11"/>
      <x:c r="E7" s="11"/>
      <x:c r="F7" s="2"/>
      <x:c r="G7" s="11" t="str">
        <x:v>Source and input status</x:v>
      </x:c>
      <x:c r="H7" s="11"/>
      <x:c r="I7" s="11"/>
      <x:c r="J7" s="2"/>
      <x:c r="K7" s="2"/>
      <x:c r="L7" s="2"/>
      <x:c r="M7" s="2"/>
      <x:c r="N7" s="2"/>
      <x:c r="O7" s="2"/>
      <x:c r="P7" s="2"/>
      <x:c r="Q7" s="2"/>
      <x:c r="R7" s="2"/>
    </x:row>
    <x:row r="8" ht="21" customHeight="1">
      <x:c r="B8" s="1" t="str">
        <x:v>Motorcycles</x:v>
      </x:c>
      <x:c r="C8" s="14" t="n">
        <x:v>11.653237</x:v>
      </x:c>
      <x:c r="D8" s="14" t="n">
        <x:v>12.252305</x:v>
      </x:c>
      <x:c r="E8" s="14" t="n">
        <x:v>13.064789</x:v>
      </x:c>
      <x:c r="F8" s="2"/>
      <x:c r="G8" s="2" t="str">
        <x:v>SIAM industry trend, FY24–FY26</x:v>
      </x:c>
      <x:c r="H8" s="2"/>
      <x:c r="I8" s="2"/>
      <x:c r="J8" s="2"/>
      <x:c r="K8" s="2"/>
      <x:c r="L8" s="2"/>
      <x:c r="M8" s="2"/>
      <x:c r="N8" s="2"/>
      <x:c r="O8" s="2"/>
      <x:c r="P8" s="2"/>
      <x:c r="Q8" s="2"/>
      <x:c r="R8" s="2"/>
    </x:row>
    <x:row r="9" ht="21" customHeight="1">
      <x:c r="B9" s="1" t="str">
        <x:v>Scooters</x:v>
      </x:c>
      <x:c r="C9" s="14" t="n">
        <x:v>5.839325</x:v>
      </x:c>
      <x:c r="D9" s="14" t="n">
        <x:v>6.853214</x:v>
      </x:c>
      <x:c r="E9" s="14" t="n">
        <x:v>8.117945</x:v>
      </x:c>
      <x:c r="F9" s="2"/>
      <x:c r="G9" s="2" t="str">
        <x:v>FY25 categories: SIAM annual report</x:v>
      </x:c>
      <x:c r="H9" s="2"/>
      <x:c r="I9" s="2"/>
      <x:c r="J9" s="2"/>
      <x:c r="K9" s="2"/>
      <x:c r="L9" s="2"/>
      <x:c r="M9" s="2"/>
      <x:c r="N9" s="2"/>
      <x:c r="O9" s="2"/>
      <x:c r="P9" s="2"/>
      <x:c r="Q9" s="2"/>
      <x:c r="R9" s="2"/>
    </x:row>
    <x:row r="10" ht="21" customHeight="1">
      <x:c r="B10" s="1" t="str">
        <x:v>Mopeds</x:v>
      </x:c>
      <x:c r="C10" s="14" t="n">
        <x:v>0.481803</x:v>
      </x:c>
      <x:c r="D10" s="14" t="n">
        <x:v>0.501813</x:v>
      </x:c>
      <x:c r="E10" s="14" t="n">
        <x:v>0.52324</x:v>
      </x:c>
      <x:c r="F10" s="2"/>
      <x:c r="G10" s="2" t="str">
        <x:v>FY26 category split: SIAM-reported</x:v>
      </x:c>
      <x:c r="H10" s="2"/>
      <x:c r="I10" s="2"/>
      <x:c r="J10" s="2"/>
      <x:c r="K10" s="2"/>
      <x:c r="L10" s="2"/>
      <x:c r="M10" s="2"/>
      <x:c r="N10" s="2"/>
      <x:c r="O10" s="2"/>
      <x:c r="P10" s="2"/>
      <x:c r="Q10" s="2"/>
      <x:c r="R10" s="2"/>
    </x:row>
    <x:row r="11" ht="21" customHeight="1">
      <x:c r="B11" s="1" t="str">
        <x:v>Total two-wheelers</x:v>
      </x:c>
      <x:c r="C11" s="15" t="n">
        <x:f>SUM(C8:C10)</x:f>
        <x:v>17.974365</x:v>
      </x:c>
      <x:c r="D11" s="15" t="n">
        <x:f>SUM(D8:D10)</x:f>
        <x:v>19.607332</x:v>
      </x:c>
      <x:c r="E11" s="15" t="n">
        <x:f>SUM(E8:E10)</x:f>
        <x:v>21.705974</x:v>
      </x:c>
      <x:c r="F11" s="2"/>
      <x:c r="G11" s="2"/>
      <x:c r="H11" s="2"/>
      <x:c r="I11" s="2"/>
      <x:c r="J11" s="2"/>
      <x:c r="K11" s="2"/>
      <x:c r="L11" s="2"/>
      <x:c r="M11" s="2"/>
      <x:c r="N11" s="2"/>
      <x:c r="O11" s="2"/>
      <x:c r="P11" s="2"/>
      <x:c r="Q11" s="2"/>
      <x:c r="R11" s="2"/>
    </x:row>
    <x:row r="12" ht="21" customHeight="1">
      <x:c r="B12" s="1"/>
      <x:c r="C12" s="2"/>
      <x:c r="D12" s="2"/>
      <x:c r="E12" s="2"/>
      <x:c r="F12" s="2"/>
      <x:c r="G12" s="2" t="str">
        <x:v>Official total FY26 = 21.705974m</x:v>
      </x:c>
      <x:c r="H12" s="2"/>
      <x:c r="I12" s="2"/>
      <x:c r="J12" s="2"/>
      <x:c r="K12" s="2"/>
      <x:c r="L12" s="2"/>
      <x:c r="M12" s="2"/>
      <x:c r="N12" s="2"/>
      <x:c r="O12" s="2"/>
      <x:c r="P12" s="2"/>
      <x:c r="Q12" s="2"/>
      <x:c r="R12" s="2"/>
    </x:row>
    <x:row r="13" ht="21" customHeight="1">
      <x:c r="B13" s="1"/>
      <x:c r="C13" s="2"/>
      <x:c r="D13" s="2"/>
      <x:c r="E13" s="2"/>
      <x:c r="F13" s="2"/>
      <x:c r="G13" s="2"/>
      <x:c r="H13" s="2"/>
      <x:c r="I13" s="2"/>
      <x:c r="J13" s="2"/>
      <x:c r="K13" s="2"/>
      <x:c r="L13" s="2"/>
      <x:c r="M13" s="2"/>
      <x:c r="N13" s="2"/>
      <x:c r="O13" s="2"/>
      <x:c r="P13" s="2"/>
      <x:c r="Q13" s="2"/>
      <x:c r="R13" s="2"/>
    </x:row>
    <x:row r="14" ht="25" customHeight="1">
      <x:c r="B14" s="10" t="str">
        <x:v>Calibration of FY26 GST timing</x:v>
      </x:c>
      <x:c r="C14" s="11"/>
      <x:c r="D14" s="11"/>
      <x:c r="E14" s="11"/>
      <x:c r="F14" s="2"/>
      <x:c r="G14" s="2"/>
      <x:c r="H14" s="2"/>
      <x:c r="I14" s="2"/>
      <x:c r="J14" s="2"/>
      <x:c r="K14" s="2"/>
      <x:c r="L14" s="2"/>
      <x:c r="M14" s="2"/>
      <x:c r="N14" s="2"/>
      <x:c r="O14" s="2"/>
      <x:c r="P14" s="2"/>
      <x:c r="Q14" s="2"/>
      <x:c r="R14" s="2"/>
    </x:row>
    <x:row r="15" ht="21" customHeight="1">
      <x:c r="B15" s="1" t="str">
        <x:v>No-GST FY26 growth from FY25</x:v>
      </x:c>
      <x:c r="C15" s="2"/>
      <x:c r="D15" s="2"/>
      <x:c r="E15" s="18" t="n">
        <x:v>0.06</x:v>
      </x:c>
      <x:c r="F15" s="2"/>
      <x:c r="G15" s="20" t="str">
        <x:v>Yellow: editable. Timing debt is estimated, not observed.</x:v>
      </x:c>
      <x:c r="H15" s="20"/>
      <x:c r="I15" s="20"/>
      <x:c r="J15" s="2"/>
      <x:c r="K15" s="2"/>
      <x:c r="L15" s="2"/>
      <x:c r="M15" s="2"/>
      <x:c r="N15" s="2"/>
      <x:c r="O15" s="2"/>
      <x:c r="P15" s="2"/>
      <x:c r="Q15" s="2"/>
      <x:c r="R15" s="2"/>
    </x:row>
    <x:row r="16" ht="21" customHeight="1">
      <x:c r="B16" s="1" t="str">
        <x:v>FY26 average GST net price benefit</x:v>
      </x:c>
      <x:c r="C16" s="2"/>
      <x:c r="D16" s="2"/>
      <x:c r="E16" s="18" t="n">
        <x:v>0.035</x:v>
      </x:c>
      <x:c r="F16" s="2"/>
      <x:c r="G16" s="20"/>
      <x:c r="H16" s="20"/>
      <x:c r="I16" s="20"/>
      <x:c r="J16" s="2"/>
      <x:c r="K16" s="2"/>
      <x:c r="L16" s="2"/>
      <x:c r="M16" s="2"/>
      <x:c r="N16" s="2"/>
      <x:c r="O16" s="2"/>
      <x:c r="P16" s="2"/>
      <x:c r="Q16" s="2"/>
      <x:c r="R16" s="2"/>
    </x:row>
    <x:row r="17" ht="21" customHeight="1">
      <x:c r="B17" s="1" t="str">
        <x:v>Share of 2W volume exposed to GST cut</x:v>
      </x:c>
      <x:c r="C17" s="2"/>
      <x:c r="D17" s="2"/>
      <x:c r="E17" s="18" t="n">
        <x:v>0.9</x:v>
      </x:c>
      <x:c r="F17" s="2"/>
      <x:c r="G17" s="2"/>
      <x:c r="H17" s="2"/>
      <x:c r="I17" s="2"/>
      <x:c r="J17" s="2"/>
      <x:c r="K17" s="2"/>
      <x:c r="L17" s="2"/>
      <x:c r="M17" s="2"/>
      <x:c r="N17" s="2"/>
      <x:c r="O17" s="2"/>
      <x:c r="P17" s="2"/>
      <x:c r="Q17" s="2"/>
      <x:c r="R17" s="2"/>
    </x:row>
    <x:row r="18" ht="21" customHeight="1">
      <x:c r="B18" s="1" t="str">
        <x:v>Weighted price elasticity</x:v>
      </x:c>
      <x:c r="C18" s="2"/>
      <x:c r="D18" s="2"/>
      <x:c r="E18" s="19" t="n">
        <x:v>0.65</x:v>
      </x:c>
      <x:c r="F18" s="2"/>
      <x:c r="G18" s="2" t="str">
        <x:v>https://www.siam.in/knowledge/industry-data/industry-trends</x:v>
      </x:c>
      <x:c r="H18" s="2"/>
      <x:c r="I18" s="2"/>
      <x:c r="J18" s="2"/>
      <x:c r="K18" s="2"/>
      <x:c r="L18" s="2"/>
      <x:c r="M18" s="2"/>
      <x:c r="N18" s="2"/>
      <x:c r="O18" s="2"/>
      <x:c r="P18" s="2"/>
      <x:c r="Q18" s="2"/>
      <x:c r="R18" s="2"/>
    </x:row>
    <x:row r="19" ht="21" customHeight="1">
      <x:c r="B19" s="1" t="str">
        <x:v>Borrowed share of residual excess</x:v>
      </x:c>
      <x:c r="C19" s="2"/>
      <x:c r="D19" s="2"/>
      <x:c r="E19" s="18" t="n">
        <x:v>0.55</x:v>
      </x:c>
      <x:c r="F19" s="2"/>
      <x:c r="G19" s="2" t="str">
        <x:v>https://www.siam.in/uploads/Know/AnnualReport/10985file_SIAM-Annual-Report-24-25_s.pdf</x:v>
      </x:c>
      <x:c r="H19" s="2"/>
      <x:c r="I19" s="2"/>
      <x:c r="J19" s="2"/>
      <x:c r="K19" s="2"/>
      <x:c r="L19" s="2"/>
      <x:c r="M19" s="2"/>
      <x:c r="N19" s="2"/>
      <x:c r="O19" s="2"/>
      <x:c r="P19" s="2"/>
      <x:c r="Q19" s="2"/>
      <x:c r="R19" s="2"/>
    </x:row>
    <x:row r="20" ht="21" customHeight="1">
      <x:c r="B20" s="1" t="str">
        <x:v>FY26 EV share of scooter sales</x:v>
      </x:c>
      <x:c r="C20" s="2"/>
      <x:c r="D20" s="2"/>
      <x:c r="E20" s="18" t="n">
        <x:v>0.08</x:v>
      </x:c>
      <x:c r="F20" s="2"/>
      <x:c r="G20" s="2" t="str">
        <x:v>https://www.siam.in/knowledge/annual-reports</x:v>
      </x:c>
      <x:c r="H20" s="2"/>
      <x:c r="I20" s="2"/>
      <x:c r="J20" s="2"/>
      <x:c r="K20" s="2"/>
      <x:c r="L20" s="2"/>
      <x:c r="M20" s="2"/>
      <x:c r="N20" s="2"/>
      <x:c r="O20" s="2"/>
      <x:c r="P20" s="2"/>
      <x:c r="Q20" s="2"/>
      <x:c r="R20" s="2"/>
    </x:row>
    <x:row r="21" ht="21" customHeight="1">
      <x:c r="B21" s="1"/>
      <x:c r="C21" s="2"/>
      <x:c r="D21" s="2"/>
      <x:c r="E21" s="2"/>
      <x:c r="F21" s="2"/>
      <x:c r="G21" s="2" t="str">
        <x:v>https://www.pib.gov.in/PressReleasePage.aspx?PRID=2163560</x:v>
      </x:c>
      <x:c r="H21" s="2"/>
      <x:c r="I21" s="2"/>
      <x:c r="J21" s="2"/>
      <x:c r="K21" s="2"/>
      <x:c r="L21" s="2"/>
      <x:c r="M21" s="2"/>
      <x:c r="N21" s="2"/>
      <x:c r="O21" s="2"/>
      <x:c r="P21" s="2"/>
      <x:c r="Q21" s="2"/>
      <x:c r="R21" s="2"/>
    </x:row>
    <x:row r="22" ht="21" customHeight="1">
      <x:c r="B22" s="1" t="str">
        <x:v>No-GST FY26 counterfactual</x:v>
      </x:c>
      <x:c r="C22" s="2"/>
      <x:c r="D22" s="2"/>
      <x:c r="E22" s="12" t="n">
        <x:f>D11*(1+E15)</x:f>
        <x:v>20.78377192</x:v>
      </x:c>
      <x:c r="F22" s="2"/>
      <x:c r="G22" s="2"/>
      <x:c r="H22" s="2"/>
      <x:c r="I22" s="2"/>
      <x:c r="J22" s="2"/>
      <x:c r="K22" s="2"/>
      <x:c r="L22" s="2"/>
      <x:c r="M22" s="2"/>
      <x:c r="N22" s="2"/>
      <x:c r="O22" s="2"/>
      <x:c r="P22" s="2"/>
      <x:c r="Q22" s="2"/>
      <x:c r="R22" s="2"/>
    </x:row>
    <x:row r="23" ht="21" customHeight="1">
      <x:c r="B23" s="1" t="str">
        <x:v>FY26 excess over counterfactual</x:v>
      </x:c>
      <x:c r="C23" s="2"/>
      <x:c r="D23" s="2"/>
      <x:c r="E23" s="12" t="n">
        <x:f>E11-E22</x:f>
        <x:v>0.9222020800000017</x:v>
      </x:c>
      <x:c r="F23" s="2"/>
      <x:c r="G23" s="2"/>
      <x:c r="H23" s="2"/>
      <x:c r="I23" s="2"/>
      <x:c r="J23" s="2"/>
      <x:c r="K23" s="2"/>
      <x:c r="L23" s="2"/>
      <x:c r="M23" s="2"/>
      <x:c r="N23" s="2"/>
      <x:c r="O23" s="2"/>
      <x:c r="P23" s="2"/>
      <x:c r="Q23" s="2"/>
      <x:c r="R23" s="2"/>
    </x:row>
    <x:row r="24" ht="21" customHeight="1">
      <x:c r="B24" s="1" t="str">
        <x:v>Estimated affordability uplift</x:v>
      </x:c>
      <x:c r="C24" s="2"/>
      <x:c r="D24" s="2"/>
      <x:c r="E24" s="12" t="n">
        <x:f>E22*E16*E17*E18</x:f>
        <x:v>0.42554773006200003</x:v>
      </x:c>
      <x:c r="F24" s="2"/>
      <x:c r="G24" s="2"/>
      <x:c r="H24" s="2"/>
      <x:c r="I24" s="2"/>
      <x:c r="J24" s="2"/>
      <x:c r="K24" s="2"/>
      <x:c r="L24" s="2"/>
      <x:c r="M24" s="2"/>
      <x:c r="N24" s="2"/>
      <x:c r="O24" s="2"/>
      <x:c r="P24" s="2"/>
      <x:c r="Q24" s="2"/>
      <x:c r="R24" s="2"/>
    </x:row>
    <x:row r="25" ht="21" customHeight="1">
      <x:c r="B25" s="1" t="str">
        <x:v>Residual beyond affordability</x:v>
      </x:c>
      <x:c r="C25" s="2"/>
      <x:c r="D25" s="2"/>
      <x:c r="E25" s="12" t="n">
        <x:f>E23-E24</x:f>
        <x:v>0.49665434993800167</x:v>
      </x:c>
      <x:c r="F25" s="2"/>
      <x:c r="G25" s="2"/>
      <x:c r="H25" s="2"/>
      <x:c r="I25" s="2"/>
      <x:c r="J25" s="2"/>
      <x:c r="K25" s="2"/>
      <x:c r="L25" s="2"/>
      <x:c r="M25" s="2"/>
      <x:c r="N25" s="2"/>
      <x:c r="O25" s="2"/>
      <x:c r="P25" s="2"/>
      <x:c r="Q25" s="2"/>
      <x:c r="R25" s="2"/>
    </x:row>
    <x:row r="26" ht="21" customHeight="1">
      <x:c r="B26" s="1" t="str">
        <x:v>Opening timing debt at FY27 start</x:v>
      </x:c>
      <x:c r="C26" s="2"/>
      <x:c r="D26" s="2"/>
      <x:c r="E26" s="15" t="n">
        <x:f>MAX(0,E25*E19)</x:f>
        <x:v>0.27315989246590094</x:v>
      </x:c>
      <x:c r="F26" s="2"/>
      <x:c r="G26" s="2"/>
      <x:c r="H26" s="2"/>
      <x:c r="I26" s="2"/>
      <x:c r="J26" s="2"/>
      <x:c r="K26" s="2"/>
      <x:c r="L26" s="2"/>
      <x:c r="M26" s="2"/>
      <x:c r="N26" s="2"/>
      <x:c r="O26" s="2"/>
      <x:c r="P26" s="2"/>
      <x:c r="Q26" s="2"/>
      <x:c r="R26" s="2"/>
    </x:row>
    <x:row r="27" ht="21" customHeight="1">
      <x:c r="B27" s="1"/>
      <x:c r="C27" s="2"/>
      <x:c r="D27" s="2"/>
      <x:c r="E27" s="2"/>
      <x:c r="F27" s="2"/>
      <x:c r="G27" s="2"/>
      <x:c r="H27" s="2"/>
      <x:c r="I27" s="2"/>
      <x:c r="J27" s="2"/>
      <x:c r="K27" s="2"/>
      <x:c r="L27" s="2"/>
      <x:c r="M27" s="2"/>
      <x:c r="N27" s="2"/>
      <x:c r="O27" s="2"/>
      <x:c r="P27" s="2"/>
      <x:c r="Q27" s="2"/>
      <x:c r="R27" s="2"/>
    </x:row>
    <x:row r="28" ht="21" customHeight="1">
      <x:c r="B28" s="1"/>
      <x:c r="C28" s="2"/>
      <x:c r="D28" s="2"/>
      <x:c r="E28" s="2"/>
      <x:c r="F28" s="2"/>
      <x:c r="G28" s="2"/>
      <x:c r="H28" s="2"/>
      <x:c r="I28" s="2"/>
      <x:c r="J28" s="2"/>
      <x:c r="K28" s="2"/>
      <x:c r="L28" s="2"/>
      <x:c r="M28" s="2"/>
      <x:c r="N28" s="2"/>
      <x:c r="O28" s="2"/>
      <x:c r="P28" s="2"/>
      <x:c r="Q28" s="2"/>
      <x:c r="R28" s="2"/>
    </x:row>
    <x:row r="29" ht="25" customHeight="1">
      <x:c r="B29" s="10" t="str">
        <x:v>FY27 published run-rate through August</x:v>
      </x:c>
      <x:c r="C29" s="11"/>
      <x:c r="D29" s="11"/>
      <x:c r="E29" s="11"/>
      <x:c r="F29" s="2"/>
      <x:c r="G29" s="2"/>
      <x:c r="H29" s="2"/>
      <x:c r="I29" s="2"/>
      <x:c r="J29" s="2"/>
      <x:c r="K29" s="2"/>
      <x:c r="L29" s="2"/>
      <x:c r="M29" s="2"/>
      <x:c r="N29" s="2"/>
      <x:c r="O29" s="2"/>
      <x:c r="P29" s="2"/>
      <x:c r="Q29" s="2"/>
      <x:c r="R29" s="2"/>
    </x:row>
    <x:row r="30" ht="21" customHeight="1">
      <x:c r="B30" s="1" t="str">
        <x:v>FY26 April–September actual</x:v>
      </x:c>
      <x:c r="C30" s="2"/>
      <x:c r="D30" s="2"/>
      <x:c r="E30" s="14" t="n">
        <x:v>10.236639</x:v>
      </x:c>
      <x:c r="F30" s="2"/>
      <x:c r="G30" s="2" t="str">
        <x:v>https://www.siam.in/pressrelease-details.aspx?pid=591</x:v>
      </x:c>
      <x:c r="H30" s="2"/>
      <x:c r="I30" s="2"/>
      <x:c r="J30" s="2"/>
      <x:c r="K30" s="2"/>
      <x:c r="L30" s="2"/>
      <x:c r="M30" s="2"/>
      <x:c r="N30" s="2"/>
      <x:c r="O30" s="2"/>
      <x:c r="P30" s="2"/>
      <x:c r="Q30" s="2"/>
      <x:c r="R30" s="2"/>
    </x:row>
    <x:row r="31" ht="21" customHeight="1">
      <x:c r="B31" s="1" t="str">
        <x:v>FY26 September actual</x:v>
      </x:c>
      <x:c r="C31" s="2"/>
      <x:c r="D31" s="2"/>
      <x:c r="E31" s="14" t="n">
        <x:v>2.160889</x:v>
      </x:c>
      <x:c r="F31" s="2"/>
      <x:c r="G31" s="2" t="str">
        <x:v>https://www.siam.in/pressrelease-details.aspx?pid=610</x:v>
      </x:c>
      <x:c r="H31" s="2"/>
      <x:c r="I31" s="2"/>
      <x:c r="J31" s="2"/>
      <x:c r="K31" s="2"/>
      <x:c r="L31" s="2"/>
      <x:c r="M31" s="2"/>
      <x:c r="N31" s="2"/>
      <x:c r="O31" s="2"/>
      <x:c r="P31" s="2"/>
      <x:c r="Q31" s="2"/>
      <x:c r="R31" s="2"/>
    </x:row>
    <x:row r="32" ht="21" customHeight="1">
      <x:c r="B32" s="1" t="str">
        <x:v>FY26 April–August actual</x:v>
      </x:c>
      <x:c r="C32" s="2"/>
      <x:c r="D32" s="2"/>
      <x:c r="E32" s="12" t="n">
        <x:f>E30-E31</x:f>
        <x:v>8.07575</x:v>
      </x:c>
      <x:c r="F32" s="2"/>
      <x:c r="G32" s="2" t="str">
        <x:v>https://www.siam.in/news-%26-updates/press-releases/auto-industry-performance-of-july-2026/612</x:v>
      </x:c>
      <x:c r="H32" s="2"/>
      <x:c r="I32" s="2"/>
      <x:c r="J32" s="2"/>
      <x:c r="K32" s="2"/>
      <x:c r="L32" s="2"/>
      <x:c r="M32" s="2"/>
      <x:c r="N32" s="2"/>
      <x:c r="O32" s="2"/>
      <x:c r="P32" s="2"/>
      <x:c r="Q32" s="2"/>
      <x:c r="R32" s="2"/>
    </x:row>
    <x:row r="33" ht="21" customHeight="1">
      <x:c r="B33" s="1"/>
      <x:c r="C33" s="2"/>
      <x:c r="D33" s="2"/>
      <x:c r="E33" s="2"/>
      <x:c r="F33" s="2"/>
      <x:c r="G33" s="2" t="str">
        <x:v>https://www.siam.in/pressrelease-details.aspx?mpgid=53&amp;pgidtrail=50&amp;pid=620</x:v>
      </x:c>
      <x:c r="H33" s="2"/>
      <x:c r="I33" s="2"/>
      <x:c r="J33" s="2"/>
      <x:c r="K33" s="2"/>
      <x:c r="L33" s="2"/>
      <x:c r="M33" s="2"/>
      <x:c r="N33" s="2"/>
      <x:c r="O33" s="2"/>
      <x:c r="P33" s="2"/>
      <x:c r="Q33" s="2"/>
      <x:c r="R33" s="2"/>
    </x:row>
    <x:row r="34" ht="21" customHeight="1">
      <x:c r="B34" s="1" t="str">
        <x:v>FY27 April–June actual</x:v>
      </x:c>
      <x:c r="C34" s="2"/>
      <x:c r="D34" s="2"/>
      <x:c r="E34" s="14" t="n">
        <x:v>5.628675</x:v>
      </x:c>
      <x:c r="F34" s="2"/>
      <x:c r="G34" s="2"/>
      <x:c r="H34" s="2"/>
      <x:c r="I34" s="2"/>
      <x:c r="J34" s="2"/>
      <x:c r="K34" s="2"/>
      <x:c r="L34" s="2"/>
      <x:c r="M34" s="2"/>
      <x:c r="N34" s="2"/>
      <x:c r="O34" s="2"/>
      <x:c r="P34" s="2"/>
      <x:c r="Q34" s="2"/>
      <x:c r="R34" s="2"/>
    </x:row>
    <x:row r="35" ht="21" customHeight="1">
      <x:c r="B35" s="1" t="str">
        <x:v>FY27 July actual</x:v>
      </x:c>
      <x:c r="C35" s="2"/>
      <x:c r="D35" s="2"/>
      <x:c r="E35" s="14" t="n">
        <x:v>1.923483</x:v>
      </x:c>
      <x:c r="F35" s="2"/>
      <x:c r="G35" s="2"/>
      <x:c r="H35" s="2"/>
      <x:c r="I35" s="2"/>
      <x:c r="J35" s="2"/>
      <x:c r="K35" s="2"/>
      <x:c r="L35" s="2"/>
      <x:c r="M35" s="2"/>
      <x:c r="N35" s="2"/>
      <x:c r="O35" s="2"/>
      <x:c r="P35" s="2"/>
      <x:c r="Q35" s="2"/>
      <x:c r="R35" s="2"/>
    </x:row>
    <x:row r="36" ht="21" customHeight="1">
      <x:c r="B36" s="1" t="str">
        <x:v>FY27 August actual</x:v>
      </x:c>
      <x:c r="C36" s="2"/>
      <x:c r="D36" s="2"/>
      <x:c r="E36" s="14" t="n">
        <x:v>2.034698</x:v>
      </x:c>
      <x:c r="F36" s="2"/>
      <x:c r="G36" s="2"/>
      <x:c r="H36" s="2"/>
      <x:c r="I36" s="2"/>
      <x:c r="J36" s="2"/>
      <x:c r="K36" s="2"/>
      <x:c r="L36" s="2"/>
      <x:c r="M36" s="2"/>
      <x:c r="N36" s="2"/>
      <x:c r="O36" s="2"/>
      <x:c r="P36" s="2"/>
      <x:c r="Q36" s="2"/>
      <x:c r="R36" s="2"/>
    </x:row>
    <x:row r="37" ht="21" customHeight="1">
      <x:c r="B37" s="1" t="str">
        <x:v>FY27 April–August actual</x:v>
      </x:c>
      <x:c r="C37" s="2"/>
      <x:c r="D37" s="2"/>
      <x:c r="E37" s="12" t="n">
        <x:f>SUM(E34:E36)</x:f>
        <x:v>9.586856000000001</x:v>
      </x:c>
      <x:c r="F37" s="2"/>
      <x:c r="G37" s="2"/>
      <x:c r="H37" s="2"/>
      <x:c r="I37" s="2"/>
      <x:c r="J37" s="2"/>
      <x:c r="K37" s="2"/>
      <x:c r="L37" s="2"/>
      <x:c r="M37" s="2"/>
      <x:c r="N37" s="2"/>
      <x:c r="O37" s="2"/>
      <x:c r="P37" s="2"/>
      <x:c r="Q37" s="2"/>
      <x:c r="R37" s="2"/>
    </x:row>
    <x:row r="38" ht="21" customHeight="1">
      <x:c r="B38" s="1" t="str">
        <x:v>Year-on-year April–August growth</x:v>
      </x:c>
      <x:c r="C38" s="2"/>
      <x:c r="D38" s="2"/>
      <x:c r="E38" s="21" t="n">
        <x:f>E37/E32-1</x:f>
        <x:v>0.18711649072841552</x:v>
      </x:c>
      <x:c r="F38" s="2"/>
      <x:c r="G38" s="2"/>
      <x:c r="H38" s="2"/>
      <x:c r="I38" s="2"/>
      <x:c r="J38" s="2"/>
      <x:c r="K38" s="2"/>
      <x:c r="L38" s="2"/>
      <x:c r="M38" s="2"/>
      <x:c r="N38" s="2"/>
      <x:c r="O38" s="2"/>
      <x:c r="P38" s="2"/>
      <x:c r="Q38" s="2"/>
      <x:c r="R38" s="2"/>
    </x:row>
    <x:row r="39" ht="21" customHeight="1">
      <x:c r="B39" s="1"/>
      <x:c r="C39" s="2"/>
      <x:c r="D39" s="2"/>
      <x:c r="E39" s="2"/>
      <x:c r="F39" s="2"/>
      <x:c r="G39" s="2"/>
      <x:c r="H39" s="2"/>
      <x:c r="I39" s="2"/>
      <x:c r="J39" s="2"/>
      <x:c r="K39" s="2"/>
      <x:c r="L39" s="2"/>
      <x:c r="M39" s="2"/>
      <x:c r="N39" s="2"/>
      <x:c r="O39" s="2"/>
      <x:c r="P39" s="2"/>
      <x:c r="Q39" s="2"/>
      <x:c r="R39" s="2"/>
    </x:row>
    <x:row r="40" ht="21" customHeight="1">
      <x:c r="B40" s="1"/>
      <x:c r="C40" s="2"/>
      <x:c r="D40" s="2"/>
      <x:c r="E40" s="2"/>
      <x:c r="F40" s="2"/>
      <x:c r="G40" s="2"/>
      <x:c r="H40" s="2"/>
      <x:c r="I40" s="2"/>
      <x:c r="J40" s="2"/>
      <x:c r="K40" s="2"/>
      <x:c r="L40" s="2"/>
      <x:c r="M40" s="2"/>
      <x:c r="N40" s="2"/>
      <x:c r="O40" s="2"/>
      <x:c r="P40" s="2"/>
      <x:c r="Q40" s="2"/>
      <x:c r="R40" s="2"/>
    </x:row>
    <x:row r="41" ht="21" customHeight="1">
      <x:c r="B41" s="1"/>
      <x:c r="C41" s="2"/>
      <x:c r="D41" s="2"/>
      <x:c r="E41" s="2"/>
      <x:c r="F41" s="2"/>
      <x:c r="G41" s="2"/>
      <x:c r="H41" s="2"/>
      <x:c r="I41" s="2"/>
      <x:c r="J41" s="2"/>
      <x:c r="K41" s="2"/>
      <x:c r="L41" s="2"/>
      <x:c r="M41" s="2"/>
      <x:c r="N41" s="2"/>
      <x:c r="O41" s="2"/>
      <x:c r="P41" s="2"/>
      <x:c r="Q41" s="2"/>
      <x:c r="R41" s="2"/>
    </x:row>
    <x:row r="42" ht="21" customHeight="1">
      <x:c r="B42" s="1"/>
      <x:c r="C42" s="2"/>
      <x:c r="D42" s="2"/>
      <x:c r="E42" s="2"/>
      <x:c r="F42" s="2"/>
      <x:c r="G42" s="2"/>
      <x:c r="H42" s="2"/>
      <x:c r="I42" s="2"/>
      <x:c r="J42" s="2"/>
      <x:c r="K42" s="2"/>
      <x:c r="L42" s="2"/>
      <x:c r="M42" s="2"/>
      <x:c r="N42" s="2"/>
      <x:c r="O42" s="2"/>
      <x:c r="P42" s="2"/>
      <x:c r="Q42" s="2"/>
      <x:c r="R42" s="2"/>
    </x:row>
    <x:row r="43" ht="21" customHeight="1">
      <x:c r="B43" s="1"/>
      <x:c r="C43" s="2"/>
      <x:c r="D43" s="2"/>
      <x:c r="E43" s="2"/>
      <x:c r="F43" s="2"/>
      <x:c r="G43" s="2"/>
      <x:c r="H43" s="2"/>
      <x:c r="I43" s="2"/>
      <x:c r="J43" s="2"/>
      <x:c r="K43" s="2"/>
      <x:c r="L43" s="2"/>
      <x:c r="M43" s="2"/>
      <x:c r="N43" s="2"/>
      <x:c r="O43" s="2"/>
      <x:c r="P43" s="2"/>
      <x:c r="Q43" s="2"/>
      <x:c r="R43" s="2"/>
    </x:row>
    <x:row r="44" ht="21" customHeight="1">
      <x:c r="B44" s="1"/>
      <x:c r="C44" s="2"/>
      <x:c r="D44" s="2"/>
      <x:c r="E44" s="2"/>
      <x:c r="F44" s="2"/>
      <x:c r="G44" s="2"/>
      <x:c r="H44" s="2"/>
      <x:c r="I44" s="2"/>
      <x:c r="J44" s="2"/>
      <x:c r="K44" s="2"/>
      <x:c r="L44" s="2"/>
      <x:c r="M44" s="2"/>
      <x:c r="N44" s="2"/>
      <x:c r="O44" s="2"/>
      <x:c r="P44" s="2"/>
      <x:c r="Q44" s="2"/>
      <x:c r="R44" s="2"/>
    </x:row>
    <x:row r="45" ht="21" customHeight="1">
      <x:c r="B45" s="1"/>
      <x:c r="C45" s="2"/>
      <x:c r="D45" s="2"/>
      <x:c r="E45" s="2"/>
      <x:c r="F45" s="2"/>
      <x:c r="G45" s="2"/>
      <x:c r="H45" s="2"/>
      <x:c r="I45" s="2"/>
      <x:c r="J45" s="2"/>
      <x:c r="K45" s="2"/>
      <x:c r="L45" s="2"/>
      <x:c r="M45" s="2"/>
      <x:c r="N45" s="2"/>
      <x:c r="O45" s="2"/>
      <x:c r="P45" s="2"/>
      <x:c r="Q45" s="2"/>
      <x:c r="R45" s="2"/>
    </x:row>
    <x:row r="46" ht="21" customHeight="1">
      <x:c r="B46" s="1"/>
      <x:c r="C46" s="2"/>
      <x:c r="D46" s="2"/>
      <x:c r="E46" s="2"/>
      <x:c r="F46" s="2"/>
      <x:c r="G46" s="2"/>
      <x:c r="H46" s="2"/>
      <x:c r="I46" s="2"/>
      <x:c r="J46" s="2"/>
      <x:c r="K46" s="2"/>
      <x:c r="L46" s="2"/>
      <x:c r="M46" s="2"/>
      <x:c r="N46" s="2"/>
      <x:c r="O46" s="2"/>
      <x:c r="P46" s="2"/>
      <x:c r="Q46" s="2"/>
      <x:c r="R46" s="2"/>
    </x:row>
    <x:row r="47" ht="21" customHeight="1">
      <x:c r="B47" s="1"/>
      <x:c r="C47" s="2"/>
      <x:c r="D47" s="2"/>
      <x:c r="E47" s="2"/>
      <x:c r="F47" s="2"/>
      <x:c r="G47" s="2"/>
      <x:c r="H47" s="2"/>
      <x:c r="I47" s="2"/>
      <x:c r="J47" s="2"/>
      <x:c r="K47" s="2"/>
      <x:c r="L47" s="2"/>
      <x:c r="M47" s="2"/>
      <x:c r="N47" s="2"/>
      <x:c r="O47" s="2"/>
      <x:c r="P47" s="2"/>
      <x:c r="Q47" s="2"/>
      <x:c r="R47" s="2"/>
    </x:row>
    <x:row r="48" ht="21" customHeight="1">
      <x:c r="B48" s="1"/>
      <x:c r="C48" s="2"/>
      <x:c r="D48" s="2"/>
      <x:c r="E48" s="2"/>
      <x:c r="F48" s="2"/>
      <x:c r="G48" s="2"/>
      <x:c r="H48" s="2"/>
      <x:c r="I48" s="2"/>
      <x:c r="J48" s="2"/>
      <x:c r="K48" s="2"/>
      <x:c r="L48" s="2"/>
      <x:c r="M48" s="2"/>
      <x:c r="N48" s="2"/>
      <x:c r="O48" s="2"/>
      <x:c r="P48" s="2"/>
      <x:c r="Q48" s="2"/>
      <x:c r="R48" s="2"/>
    </x:row>
    <x:row r="49" ht="21" customHeight="1">
      <x:c r="B49" s="1"/>
      <x:c r="C49" s="2"/>
      <x:c r="D49" s="2"/>
      <x:c r="E49" s="2"/>
      <x:c r="F49" s="2"/>
      <x:c r="G49" s="2"/>
      <x:c r="H49" s="2"/>
      <x:c r="I49" s="2"/>
      <x:c r="J49" s="2"/>
      <x:c r="K49" s="2"/>
      <x:c r="L49" s="2"/>
      <x:c r="M49" s="2"/>
      <x:c r="N49" s="2"/>
      <x:c r="O49" s="2"/>
      <x:c r="P49" s="2"/>
      <x:c r="Q49" s="2"/>
      <x:c r="R49" s="2"/>
    </x:row>
    <x:row r="50" ht="21" customHeight="1">
      <x:c r="B50" s="1"/>
      <x:c r="C50" s="2"/>
      <x:c r="D50" s="2"/>
      <x:c r="E50" s="2"/>
      <x:c r="F50" s="2"/>
      <x:c r="G50" s="2"/>
      <x:c r="H50" s="2"/>
      <x:c r="I50" s="2"/>
      <x:c r="J50" s="2"/>
      <x:c r="K50" s="2"/>
      <x:c r="L50" s="2"/>
      <x:c r="M50" s="2"/>
      <x:c r="N50" s="2"/>
      <x:c r="O50" s="2"/>
      <x:c r="P50" s="2"/>
      <x:c r="Q50" s="2"/>
      <x:c r="R50" s="2"/>
    </x:row>
    <x:row r="51" ht="21" customHeight="1">
      <x:c r="B51" s="1"/>
      <x:c r="C51" s="2"/>
      <x:c r="D51" s="2"/>
      <x:c r="E51" s="2"/>
      <x:c r="F51" s="2"/>
      <x:c r="G51" s="2"/>
      <x:c r="H51" s="2"/>
      <x:c r="I51" s="2"/>
      <x:c r="J51" s="2"/>
      <x:c r="K51" s="2"/>
      <x:c r="L51" s="2"/>
      <x:c r="M51" s="2"/>
      <x:c r="N51" s="2"/>
      <x:c r="O51" s="2"/>
      <x:c r="P51" s="2"/>
      <x:c r="Q51" s="2"/>
      <x:c r="R51" s="2"/>
    </x:row>
    <x:row r="52" ht="21" customHeight="1">
      <x:c r="B52" s="1"/>
      <x:c r="C52" s="2"/>
      <x:c r="D52" s="2"/>
      <x:c r="E52" s="2"/>
      <x:c r="F52" s="2"/>
      <x:c r="G52" s="2"/>
      <x:c r="H52" s="2"/>
      <x:c r="I52" s="2"/>
      <x:c r="J52" s="2"/>
      <x:c r="K52" s="2"/>
      <x:c r="L52" s="2"/>
      <x:c r="M52" s="2"/>
      <x:c r="N52" s="2"/>
      <x:c r="O52" s="2"/>
      <x:c r="P52" s="2"/>
      <x:c r="Q52" s="2"/>
      <x:c r="R52" s="2"/>
    </x:row>
    <x:row r="53" ht="21" customHeight="1">
      <x:c r="B53" s="1"/>
      <x:c r="C53" s="2"/>
      <x:c r="D53" s="2"/>
      <x:c r="E53" s="2"/>
      <x:c r="F53" s="2"/>
      <x:c r="G53" s="2"/>
      <x:c r="H53" s="2"/>
      <x:c r="I53" s="2"/>
      <x:c r="J53" s="2"/>
      <x:c r="K53" s="2"/>
      <x:c r="L53" s="2"/>
      <x:c r="M53" s="2"/>
      <x:c r="N53" s="2"/>
      <x:c r="O53" s="2"/>
      <x:c r="P53" s="2"/>
      <x:c r="Q53" s="2"/>
      <x:c r="R53" s="2"/>
    </x:row>
    <x:row r="54" ht="21" customHeight="1">
      <x:c r="B54" s="1"/>
      <x:c r="C54" s="2"/>
      <x:c r="D54" s="2"/>
      <x:c r="E54" s="2"/>
      <x:c r="F54" s="2"/>
      <x:c r="G54" s="2"/>
      <x:c r="H54" s="2"/>
      <x:c r="I54" s="2"/>
      <x:c r="J54" s="2"/>
      <x:c r="K54" s="2"/>
      <x:c r="L54" s="2"/>
      <x:c r="M54" s="2"/>
      <x:c r="N54" s="2"/>
      <x:c r="O54" s="2"/>
      <x:c r="P54" s="2"/>
      <x:c r="Q54" s="2"/>
      <x:c r="R54" s="2"/>
    </x:row>
    <x:row r="55" ht="21" customHeight="1">
      <x:c r="B55" s="1"/>
      <x:c r="C55" s="2"/>
      <x:c r="D55" s="2"/>
      <x:c r="E55" s="2"/>
      <x:c r="F55" s="2"/>
      <x:c r="G55" s="2"/>
      <x:c r="H55" s="2"/>
      <x:c r="I55" s="2"/>
      <x:c r="J55" s="2"/>
      <x:c r="K55" s="2"/>
      <x:c r="L55" s="2"/>
      <x:c r="M55" s="2"/>
      <x:c r="N55" s="2"/>
      <x:c r="O55" s="2"/>
      <x:c r="P55" s="2"/>
      <x:c r="Q55" s="2"/>
      <x:c r="R55" s="2"/>
    </x:row>
    <x:row r="56" ht="21" customHeight="1">
      <x:c r="B56" s="1"/>
      <x:c r="C56" s="2"/>
      <x:c r="D56" s="2"/>
      <x:c r="E56" s="2"/>
      <x:c r="F56" s="2"/>
      <x:c r="G56" s="2"/>
      <x:c r="H56" s="2"/>
      <x:c r="I56" s="2"/>
      <x:c r="J56" s="2"/>
      <x:c r="K56" s="2"/>
      <x:c r="L56" s="2"/>
      <x:c r="M56" s="2"/>
      <x:c r="N56" s="2"/>
      <x:c r="O56" s="2"/>
      <x:c r="P56" s="2"/>
      <x:c r="Q56" s="2"/>
      <x:c r="R56" s="2"/>
    </x:row>
    <x:row r="57" ht="21" customHeight="1">
      <x:c r="B57" s="1"/>
      <x:c r="C57" s="2"/>
      <x:c r="D57" s="2"/>
      <x:c r="E57" s="2"/>
      <x:c r="F57" s="2"/>
      <x:c r="G57" s="2"/>
      <x:c r="H57" s="2"/>
      <x:c r="I57" s="2"/>
      <x:c r="J57" s="2"/>
      <x:c r="K57" s="2"/>
      <x:c r="L57" s="2"/>
      <x:c r="M57" s="2"/>
      <x:c r="N57" s="2"/>
      <x:c r="O57" s="2"/>
      <x:c r="P57" s="2"/>
      <x:c r="Q57" s="2"/>
      <x:c r="R57" s="2"/>
    </x:row>
    <x:row r="58" ht="21" customHeight="1">
      <x:c r="B58" s="1"/>
      <x:c r="C58" s="2"/>
      <x:c r="D58" s="2"/>
      <x:c r="E58" s="2"/>
      <x:c r="F58" s="2"/>
      <x:c r="G58" s="2"/>
      <x:c r="H58" s="2"/>
      <x:c r="I58" s="2"/>
      <x:c r="J58" s="2"/>
      <x:c r="K58" s="2"/>
      <x:c r="L58" s="2"/>
      <x:c r="M58" s="2"/>
      <x:c r="N58" s="2"/>
      <x:c r="O58" s="2"/>
      <x:c r="P58" s="2"/>
      <x:c r="Q58" s="2"/>
      <x:c r="R58" s="2"/>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2" max="2" width="41" hidden="0" customWidth="1"/>
    <x:col min="3" max="3" width="15" hidden="0" customWidth="1"/>
    <x:col min="4" max="4" width="15" hidden="0" customWidth="1"/>
    <x:col min="5" max="5" width="15" hidden="0" customWidth="1"/>
    <x:col min="6" max="6" width="15" hidden="0" customWidth="1"/>
    <x:col min="7" max="7" width="80"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2" ht="21" customHeight="1">
      <x:c r="B2" s="3" t="str">
        <x:v>Evidence behind demand drivers</x:v>
      </x:c>
      <x:c r="C2" s="2"/>
      <x:c r="D2" s="2"/>
      <x:c r="E2" s="2"/>
      <x:c r="F2" s="2"/>
      <x:c r="G2" s="2"/>
      <x:c r="H2" s="2"/>
      <x:c r="I2" s="2"/>
      <x:c r="J2" s="2"/>
      <x:c r="K2" s="2"/>
      <x:c r="L2" s="2"/>
      <x:c r="M2" s="2"/>
      <x:c r="N2" s="2"/>
      <x:c r="O2" s="2"/>
      <x:c r="P2" s="2"/>
      <x:c r="Q2" s="2"/>
      <x:c r="R2" s="2"/>
    </x:row>
    <x:row r="3" ht="21" customHeight="1">
      <x:c r="B3" s="4"/>
      <x:c r="C3" s="5"/>
      <x:c r="D3" s="5"/>
      <x:c r="E3" s="5"/>
      <x:c r="F3" s="5"/>
      <x:c r="G3" s="5"/>
      <x:c r="H3" s="5"/>
      <x:c r="I3" s="2"/>
      <x:c r="J3" s="2"/>
      <x:c r="K3" s="2"/>
      <x:c r="L3" s="2"/>
      <x:c r="M3" s="2"/>
      <x:c r="N3" s="2"/>
      <x:c r="O3" s="2"/>
      <x:c r="P3" s="2"/>
      <x:c r="Q3" s="2"/>
      <x:c r="R3" s="2"/>
    </x:row>
    <x:row r="4" ht="21" customHeight="1">
      <x:c r="B4" s="6" t="str">
        <x:v>Domestic sales vintages in millions; cells in yellow are explicit analyst calibration assumptions.</x:v>
      </x:c>
      <x:c r="C4" s="7"/>
      <x:c r="D4" s="7"/>
      <x:c r="E4" s="7"/>
      <x:c r="F4" s="7"/>
      <x:c r="G4" s="7"/>
      <x:c r="H4" s="7"/>
      <x:c r="I4" s="2"/>
      <x:c r="J4" s="2"/>
      <x:c r="K4" s="2"/>
      <x:c r="L4" s="2"/>
      <x:c r="M4" s="2"/>
      <x:c r="N4" s="2"/>
      <x:c r="O4" s="2"/>
      <x:c r="P4" s="2"/>
      <x:c r="Q4" s="2"/>
      <x:c r="R4" s="2"/>
    </x:row>
    <x:row r="5" ht="21" customHeight="1">
      <x:c r="B5" s="1"/>
      <x:c r="C5" s="2"/>
      <x:c r="D5" s="2"/>
      <x:c r="E5" s="2"/>
      <x:c r="F5" s="2"/>
      <x:c r="G5" s="2"/>
      <x:c r="H5" s="2"/>
      <x:c r="I5" s="2"/>
      <x:c r="J5" s="2"/>
      <x:c r="K5" s="2"/>
      <x:c r="L5" s="2"/>
      <x:c r="M5" s="2"/>
      <x:c r="N5" s="2"/>
      <x:c r="O5" s="2"/>
      <x:c r="P5" s="2"/>
      <x:c r="Q5" s="2"/>
      <x:c r="R5" s="2"/>
    </x:row>
    <x:row r="6" ht="21" customHeight="1">
      <x:c r="B6" s="1"/>
      <x:c r="C6" s="2"/>
      <x:c r="D6" s="2"/>
      <x:c r="E6" s="2"/>
      <x:c r="F6" s="2"/>
      <x:c r="G6" s="2"/>
      <x:c r="H6" s="2"/>
      <x:c r="I6" s="2"/>
      <x:c r="J6" s="2"/>
      <x:c r="K6" s="2"/>
      <x:c r="L6" s="2"/>
      <x:c r="M6" s="2"/>
      <x:c r="N6" s="2"/>
      <x:c r="O6" s="2"/>
      <x:c r="P6" s="2"/>
      <x:c r="Q6" s="2"/>
      <x:c r="R6" s="2"/>
    </x:row>
    <x:row r="7" ht="21" customHeight="1">
      <x:c r="B7" s="10" t="str">
        <x:v>SIAM domestic sales vintages</x:v>
      </x:c>
      <x:c r="C7" s="11"/>
      <x:c r="D7" s="11"/>
      <x:c r="E7" s="11"/>
      <x:c r="F7" s="11"/>
      <x:c r="G7" s="2"/>
      <x:c r="H7" s="2"/>
      <x:c r="I7" s="2"/>
      <x:c r="J7" s="2"/>
      <x:c r="K7" s="2"/>
      <x:c r="L7" s="2"/>
      <x:c r="M7" s="2"/>
      <x:c r="N7" s="2"/>
      <x:c r="O7" s="2"/>
      <x:c r="P7" s="2"/>
      <x:c r="Q7" s="2"/>
      <x:c r="R7" s="2"/>
    </x:row>
    <x:row r="8" ht="21" customHeight="1">
      <x:c r="B8" s="1" t="str">
        <x:v>Fiscal year</x:v>
      </x:c>
      <x:c r="C8" s="2" t="str">
        <x:v>Motorcycles</x:v>
      </x:c>
      <x:c r="D8" s="2" t="str">
        <x:v>Scooters</x:v>
      </x:c>
      <x:c r="E8" s="2" t="str">
        <x:v>Mopeds</x:v>
      </x:c>
      <x:c r="F8" s="2"/>
      <x:c r="G8" s="2"/>
      <x:c r="H8" s="2"/>
      <x:c r="I8" s="2"/>
      <x:c r="J8" s="2"/>
      <x:c r="K8" s="2"/>
      <x:c r="L8" s="2"/>
      <x:c r="M8" s="2"/>
      <x:c r="N8" s="2"/>
      <x:c r="O8" s="2"/>
      <x:c r="P8" s="2"/>
      <x:c r="Q8" s="2"/>
      <x:c r="R8" s="2"/>
    </x:row>
    <x:row r="9" ht="21" customHeight="1">
      <x:c r="B9" s="1" t="n">
        <x:v>2016</x:v>
      </x:c>
      <x:c r="C9" s="12" t="n">
        <x:v>10.700406</x:v>
      </x:c>
      <x:c r="D9" s="12" t="n">
        <x:v>5.031678</x:v>
      </x:c>
      <x:c r="E9" s="12" t="n">
        <x:v>0.723767</x:v>
      </x:c>
      <x:c r="F9" s="2"/>
      <x:c r="G9" s="2" t="str">
        <x:v>SIAM Annual Report 2020–21, domestic sales table</x:v>
      </x:c>
      <x:c r="H9" s="2"/>
      <x:c r="I9" s="2"/>
      <x:c r="J9" s="2"/>
      <x:c r="K9" s="2"/>
      <x:c r="L9" s="2"/>
      <x:c r="M9" s="2"/>
      <x:c r="N9" s="2"/>
      <x:c r="O9" s="2"/>
      <x:c r="P9" s="2"/>
      <x:c r="Q9" s="2"/>
      <x:c r="R9" s="2"/>
    </x:row>
    <x:row r="10" ht="21" customHeight="1">
      <x:c r="B10" s="1" t="n">
        <x:v>2017</x:v>
      </x:c>
      <x:c r="C10" s="12" t="n">
        <x:v>11.094547</x:v>
      </x:c>
      <x:c r="D10" s="12" t="n">
        <x:v>5.604673</x:v>
      </x:c>
      <x:c r="E10" s="12" t="n">
        <x:v>0.890518</x:v>
      </x:c>
      <x:c r="F10" s="2"/>
      <x:c r="G10" s="2" t="str">
        <x:v>https://www.siam.in/uploads/Know/AnnualReport/23-2020-2021.pdf</x:v>
      </x:c>
      <x:c r="H10" s="2"/>
      <x:c r="I10" s="2"/>
      <x:c r="J10" s="2"/>
      <x:c r="K10" s="2"/>
      <x:c r="L10" s="2"/>
      <x:c r="M10" s="2"/>
      <x:c r="N10" s="2"/>
      <x:c r="O10" s="2"/>
      <x:c r="P10" s="2"/>
      <x:c r="Q10" s="2"/>
      <x:c r="R10" s="2"/>
    </x:row>
    <x:row r="11" ht="21" customHeight="1">
      <x:c r="B11" s="1" t="n">
        <x:v>2018</x:v>
      </x:c>
      <x:c r="C11" s="12" t="n">
        <x:v>12.62069</x:v>
      </x:c>
      <x:c r="D11" s="12" t="n">
        <x:v>6.719909</x:v>
      </x:c>
      <x:c r="E11" s="12" t="n">
        <x:v>0.859518</x:v>
      </x:c>
      <x:c r="F11" s="2"/>
      <x:c r="G11" s="2" t="str">
        <x:v>SIAM Annual Report 2023–24, domestic sales table</x:v>
      </x:c>
      <x:c r="H11" s="2"/>
      <x:c r="I11" s="2"/>
      <x:c r="J11" s="2"/>
      <x:c r="K11" s="2"/>
      <x:c r="L11" s="2"/>
      <x:c r="M11" s="2"/>
      <x:c r="N11" s="2"/>
      <x:c r="O11" s="2"/>
      <x:c r="P11" s="2"/>
      <x:c r="Q11" s="2"/>
      <x:c r="R11" s="2"/>
    </x:row>
    <x:row r="12" ht="21" customHeight="1">
      <x:c r="B12" s="1" t="n">
        <x:v>2019</x:v>
      </x:c>
      <x:c r="C12" s="12" t="n">
        <x:v>13.59819</x:v>
      </x:c>
      <x:c r="D12" s="12" t="n">
        <x:v>6.70143</x:v>
      </x:c>
      <x:c r="E12" s="12" t="n">
        <x:v>0.880227</x:v>
      </x:c>
      <x:c r="F12" s="2"/>
      <x:c r="G12" s="2" t="str">
        <x:v>https://www.siam.in/uploads/filemanager/SIAMAnnualReport2023-24.pdf</x:v>
      </x:c>
      <x:c r="H12" s="2"/>
      <x:c r="I12" s="2"/>
      <x:c r="J12" s="2"/>
      <x:c r="K12" s="2"/>
      <x:c r="L12" s="2"/>
      <x:c r="M12" s="2"/>
      <x:c r="N12" s="2"/>
      <x:c r="O12" s="2"/>
      <x:c r="P12" s="2"/>
      <x:c r="Q12" s="2"/>
      <x:c r="R12" s="2"/>
    </x:row>
    <x:row r="13" ht="21" customHeight="1">
      <x:c r="B13" s="1" t="n">
        <x:v>2020</x:v>
      </x:c>
      <x:c r="C13" s="12" t="n">
        <x:v>11.213662</x:v>
      </x:c>
      <x:c r="D13" s="12" t="n">
        <x:v>5.565958</x:v>
      </x:c>
      <x:c r="E13" s="12" t="n">
        <x:v>0.636812</x:v>
      </x:c>
      <x:c r="F13" s="2"/>
      <x:c r="G13" s="2" t="str">
        <x:v>FY16 SIAM domestic sales in FY17 cumulative report</x:v>
      </x:c>
      <x:c r="H13" s="2"/>
      <x:c r="I13" s="2"/>
      <x:c r="J13" s="2"/>
      <x:c r="K13" s="2"/>
      <x:c r="L13" s="2"/>
      <x:c r="M13" s="2"/>
      <x:c r="N13" s="2"/>
      <x:c r="O13" s="2"/>
      <x:c r="P13" s="2"/>
      <x:c r="Q13" s="2"/>
      <x:c r="R13" s="2"/>
    </x:row>
    <x:row r="14" ht="21" customHeight="1">
      <x:c r="B14" s="1" t="n">
        <x:v>2021</x:v>
      </x:c>
      <x:c r="C14" s="12" t="n">
        <x:v>10.021231</x:v>
      </x:c>
      <x:c r="D14" s="12" t="n">
        <x:v>4.482305</x:v>
      </x:c>
      <x:c r="E14" s="12" t="n">
        <x:v>0.617247</x:v>
      </x:c>
      <x:c r="F14" s="2"/>
      <x:c r="G14" s="2" t="str">
        <x:v>https://www.siam.in/knowledge/annual-reports</x:v>
      </x:c>
      <x:c r="H14" s="2"/>
      <x:c r="I14" s="2"/>
      <x:c r="J14" s="2"/>
      <x:c r="K14" s="2"/>
      <x:c r="L14" s="2"/>
      <x:c r="M14" s="2"/>
      <x:c r="N14" s="2"/>
      <x:c r="O14" s="2"/>
      <x:c r="P14" s="2"/>
      <x:c r="Q14" s="2"/>
      <x:c r="R14" s="2"/>
    </x:row>
    <x:row r="15" ht="21" customHeight="1">
      <x:c r="B15" s="1" t="n">
        <x:v>2022</x:v>
      </x:c>
      <x:c r="C15" s="12" t="n">
        <x:v>8.984186</x:v>
      </x:c>
      <x:c r="D15" s="12" t="n">
        <x:v>4.112672</x:v>
      </x:c>
      <x:c r="E15" s="12" t="n">
        <x:v>0.47315</x:v>
      </x:c>
      <x:c r="F15" s="2"/>
      <x:c r="G15" s="2"/>
      <x:c r="H15" s="2"/>
      <x:c r="I15" s="2"/>
      <x:c r="J15" s="2"/>
      <x:c r="K15" s="2"/>
      <x:c r="L15" s="2"/>
      <x:c r="M15" s="2"/>
      <x:c r="N15" s="2"/>
      <x:c r="O15" s="2"/>
      <x:c r="P15" s="2"/>
      <x:c r="Q15" s="2"/>
      <x:c r="R15" s="2"/>
    </x:row>
    <x:row r="16" ht="21" customHeight="1">
      <x:c r="B16" s="1"/>
      <x:c r="C16" s="2"/>
      <x:c r="D16" s="2"/>
      <x:c r="E16" s="2"/>
      <x:c r="F16" s="2"/>
      <x:c r="G16" s="2"/>
      <x:c r="H16" s="2"/>
      <x:c r="I16" s="2"/>
      <x:c r="J16" s="2"/>
      <x:c r="K16" s="2"/>
      <x:c r="L16" s="2"/>
      <x:c r="M16" s="2"/>
      <x:c r="N16" s="2"/>
      <x:c r="O16" s="2"/>
      <x:c r="P16" s="2"/>
      <x:c r="Q16" s="2"/>
      <x:c r="R16" s="2"/>
    </x:row>
    <x:row r="17" ht="21" customHeight="1">
      <x:c r="B17" s="10" t="str">
        <x:v>Replacement opportunity from past sales</x:v>
      </x:c>
      <x:c r="C17" s="11"/>
      <x:c r="D17" s="11"/>
      <x:c r="E17" s="11"/>
      <x:c r="F17" s="11"/>
      <x:c r="G17" s="2"/>
      <x:c r="H17" s="2"/>
      <x:c r="I17" s="2"/>
      <x:c r="J17" s="2"/>
      <x:c r="K17" s="2"/>
      <x:c r="L17" s="2"/>
      <x:c r="M17" s="2"/>
      <x:c r="N17" s="2"/>
      <x:c r="O17" s="2"/>
      <x:c r="P17" s="2"/>
      <x:c r="Q17" s="2"/>
      <x:c r="R17" s="2"/>
    </x:row>
    <x:row r="18" ht="21" customHeight="1">
      <x:c r="B18" s="1" t="str">
        <x:v>Age at potential replacement</x:v>
      </x:c>
      <x:c r="C18" s="2" t="str">
        <x:v>Weight</x:v>
      </x:c>
      <x:c r="D18" s="2"/>
      <x:c r="E18" s="2"/>
      <x:c r="F18" s="2"/>
      <x:c r="G18" s="2"/>
      <x:c r="H18" s="2"/>
      <x:c r="I18" s="2"/>
      <x:c r="J18" s="2"/>
      <x:c r="K18" s="2"/>
      <x:c r="L18" s="2"/>
      <x:c r="M18" s="2"/>
      <x:c r="N18" s="2"/>
      <x:c r="O18" s="2"/>
      <x:c r="P18" s="2"/>
      <x:c r="Q18" s="2"/>
      <x:c r="R18" s="2"/>
    </x:row>
    <x:row r="19" ht="21" customHeight="1">
      <x:c r="B19" s="1" t="n">
        <x:v>7</x:v>
      </x:c>
      <x:c r="C19" s="18" t="n">
        <x:v>0.25</x:v>
      </x:c>
      <x:c r="D19" s="2"/>
      <x:c r="E19" s="2"/>
      <x:c r="F19" s="2"/>
      <x:c r="G19" s="2" t="str">
        <x:v>Past sales are an opportunity proxy, not a measured surviving owner stock.</x:v>
      </x:c>
      <x:c r="H19" s="2"/>
      <x:c r="I19" s="2"/>
      <x:c r="J19" s="2"/>
      <x:c r="K19" s="2"/>
      <x:c r="L19" s="2"/>
      <x:c r="M19" s="2"/>
      <x:c r="N19" s="2"/>
      <x:c r="O19" s="2"/>
      <x:c r="P19" s="2"/>
      <x:c r="Q19" s="2"/>
      <x:c r="R19" s="2"/>
    </x:row>
    <x:row r="20" ht="21" customHeight="1">
      <x:c r="B20" s="1" t="n">
        <x:v>8</x:v>
      </x:c>
      <x:c r="C20" s="18" t="n">
        <x:v>0.25</x:v>
      </x:c>
      <x:c r="D20" s="2"/>
      <x:c r="E20" s="2"/>
      <x:c r="F20" s="2"/>
      <x:c r="G20" s="2" t="str">
        <x:v>Ages 7–10 and weights need dealer exchange / ownership validation.</x:v>
      </x:c>
      <x:c r="H20" s="2"/>
      <x:c r="I20" s="2"/>
      <x:c r="J20" s="2"/>
      <x:c r="K20" s="2"/>
      <x:c r="L20" s="2"/>
      <x:c r="M20" s="2"/>
      <x:c r="N20" s="2"/>
      <x:c r="O20" s="2"/>
      <x:c r="P20" s="2"/>
      <x:c r="Q20" s="2"/>
      <x:c r="R20" s="2"/>
    </x:row>
    <x:row r="21" ht="21" customHeight="1">
      <x:c r="B21" s="1" t="n">
        <x:v>9</x:v>
      </x:c>
      <x:c r="C21" s="18" t="n">
        <x:v>0.25</x:v>
      </x:c>
      <x:c r="D21" s="2"/>
      <x:c r="E21" s="2"/>
      <x:c r="F21" s="2"/>
      <x:c r="G21" s="2"/>
      <x:c r="H21" s="2"/>
      <x:c r="I21" s="2"/>
      <x:c r="J21" s="2"/>
      <x:c r="K21" s="2"/>
      <x:c r="L21" s="2"/>
      <x:c r="M21" s="2"/>
      <x:c r="N21" s="2"/>
      <x:c r="O21" s="2"/>
      <x:c r="P21" s="2"/>
      <x:c r="Q21" s="2"/>
      <x:c r="R21" s="2"/>
    </x:row>
    <x:row r="22" ht="21" customHeight="1">
      <x:c r="B22" s="1" t="n">
        <x:v>10</x:v>
      </x:c>
      <x:c r="C22" s="18" t="n">
        <x:v>0.25</x:v>
      </x:c>
      <x:c r="D22" s="2"/>
      <x:c r="E22" s="2"/>
      <x:c r="F22" s="2"/>
      <x:c r="G22" s="2"/>
      <x:c r="H22" s="2"/>
      <x:c r="I22" s="2"/>
      <x:c r="J22" s="2"/>
      <x:c r="K22" s="2"/>
      <x:c r="L22" s="2"/>
      <x:c r="M22" s="2"/>
      <x:c r="N22" s="2"/>
      <x:c r="O22" s="2"/>
      <x:c r="P22" s="2"/>
      <x:c r="Q22" s="2"/>
      <x:c r="R22" s="2"/>
    </x:row>
    <x:row r="23" ht="21" customHeight="1">
      <x:c r="B23" s="1" t="str">
        <x:v>Weight total</x:v>
      </x:c>
      <x:c r="C23" s="21" t="n">
        <x:f>SUM(C19:C22)</x:f>
        <x:v>1</x:v>
      </x:c>
      <x:c r="D23" s="2"/>
      <x:c r="E23" s="2"/>
      <x:c r="F23" s="2"/>
      <x:c r="G23" s="2" t="str">
        <x:v>Age weights must sum to 100%</x:v>
      </x:c>
      <x:c r="H23" s="2" t="str">
        <x:f>IF(ABS(C23-1)&lt;0.000001,"OK","CHECK WEIGHTS")</x:f>
        <x:v>OK</x:v>
      </x:c>
      <x:c r="I23" s="2"/>
      <x:c r="J23" s="2"/>
      <x:c r="K23" s="2"/>
      <x:c r="L23" s="2"/>
      <x:c r="M23" s="2"/>
      <x:c r="N23" s="2"/>
      <x:c r="O23" s="2"/>
      <x:c r="P23" s="2"/>
      <x:c r="Q23" s="2"/>
      <x:c r="R23" s="2"/>
    </x:row>
    <x:row r="24" ht="21" customHeight="1">
      <x:c r="B24" s="1"/>
      <x:c r="C24" s="2"/>
      <x:c r="D24" s="2"/>
      <x:c r="E24" s="2"/>
      <x:c r="F24" s="2"/>
      <x:c r="G24" s="2"/>
      <x:c r="H24" s="2"/>
      <x:c r="I24" s="2"/>
      <x:c r="J24" s="2"/>
      <x:c r="K24" s="2"/>
      <x:c r="L24" s="2"/>
      <x:c r="M24" s="2"/>
      <x:c r="N24" s="2"/>
      <x:c r="O24" s="2"/>
      <x:c r="P24" s="2"/>
      <x:c r="Q24" s="2"/>
      <x:c r="R24" s="2"/>
    </x:row>
    <x:row r="25" ht="21" customHeight="1">
      <x:c r="B25" s="1"/>
      <x:c r="C25" s="2" t="str">
        <x:v>FY26A</x:v>
      </x:c>
      <x:c r="D25" s="2" t="str">
        <x:v>FY27E</x:v>
      </x:c>
      <x:c r="E25" s="2" t="str">
        <x:v>FY28E</x:v>
      </x:c>
      <x:c r="F25" s="2" t="str">
        <x:v>FY29E</x:v>
      </x:c>
      <x:c r="G25" s="2"/>
      <x:c r="H25" s="2"/>
      <x:c r="I25" s="2"/>
      <x:c r="J25" s="2"/>
      <x:c r="K25" s="2"/>
      <x:c r="L25" s="2"/>
      <x:c r="M25" s="2"/>
      <x:c r="N25" s="2"/>
      <x:c r="O25" s="2"/>
      <x:c r="P25" s="2"/>
      <x:c r="Q25" s="2"/>
      <x:c r="R25" s="2"/>
    </x:row>
    <x:row r="26" ht="21" customHeight="1">
      <x:c r="B26" s="1" t="str">
        <x:v>Motorcycle vintage opportunity</x:v>
      </x:c>
      <x:c r="C26" s="12" t="n">
        <x:f>C12*$C$19+C11*$C$20+C10*$C$21+C9*$C$22</x:f>
        <x:v>12.00345825</x:v>
      </x:c>
      <x:c r="D26" s="12" t="n">
        <x:f>C13*$C$19+C12*$C$20+C11*$C$21+C10*$C$22</x:f>
        <x:v>12.13177225</x:v>
      </x:c>
      <x:c r="E26" s="12" t="n">
        <x:f>C14*$C$19+C13*$C$20+C12*$C$21+C11*$C$22</x:f>
        <x:v>11.86344325</x:v>
      </x:c>
      <x:c r="F26" s="12" t="n">
        <x:f>C15*$C$19+C14*$C$20+C13*$C$21+C12*$C$22</x:f>
        <x:v>10.95431725</x:v>
      </x:c>
      <x:c r="G26" s="2"/>
      <x:c r="H26" s="2"/>
      <x:c r="I26" s="2"/>
      <x:c r="J26" s="2"/>
      <x:c r="K26" s="2"/>
      <x:c r="L26" s="2"/>
      <x:c r="M26" s="2"/>
      <x:c r="N26" s="2"/>
      <x:c r="O26" s="2"/>
      <x:c r="P26" s="2"/>
      <x:c r="Q26" s="2"/>
      <x:c r="R26" s="2"/>
    </x:row>
    <x:row r="27" ht="21" customHeight="1">
      <x:c r="B27" s="1" t="str">
        <x:v>Scooter vintage opportunity</x:v>
      </x:c>
      <x:c r="C27" s="12" t="n">
        <x:f>D12*$C$19+D11*$C$20+D10*$C$21+D9*$C$22</x:f>
        <x:v>6.0144225</x:v>
      </x:c>
      <x:c r="D27" s="12" t="n">
        <x:f>D13*$C$19+D12*$C$20+D11*$C$21+D10*$C$22</x:f>
        <x:v>6.147992500000001</x:v>
      </x:c>
      <x:c r="E27" s="12" t="n">
        <x:f>D14*$C$19+D13*$C$20+D12*$C$21+D11*$C$22</x:f>
        <x:v>5.8674005000000005</x:v>
      </x:c>
      <x:c r="F27" s="12" t="n">
        <x:f>D15*$C$19+D14*$C$20+D13*$C$21+D12*$C$22</x:f>
        <x:v>5.21559125</x:v>
      </x:c>
      <x:c r="G27" s="2"/>
      <x:c r="H27" s="2"/>
      <x:c r="I27" s="2"/>
      <x:c r="J27" s="2"/>
      <x:c r="K27" s="2"/>
      <x:c r="L27" s="2"/>
      <x:c r="M27" s="2"/>
      <x:c r="N27" s="2"/>
      <x:c r="O27" s="2"/>
      <x:c r="P27" s="2"/>
      <x:c r="Q27" s="2"/>
      <x:c r="R27" s="2"/>
    </x:row>
    <x:row r="28" ht="21" customHeight="1">
      <x:c r="B28" s="1" t="str">
        <x:v>Moped vintage opportunity</x:v>
      </x:c>
      <x:c r="C28" s="12" t="n">
        <x:f>E12*$C$19+E11*$C$20+E10*$C$21+E9*$C$22</x:f>
        <x:v>0.8385075000000001</x:v>
      </x:c>
      <x:c r="D28" s="12" t="n">
        <x:f>E13*$C$19+E12*$C$20+E11*$C$21+E10*$C$22</x:f>
        <x:v>0.81676875</x:v>
      </x:c>
      <x:c r="E28" s="12" t="n">
        <x:f>E14*$C$19+E13*$C$20+E12*$C$21+E11*$C$22</x:f>
        <x:v>0.748451</x:v>
      </x:c>
      <x:c r="F28" s="12" t="n">
        <x:f>E15*$C$19+E14*$C$20+E13*$C$21+E12*$C$22</x:f>
        <x:v>0.6518590000000001</x:v>
      </x:c>
      <x:c r="G28" s="2"/>
      <x:c r="H28" s="2"/>
      <x:c r="I28" s="2"/>
      <x:c r="J28" s="2"/>
      <x:c r="K28" s="2"/>
      <x:c r="L28" s="2"/>
      <x:c r="M28" s="2"/>
      <x:c r="N28" s="2"/>
      <x:c r="O28" s="2"/>
      <x:c r="P28" s="2"/>
      <x:c r="Q28" s="2"/>
      <x:c r="R28" s="2"/>
    </x:row>
    <x:row r="29" ht="21" customHeight="1">
      <x:c r="B29" s="1"/>
      <x:c r="C29" s="2"/>
      <x:c r="D29" s="2"/>
      <x:c r="E29" s="2"/>
      <x:c r="F29" s="2"/>
      <x:c r="G29" s="2"/>
      <x:c r="H29" s="2"/>
      <x:c r="I29" s="2"/>
      <x:c r="J29" s="2"/>
      <x:c r="K29" s="2"/>
      <x:c r="L29" s="2"/>
      <x:c r="M29" s="2"/>
      <x:c r="N29" s="2"/>
      <x:c r="O29" s="2"/>
      <x:c r="P29" s="2"/>
      <x:c r="Q29" s="2"/>
      <x:c r="R29" s="2"/>
    </x:row>
    <x:row r="30" ht="21" customHeight="1">
      <x:c r="B30" s="1" t="str">
        <x:v>Motorcycle opportunity growth</x:v>
      </x:c>
      <x:c r="C30" s="2"/>
      <x:c r="D30" s="21" t="n">
        <x:f>D26/C26-1</x:f>
        <x:v>0.010689752680232756</x:v>
      </x:c>
      <x:c r="E30" s="21" t="n">
        <x:f>E26/D26-1</x:f>
        <x:v>-0.02211787317388847</x:v>
      </x:c>
      <x:c r="F30" s="21" t="n">
        <x:f>F26/E26-1</x:f>
        <x:v>-0.07663255775257316</x:v>
      </x:c>
      <x:c r="G30" s="2"/>
      <x:c r="H30" s="2"/>
      <x:c r="I30" s="2"/>
      <x:c r="J30" s="2"/>
      <x:c r="K30" s="2"/>
      <x:c r="L30" s="2"/>
      <x:c r="M30" s="2"/>
      <x:c r="N30" s="2"/>
      <x:c r="O30" s="2"/>
      <x:c r="P30" s="2"/>
      <x:c r="Q30" s="2"/>
      <x:c r="R30" s="2"/>
    </x:row>
    <x:row r="31" ht="21" customHeight="1">
      <x:c r="B31" s="1" t="str">
        <x:v>Scooter opportunity growth</x:v>
      </x:c>
      <x:c r="C31" s="2"/>
      <x:c r="D31" s="21" t="n">
        <x:f>D27/C27-1</x:f>
        <x:v>0.022208283505191106</x:v>
      </x:c>
      <x:c r="E31" s="21" t="n">
        <x:f>E27/D27-1</x:f>
        <x:v>-0.04563961325587185</x:v>
      </x:c>
      <x:c r="F31" s="21" t="n">
        <x:f>F27/E27-1</x:f>
        <x:v>-0.11108995371970953</x:v>
      </x:c>
      <x:c r="G31" s="2"/>
      <x:c r="H31" s="2"/>
      <x:c r="I31" s="2"/>
      <x:c r="J31" s="2"/>
      <x:c r="K31" s="2"/>
      <x:c r="L31" s="2"/>
      <x:c r="M31" s="2"/>
      <x:c r="N31" s="2"/>
      <x:c r="O31" s="2"/>
      <x:c r="P31" s="2"/>
      <x:c r="Q31" s="2"/>
      <x:c r="R31" s="2"/>
    </x:row>
    <x:row r="32" ht="21" customHeight="1">
      <x:c r="B32" s="1" t="str">
        <x:v>Moped opportunity growth</x:v>
      </x:c>
      <x:c r="C32" s="2"/>
      <x:c r="D32" s="21" t="n">
        <x:f>D28/C28-1</x:f>
        <x:v>-0.02592552839420048</x:v>
      </x:c>
      <x:c r="E32" s="21" t="n">
        <x:f>E28/D28-1</x:f>
        <x:v>-0.08364393226356914</x:v>
      </x:c>
      <x:c r="F32" s="21" t="n">
        <x:f>F28/E28-1</x:f>
        <x:v>-0.12905587673742158</x:v>
      </x:c>
      <x:c r="G32" s="2"/>
      <x:c r="H32" s="2"/>
      <x:c r="I32" s="2"/>
      <x:c r="J32" s="2"/>
      <x:c r="K32" s="2"/>
      <x:c r="L32" s="2"/>
      <x:c r="M32" s="2"/>
      <x:c r="N32" s="2"/>
      <x:c r="O32" s="2"/>
      <x:c r="P32" s="2"/>
      <x:c r="Q32" s="2"/>
      <x:c r="R32" s="2"/>
    </x:row>
    <x:row r="33" ht="21" customHeight="1">
      <x:c r="B33" s="1"/>
      <x:c r="C33" s="2"/>
      <x:c r="D33" s="2"/>
      <x:c r="E33" s="2"/>
      <x:c r="F33" s="2"/>
      <x:c r="G33" s="2"/>
      <x:c r="H33" s="2"/>
      <x:c r="I33" s="2"/>
      <x:c r="J33" s="2"/>
      <x:c r="K33" s="2"/>
      <x:c r="L33" s="2"/>
      <x:c r="M33" s="2"/>
      <x:c r="N33" s="2"/>
      <x:c r="O33" s="2"/>
      <x:c r="P33" s="2"/>
      <x:c r="Q33" s="2"/>
      <x:c r="R33" s="2"/>
    </x:row>
    <x:row r="34" ht="21" customHeight="1">
      <x:c r="B34" s="1" t="str">
        <x:v>Share of observed scooter mix trend retained</x:v>
      </x:c>
      <x:c r="C34" s="18" t="n">
        <x:v>0.5</x:v>
      </x:c>
      <x:c r="D34" s="2"/>
      <x:c r="E34" s="2"/>
      <x:c r="F34" s="2"/>
      <x:c r="G34" s="2"/>
      <x:c r="H34" s="2"/>
      <x:c r="I34" s="2"/>
      <x:c r="J34" s="2"/>
      <x:c r="K34" s="2"/>
      <x:c r="L34" s="2"/>
      <x:c r="M34" s="2"/>
      <x:c r="N34" s="2"/>
      <x:c r="O34" s="2"/>
      <x:c r="P34" s="2"/>
      <x:c r="Q34" s="2"/>
      <x:c r="R34" s="2"/>
    </x:row>
    <x:row r="35" ht="21" customHeight="1">
      <x:c r="B35" s="10" t="str">
        <x:v>New-buyer pool and category mix</x:v>
      </x:c>
      <x:c r="C35" s="11"/>
      <x:c r="D35" s="11"/>
      <x:c r="E35" s="11"/>
      <x:c r="F35" s="11"/>
      <x:c r="G35" s="2"/>
      <x:c r="H35" s="2"/>
      <x:c r="I35" s="2"/>
      <x:c r="J35" s="2"/>
      <x:c r="K35" s="2"/>
      <x:c r="L35" s="2"/>
      <x:c r="M35" s="2"/>
      <x:c r="N35" s="2"/>
      <x:c r="O35" s="2"/>
      <x:c r="P35" s="2"/>
      <x:c r="Q35" s="2"/>
      <x:c r="R35" s="2"/>
    </x:row>
    <x:row r="36" ht="21" customHeight="1">
      <x:c r="B36" s="1" t="str">
        <x:v>Annual new-household growth proxy</x:v>
      </x:c>
      <x:c r="C36" s="2"/>
      <x:c r="D36" s="18" t="n">
        <x:v>0.01</x:v>
      </x:c>
      <x:c r="E36" s="18" t="n">
        <x:v>0.01</x:v>
      </x:c>
      <x:c r="F36" s="18" t="n">
        <x:v>0.01</x:v>
      </x:c>
      <x:c r="G36" s="2" t="str">
        <x:v>1% household formation is an illustrative demographic proxy; replace with comparable household estimates.</x:v>
      </x:c>
      <x:c r="H36" s="2"/>
      <x:c r="I36" s="2"/>
      <x:c r="J36" s="2"/>
      <x:c r="K36" s="2"/>
      <x:c r="L36" s="2"/>
      <x:c r="M36" s="2"/>
      <x:c r="N36" s="2"/>
      <x:c r="O36" s="2"/>
      <x:c r="P36" s="2"/>
      <x:c r="Q36" s="2"/>
      <x:c r="R36" s="2"/>
    </x:row>
    <x:row r="37" ht="21" customHeight="1">
      <x:c r="B37" s="1" t="str">
        <x:v>Prior scooter share of motorcycle+scooter</x:v>
      </x:c>
      <x:c r="C37" s="2"/>
      <x:c r="D37" s="21" t="n">
        <x:f>Actuals!E9/(Actuals!E8+Actuals!E9)</x:f>
        <x:v>0.3832340527903528</x:v>
      </x:c>
      <x:c r="E37" s="21" t="n">
        <x:f>D39</x:f>
        <x:v>0.39558816691249393</x:v>
      </x:c>
      <x:c r="F37" s="21" t="n">
        <x:f>E39</x:f>
        <x:v>0.4079422810346351</x:v>
      </x:c>
      <x:c r="G37" s="2"/>
      <x:c r="H37" s="2"/>
      <x:c r="I37" s="2"/>
      <x:c r="J37" s="2"/>
      <x:c r="K37" s="2"/>
      <x:c r="L37" s="2"/>
      <x:c r="M37" s="2"/>
      <x:c r="N37" s="2"/>
      <x:c r="O37" s="2"/>
      <x:c r="P37" s="2"/>
      <x:c r="Q37" s="2"/>
      <x:c r="R37" s="2"/>
    </x:row>
    <x:row r="38" ht="21" customHeight="1">
      <x:c r="B38" s="1" t="str">
        <x:v>Annual scooter mix gain (percentage points)</x:v>
      </x:c>
      <x:c r="C38" s="21" t="n">
        <x:f>((Actuals!E9/(Actuals!E8+Actuals!E9))-(Actuals!C9/(Actuals!C8+Actuals!C9)))/2*C34</x:f>
        <x:v>0.012354114122141158</x:v>
      </x:c>
      <x:c r="D38" s="21" t="n">
        <x:f>$C$38</x:f>
        <x:v>0.012354114122141158</x:v>
      </x:c>
      <x:c r="E38" s="21" t="n">
        <x:f>$C$38</x:f>
        <x:v>0.012354114122141158</x:v>
      </x:c>
      <x:c r="F38" s="21" t="n">
        <x:f>$C$38</x:f>
        <x:v>0.012354114122141158</x:v>
      </x:c>
      <x:c r="G38" s="2" t="str">
        <x:v>Half the FY24–26 annual scooter-share gain; transferred from motorcycles to scooters, so industry total is unchanged.</x:v>
      </x:c>
      <x:c r="H38" s="2"/>
      <x:c r="I38" s="2"/>
      <x:c r="J38" s="2"/>
      <x:c r="K38" s="2"/>
      <x:c r="L38" s="2"/>
      <x:c r="M38" s="2"/>
      <x:c r="N38" s="2"/>
      <x:c r="O38" s="2"/>
      <x:c r="P38" s="2"/>
      <x:c r="Q38" s="2"/>
      <x:c r="R38" s="2"/>
    </x:row>
    <x:row r="39" ht="21" customHeight="1">
      <x:c r="B39" s="1" t="str">
        <x:v>Target scooter sales mix</x:v>
      </x:c>
      <x:c r="C39" s="21"/>
      <x:c r="D39" s="21" t="n">
        <x:f>D37+D38</x:f>
        <x:v>0.39558816691249393</x:v>
      </x:c>
      <x:c r="E39" s="21" t="n">
        <x:f>E37+E38</x:f>
        <x:v>0.4079422810346351</x:v>
      </x:c>
      <x:c r="F39" s="21" t="n">
        <x:f>F37+F38</x:f>
        <x:v>0.42029639515677625</x:v>
      </x:c>
      <x:c r="G39" s="2"/>
      <x:c r="H39" s="2"/>
      <x:c r="I39" s="2"/>
      <x:c r="J39" s="2"/>
      <x:c r="K39" s="2"/>
      <x:c r="L39" s="2"/>
      <x:c r="M39" s="2"/>
      <x:c r="N39" s="2"/>
      <x:c r="O39" s="2"/>
      <x:c r="P39" s="2"/>
      <x:c r="Q39" s="2"/>
      <x:c r="R39" s="2"/>
    </x:row>
    <x:row r="40" ht="21" customHeight="1">
      <x:c r="B40" s="1" t="str">
        <x:v>Motorcycle new-buyer growth</x:v>
      </x:c>
      <x:c r="C40" s="21"/>
      <x:c r="D40" s="21" t="n">
        <x:f>D36</x:f>
        <x:v>0.01</x:v>
      </x:c>
      <x:c r="E40" s="21" t="n">
        <x:f>E36</x:f>
        <x:v>0.01</x:v>
      </x:c>
      <x:c r="F40" s="21" t="n">
        <x:f>F36</x:f>
        <x:v>0.01</x:v>
      </x:c>
      <x:c r="G40" s="2"/>
      <x:c r="H40" s="2"/>
      <x:c r="I40" s="2"/>
      <x:c r="J40" s="2"/>
      <x:c r="K40" s="2"/>
      <x:c r="L40" s="2"/>
      <x:c r="M40" s="2"/>
      <x:c r="N40" s="2"/>
      <x:c r="O40" s="2"/>
      <x:c r="P40" s="2"/>
      <x:c r="Q40" s="2"/>
      <x:c r="R40" s="2"/>
    </x:row>
    <x:row r="41" ht="21" customHeight="1">
      <x:c r="B41" s="1" t="str">
        <x:v>Scooter new-buyer growth</x:v>
      </x:c>
      <x:c r="C41" s="21"/>
      <x:c r="D41" s="21" t="n">
        <x:f>D36</x:f>
        <x:v>0.01</x:v>
      </x:c>
      <x:c r="E41" s="21" t="n">
        <x:f>E36</x:f>
        <x:v>0.01</x:v>
      </x:c>
      <x:c r="F41" s="21" t="n">
        <x:f>F36</x:f>
        <x:v>0.01</x:v>
      </x:c>
      <x:c r="G41" s="2"/>
      <x:c r="H41" s="2"/>
      <x:c r="I41" s="2"/>
      <x:c r="J41" s="2"/>
      <x:c r="K41" s="2"/>
      <x:c r="L41" s="2"/>
      <x:c r="M41" s="2"/>
      <x:c r="N41" s="2"/>
      <x:c r="O41" s="2"/>
      <x:c r="P41" s="2"/>
      <x:c r="Q41" s="2"/>
      <x:c r="R41" s="2"/>
    </x:row>
    <x:row r="42" ht="21" customHeight="1">
      <x:c r="B42" s="1" t="str">
        <x:v>Moped new-buyer growth</x:v>
      </x:c>
      <x:c r="C42" s="21"/>
      <x:c r="D42" s="21" t="n">
        <x:f>D36</x:f>
        <x:v>0.01</x:v>
      </x:c>
      <x:c r="E42" s="21" t="n">
        <x:f>E36</x:f>
        <x:v>0.01</x:v>
      </x:c>
      <x:c r="F42" s="21" t="n">
        <x:f>F36</x:f>
        <x:v>0.01</x:v>
      </x:c>
      <x:c r="G42" s="2"/>
      <x:c r="H42" s="2"/>
      <x:c r="I42" s="2"/>
      <x:c r="J42" s="2"/>
      <x:c r="K42" s="2"/>
      <x:c r="L42" s="2"/>
      <x:c r="M42" s="2"/>
      <x:c r="N42" s="2"/>
      <x:c r="O42" s="2"/>
      <x:c r="P42" s="2"/>
      <x:c r="Q42" s="2"/>
      <x:c r="R42" s="2"/>
    </x:row>
    <x:row r="43" ht="21" customHeight="1">
      <x:c r="B43" s="1" t="str">
        <x:v>Motorcycle-to-scooter switching (million)</x:v>
      </x:c>
      <x:c r="C43" s="2"/>
      <x:c r="D43" s="12" t="n">
        <x:f>(Actuals!E8+Actuals!E9)*D38</x:f>
        <x:v>0.26169391325495966</x:v>
      </x:c>
      <x:c r="E43" s="12" t="n">
        <x:f>('Demand build'!D17+'Demand build'!D33)*E38</x:f>
        <x:v>0.2653272303669321</x:v>
      </x:c>
      <x:c r="F43" s="12" t="n">
        <x:f>('Demand build'!E17+'Demand build'!E33)*F38</x:f>
        <x:v>0.2564801235121195</x:v>
      </x:c>
      <x:c r="G43" s="2"/>
      <x:c r="H43" s="2"/>
      <x:c r="I43" s="2"/>
      <x:c r="J43" s="2"/>
      <x:c r="K43" s="2"/>
      <x:c r="L43" s="2"/>
      <x:c r="M43" s="2"/>
      <x:c r="N43" s="2"/>
      <x:c r="O43" s="2"/>
      <x:c r="P43" s="2"/>
      <x:c r="Q43" s="2"/>
      <x:c r="R43" s="2"/>
    </x:row>
    <x:row r="44" ht="21" customHeight="1">
      <x:c r="B44" s="1"/>
      <x:c r="C44" s="2"/>
      <x:c r="D44" s="2"/>
      <x:c r="E44" s="2"/>
      <x:c r="F44" s="2"/>
      <x:c r="G44" s="2"/>
      <x:c r="H44" s="2"/>
      <x:c r="I44" s="2"/>
      <x:c r="J44" s="2"/>
      <x:c r="K44" s="2"/>
      <x:c r="L44" s="2"/>
      <x:c r="M44" s="2"/>
      <x:c r="N44" s="2"/>
      <x:c r="O44" s="2"/>
      <x:c r="P44" s="2"/>
      <x:c r="Q44" s="2"/>
      <x:c r="R44" s="2"/>
    </x:row>
    <x:row r="45" ht="21" customHeight="1">
      <x:c r="B45" s="10" t="str">
        <x:v>Real rural income calculation</x:v>
      </x:c>
      <x:c r="C45" s="11"/>
      <x:c r="D45" s="11"/>
      <x:c r="E45" s="11"/>
      <x:c r="F45" s="11"/>
      <x:c r="G45" s="2"/>
      <x:c r="H45" s="2"/>
      <x:c r="I45" s="2"/>
      <x:c r="J45" s="2"/>
      <x:c r="K45" s="2"/>
      <x:c r="L45" s="2"/>
      <x:c r="M45" s="2"/>
      <x:c r="N45" s="2"/>
      <x:c r="O45" s="2"/>
      <x:c r="P45" s="2"/>
      <x:c r="Q45" s="2"/>
      <x:c r="R45" s="2"/>
    </x:row>
    <x:row r="46" ht="21" customHeight="1">
      <x:c r="B46" s="1" t="str">
        <x:v>Nominal rural earnings growth proxy</x:v>
      </x:c>
      <x:c r="C46" s="2"/>
      <x:c r="D46" s="18" t="n">
        <x:v>0.06</x:v>
      </x:c>
      <x:c r="E46" s="18" t="n">
        <x:v>0.06</x:v>
      </x:c>
      <x:c r="F46" s="18" t="n">
        <x:v>0.06</x:v>
      </x:c>
      <x:c r="G46" s="2" t="str">
        <x:v>6%: PLFS 2025 male self-employment earnings increase (not a rural wage forecast).</x:v>
      </x:c>
      <x:c r="H46" s="2"/>
      <x:c r="I46" s="2"/>
      <x:c r="J46" s="2"/>
      <x:c r="K46" s="2"/>
      <x:c r="L46" s="2"/>
      <x:c r="M46" s="2"/>
      <x:c r="N46" s="2"/>
      <x:c r="O46" s="2"/>
      <x:c r="P46" s="2"/>
      <x:c r="Q46" s="2"/>
      <x:c r="R46" s="2"/>
    </x:row>
    <x:row r="47" ht="21" customHeight="1">
      <x:c r="B47" s="1" t="str">
        <x:v>Rural CPI inflation proxy</x:v>
      </x:c>
      <x:c r="C47" s="2"/>
      <x:c r="D47" s="18" t="n">
        <x:v>0.0482</x:v>
      </x:c>
      <x:c r="E47" s="18" t="n">
        <x:v>0.0482</x:v>
      </x:c>
      <x:c r="F47" s="18" t="n">
        <x:v>0.0482</x:v>
      </x:c>
      <x:c r="G47" s="2" t="str">
        <x:v>4.82%: August 2026 all-India CPI proxy, not rural fiscal-year inflation.</x:v>
      </x:c>
      <x:c r="H47" s="2"/>
      <x:c r="I47" s="2"/>
      <x:c r="J47" s="2"/>
      <x:c r="K47" s="2"/>
      <x:c r="L47" s="2"/>
      <x:c r="M47" s="2"/>
      <x:c r="N47" s="2"/>
      <x:c r="O47" s="2"/>
      <x:c r="P47" s="2"/>
      <x:c r="Q47" s="2"/>
      <x:c r="R47" s="2"/>
    </x:row>
    <x:row r="48" ht="21" customHeight="1">
      <x:c r="B48" s="1" t="str">
        <x:v>Real income growth</x:v>
      </x:c>
      <x:c r="C48" s="2"/>
      <x:c r="D48" s="21" t="n">
        <x:f>(1+D46)/(1+D47)-1</x:f>
        <x:v>0.011257393627170487</x:v>
      </x:c>
      <x:c r="E48" s="21" t="n">
        <x:f>(1+E46)/(1+E47)-1</x:f>
        <x:v>0.011257393627170487</x:v>
      </x:c>
      <x:c r="F48" s="21" t="n">
        <x:f>(1+F46)/(1+F47)-1</x:f>
        <x:v>0.011257393627170487</x:v>
      </x:c>
      <x:c r="G48" s="2"/>
      <x:c r="H48" s="2"/>
      <x:c r="I48" s="2"/>
      <x:c r="J48" s="2"/>
      <x:c r="K48" s="2"/>
      <x:c r="L48" s="2"/>
      <x:c r="M48" s="2"/>
      <x:c r="N48" s="2"/>
      <x:c r="O48" s="2"/>
      <x:c r="P48" s="2"/>
      <x:c r="Q48" s="2"/>
      <x:c r="R48" s="2"/>
    </x:row>
    <x:row r="49" ht="21" customHeight="1">
      <x:c r="B49" s="1" t="str">
        <x:v>Rural exposure: motorcycle</x:v>
      </x:c>
      <x:c r="C49" s="2"/>
      <x:c r="D49" s="18" t="n">
        <x:v>0.6</x:v>
      </x:c>
      <x:c r="E49" s="18" t="n">
        <x:v>0.6</x:v>
      </x:c>
      <x:c r="F49" s="18" t="n">
        <x:v>0.6</x:v>
      </x:c>
      <x:c r="G49" s="2" t="str">
        <x:v>Rural exposure and volume response unmeasured; replace with state / dealer evidence.</x:v>
      </x:c>
      <x:c r="H49" s="2"/>
      <x:c r="I49" s="2"/>
      <x:c r="J49" s="2"/>
      <x:c r="K49" s="2"/>
      <x:c r="L49" s="2"/>
      <x:c r="M49" s="2"/>
      <x:c r="N49" s="2"/>
      <x:c r="O49" s="2"/>
      <x:c r="P49" s="2"/>
      <x:c r="Q49" s="2"/>
      <x:c r="R49" s="2"/>
    </x:row>
    <x:row r="50" ht="21" customHeight="1">
      <x:c r="B50" s="1" t="str">
        <x:v>Rural exposure: scooter</x:v>
      </x:c>
      <x:c r="C50" s="2"/>
      <x:c r="D50" s="18" t="n">
        <x:v>0.3</x:v>
      </x:c>
      <x:c r="E50" s="18" t="n">
        <x:v>0.3</x:v>
      </x:c>
      <x:c r="F50" s="18" t="n">
        <x:v>0.3</x:v>
      </x:c>
      <x:c r="G50" s="2"/>
      <x:c r="H50" s="2"/>
      <x:c r="I50" s="2"/>
      <x:c r="J50" s="2"/>
      <x:c r="K50" s="2"/>
      <x:c r="L50" s="2"/>
      <x:c r="M50" s="2"/>
      <x:c r="N50" s="2"/>
      <x:c r="O50" s="2"/>
      <x:c r="P50" s="2"/>
      <x:c r="Q50" s="2"/>
      <x:c r="R50" s="2"/>
    </x:row>
    <x:row r="51" ht="21" customHeight="1">
      <x:c r="B51" s="1" t="str">
        <x:v>Rural exposure: moped</x:v>
      </x:c>
      <x:c r="C51" s="2"/>
      <x:c r="D51" s="18" t="n">
        <x:v>0.7</x:v>
      </x:c>
      <x:c r="E51" s="18" t="n">
        <x:v>0.7</x:v>
      </x:c>
      <x:c r="F51" s="18" t="n">
        <x:v>0.7</x:v>
      </x:c>
      <x:c r="G51" s="2"/>
      <x:c r="H51" s="2"/>
      <x:c r="I51" s="2"/>
      <x:c r="J51" s="2"/>
      <x:c r="K51" s="2"/>
      <x:c r="L51" s="2"/>
      <x:c r="M51" s="2"/>
      <x:c r="N51" s="2"/>
      <x:c r="O51" s="2"/>
      <x:c r="P51" s="2"/>
      <x:c r="Q51" s="2"/>
      <x:c r="R51" s="2"/>
    </x:row>
    <x:row r="52" ht="21" customHeight="1">
      <x:c r="B52" s="1" t="str">
        <x:v>Volume response per 1% real income</x:v>
      </x:c>
      <x:c r="C52" s="2"/>
      <x:c r="D52" s="18" t="n">
        <x:v>0.5</x:v>
      </x:c>
      <x:c r="E52" s="18" t="n">
        <x:v>0.5</x:v>
      </x:c>
      <x:c r="F52" s="18" t="n">
        <x:v>0.5</x:v>
      </x:c>
      <x:c r="G52" s="2"/>
      <x:c r="H52" s="2"/>
      <x:c r="I52" s="2"/>
      <x:c r="J52" s="2"/>
      <x:c r="K52" s="2"/>
      <x:c r="L52" s="2"/>
      <x:c r="M52" s="2"/>
      <x:c r="N52" s="2"/>
      <x:c r="O52" s="2"/>
      <x:c r="P52" s="2"/>
      <x:c r="Q52" s="2"/>
      <x:c r="R52" s="2"/>
    </x:row>
    <x:row r="53" ht="21" customHeight="1">
      <x:c r="B53" s="1" t="str">
        <x:v>Motorcycle income contribution</x:v>
      </x:c>
      <x:c r="C53" s="2"/>
      <x:c r="D53" s="21" t="n">
        <x:f>D48*D49*D52</x:f>
        <x:v>0.003377218088151146</x:v>
      </x:c>
      <x:c r="E53" s="21" t="n">
        <x:f>E48*E49*E52</x:f>
        <x:v>0.003377218088151146</x:v>
      </x:c>
      <x:c r="F53" s="21" t="n">
        <x:f>F48*F49*F52</x:f>
        <x:v>0.003377218088151146</x:v>
      </x:c>
      <x:c r="G53" s="2"/>
      <x:c r="H53" s="2"/>
      <x:c r="I53" s="2"/>
      <x:c r="J53" s="2"/>
      <x:c r="K53" s="2"/>
      <x:c r="L53" s="2"/>
      <x:c r="M53" s="2"/>
      <x:c r="N53" s="2"/>
      <x:c r="O53" s="2"/>
      <x:c r="P53" s="2"/>
      <x:c r="Q53" s="2"/>
      <x:c r="R53" s="2"/>
    </x:row>
    <x:row r="54" ht="21" customHeight="1">
      <x:c r="B54" s="1" t="str">
        <x:v>Scooter income contribution</x:v>
      </x:c>
      <x:c r="C54" s="2"/>
      <x:c r="D54" s="21" t="n">
        <x:f>D48*D50*D52</x:f>
        <x:v>0.001688609044075573</x:v>
      </x:c>
      <x:c r="E54" s="21" t="n">
        <x:f>E48*E50*E52</x:f>
        <x:v>0.001688609044075573</x:v>
      </x:c>
      <x:c r="F54" s="21" t="n">
        <x:f>F48*F50*F52</x:f>
        <x:v>0.001688609044075573</x:v>
      </x:c>
      <x:c r="G54" s="2"/>
      <x:c r="H54" s="2"/>
      <x:c r="I54" s="2"/>
      <x:c r="J54" s="2"/>
      <x:c r="K54" s="2"/>
      <x:c r="L54" s="2"/>
      <x:c r="M54" s="2"/>
      <x:c r="N54" s="2"/>
      <x:c r="O54" s="2"/>
      <x:c r="P54" s="2"/>
      <x:c r="Q54" s="2"/>
      <x:c r="R54" s="2"/>
    </x:row>
    <x:row r="55" ht="21" customHeight="1">
      <x:c r="B55" s="1" t="str">
        <x:v>Moped income contribution</x:v>
      </x:c>
      <x:c r="C55" s="2"/>
      <x:c r="D55" s="21" t="n">
        <x:f>D48*D51*D52</x:f>
        <x:v>0.0039400877695096705</x:v>
      </x:c>
      <x:c r="E55" s="21" t="n">
        <x:f>E48*E51*E52</x:f>
        <x:v>0.0039400877695096705</x:v>
      </x:c>
      <x:c r="F55" s="21" t="n">
        <x:f>F48*F51*F52</x:f>
        <x:v>0.0039400877695096705</x:v>
      </x:c>
      <x:c r="G55" s="2"/>
      <x:c r="H55" s="2"/>
      <x:c r="I55" s="2"/>
      <x:c r="J55" s="2"/>
      <x:c r="K55" s="2"/>
      <x:c r="L55" s="2"/>
      <x:c r="M55" s="2"/>
      <x:c r="N55" s="2"/>
      <x:c r="O55" s="2"/>
      <x:c r="P55" s="2"/>
      <x:c r="Q55" s="2"/>
      <x:c r="R55" s="2"/>
    </x:row>
    <x:row r="56" ht="21" customHeight="1">
      <x:c r="B56" s="1"/>
      <x:c r="C56" s="2"/>
      <x:c r="D56" s="2"/>
      <x:c r="E56" s="2"/>
      <x:c r="F56" s="2"/>
      <x:c r="G56" s="2" t="str">
        <x:v>https://www.pib.gov.in/PressReleasePage.aspx?PRID=2246009</x:v>
      </x:c>
      <x:c r="H56" s="2"/>
      <x:c r="I56" s="2"/>
      <x:c r="J56" s="2"/>
      <x:c r="K56" s="2"/>
      <x:c r="L56" s="2"/>
      <x:c r="M56" s="2"/>
      <x:c r="N56" s="2"/>
      <x:c r="O56" s="2"/>
      <x:c r="P56" s="2"/>
      <x:c r="Q56" s="2"/>
      <x:c r="R56" s="2"/>
    </x:row>
    <x:row r="57" ht="21" customHeight="1">
      <x:c r="B57" s="1"/>
      <x:c r="C57" s="2"/>
      <x:c r="D57" s="2"/>
      <x:c r="E57" s="2"/>
      <x:c r="F57" s="2"/>
      <x:c r="G57" s="2" t="str">
        <x:v>https://www.mospi.gov.in/uploads/latestReleases/latest_release_1789381904344_6c792dcf-8a9f-4fca-93d3-99d833bdb358_Press_Release_of_CPI_for_August_2026.pdf</x:v>
      </x:c>
      <x:c r="H57" s="2"/>
      <x:c r="I57" s="2"/>
      <x:c r="J57" s="2"/>
      <x:c r="K57" s="2"/>
      <x:c r="L57" s="2"/>
      <x:c r="M57" s="2"/>
      <x:c r="N57" s="2"/>
      <x:c r="O57" s="2"/>
      <x:c r="P57" s="2"/>
      <x:c r="Q57" s="2"/>
      <x:c r="R57" s="2"/>
    </x:row>
    <x:row r="58" ht="21" customHeight="1">
      <x:c r="B58" s="1"/>
      <x:c r="C58" s="2"/>
      <x:c r="D58" s="2"/>
      <x:c r="E58" s="2"/>
      <x:c r="F58" s="2"/>
      <x:c r="G58" s="2"/>
      <x:c r="H58" s="2"/>
      <x:c r="I58" s="2"/>
      <x:c r="J58" s="2"/>
      <x:c r="K58" s="2"/>
      <x:c r="L58" s="2"/>
      <x:c r="M58" s="2"/>
      <x:c r="N58" s="2"/>
      <x:c r="O58" s="2"/>
      <x:c r="P58" s="2"/>
      <x:c r="Q58" s="2"/>
      <x:c r="R58" s="2"/>
    </x:row>
    <x:row r="59" ht="21" customHeight="1">
      <x:c r="B59" s="10" t="str">
        <x:v>Financing cost example: fixed loan principal</x:v>
      </x:c>
      <x:c r="C59" s="10"/>
      <x:c r="D59" s="10"/>
      <x:c r="E59" s="10"/>
      <x:c r="F59" s="10"/>
    </x:row>
    <x:row r="60" ht="21" customHeight="1">
      <x:c r="B60" t="str">
        <x:v>Loan APR</x:v>
      </x:c>
      <x:c r="C60" s="25" t="n">
        <x:v>0.13</x:v>
      </x:c>
      <x:c r="D60" s="25" t="n">
        <x:v>0.13</x:v>
      </x:c>
      <x:c r="E60" s="25" t="n">
        <x:v>0.135</x:v>
      </x:c>
      <x:c r="F60" s="25" t="n">
        <x:v>0.13</x:v>
      </x:c>
      <x:c r="G60" t="str">
        <x:v>APR path, financed share and response are editable analyst assumptions; no loan-book volume is inferred.</x:v>
      </x:c>
    </x:row>
    <x:row r="61" ht="21" customHeight="1">
      <x:c r="B61" t="str">
        <x:v>Loan principal (rupees)</x:v>
      </x:c>
      <x:c r="C61" s="26" t="n">
        <x:v>80000</x:v>
      </x:c>
      <x:c r="D61" s="29" t="n">
        <x:f>$C$61</x:f>
        <x:v>80000</x:v>
      </x:c>
      <x:c r="E61" s="29" t="n">
        <x:f>$C$61</x:f>
        <x:v>80000</x:v>
      </x:c>
      <x:c r="F61" s="29" t="n">
        <x:f>$C$61</x:f>
        <x:v>80000</x:v>
      </x:c>
    </x:row>
    <x:row r="62" ht="21" customHeight="1">
      <x:c r="B62" t="str">
        <x:v>Loan tenure (months)</x:v>
      </x:c>
      <x:c r="C62" s="26" t="n">
        <x:v>36</x:v>
      </x:c>
      <x:c r="D62" s="29" t="n">
        <x:f>$C$62</x:f>
        <x:v>36</x:v>
      </x:c>
      <x:c r="E62" s="29" t="n">
        <x:f>$C$62</x:f>
        <x:v>36</x:v>
      </x:c>
      <x:c r="F62" s="29" t="n">
        <x:f>$C$62</x:f>
        <x:v>36</x:v>
      </x:c>
    </x:row>
    <x:row r="63" ht="21" customHeight="1">
      <x:c r="B63" t="str">
        <x:v>Monthly EMI (rupees)</x:v>
      </x:c>
      <x:c r="C63" s="28" t="n">
        <x:f>C61*(C60/12)/(1-(1+C60/12)^(-C62))</x:f>
        <x:v>2695.516160263359</x:v>
      </x:c>
      <x:c r="D63" s="28" t="n">
        <x:f>D61*(D60/12)/(1-(1+D60/12)^(-D62))</x:f>
        <x:v>2695.516160263359</x:v>
      </x:c>
      <x:c r="E63" s="28" t="n">
        <x:f>E61*(E60/12)/(1-(1+E60/12)^(-E62))</x:f>
        <x:v>2714.8229864784817</x:v>
      </x:c>
      <x:c r="F63" s="28" t="n">
        <x:f>F61*(F60/12)/(1-(1+F60/12)^(-F62))</x:f>
        <x:v>2695.516160263359</x:v>
      </x:c>
      <x:c r="G63" t="str">
        <x:v>EMI isolates interest-rate changes. Vehicle-price changes are captured in GST affordability, avoiding price double count.</x:v>
      </x:c>
    </x:row>
    <x:row r="64" ht="21" customHeight="1">
      <x:c r="B64" t="str">
        <x:v>Financed-buyer share: motorcycle</x:v>
      </x:c>
      <x:c r="D64" s="25" t="n">
        <x:v>0.45</x:v>
      </x:c>
      <x:c r="E64" s="25" t="n">
        <x:v>0.45</x:v>
      </x:c>
      <x:c r="F64" s="25" t="n">
        <x:v>0.45</x:v>
      </x:c>
    </x:row>
    <x:row r="65" ht="21" customHeight="1">
      <x:c r="B65" t="str">
        <x:v>Financed-buyer share: scooter</x:v>
      </x:c>
      <x:c r="D65" s="25" t="n">
        <x:v>0.35</x:v>
      </x:c>
      <x:c r="E65" s="25" t="n">
        <x:v>0.35</x:v>
      </x:c>
      <x:c r="F65" s="25" t="n">
        <x:v>0.35</x:v>
      </x:c>
    </x:row>
    <x:row r="66" ht="21" customHeight="1">
      <x:c r="B66" t="str">
        <x:v>Financed-buyer share: moped</x:v>
      </x:c>
      <x:c r="D66" s="25" t="n">
        <x:v>0.2</x:v>
      </x:c>
      <x:c r="E66" s="25" t="n">
        <x:v>0.2</x:v>
      </x:c>
      <x:c r="F66" s="25" t="n">
        <x:v>0.2</x:v>
      </x:c>
    </x:row>
    <x:row r="67" ht="21" customHeight="1">
      <x:c r="B67" t="str">
        <x:v>Demand response to EMI change</x:v>
      </x:c>
      <x:c r="D67" s="27" t="n">
        <x:v>1</x:v>
      </x:c>
      <x:c r="E67" s="27" t="n">
        <x:v>1</x:v>
      </x:c>
      <x:c r="F67" s="27" t="n">
        <x:v>1</x:v>
      </x:c>
    </x:row>
    <x:row r="68" ht="21" customHeight="1">
      <x:c r="B68" t="str">
        <x:v>Motorcycle financing contribution</x:v>
      </x:c>
      <x:c r="D68" s="30" t="n">
        <x:f>-(D63/C63-1)*D64*D67</x:f>
        <x:v>0</x:v>
      </x:c>
      <x:c r="E68" s="30" t="n">
        <x:f>-(E63/D63-1)*E64*E67</x:f>
        <x:v>-0.003223157006024513</x:v>
      </x:c>
      <x:c r="F68" s="30" t="n">
        <x:f>-(F63/E63-1)*F64*F67</x:f>
        <x:v>0.0032002350945447623</x:v>
      </x:c>
    </x:row>
    <x:row r="69" ht="21" customHeight="1">
      <x:c r="B69" t="str">
        <x:v>Scooter financing contribution</x:v>
      </x:c>
      <x:c r="D69" s="30" t="n">
        <x:f>-(D63/C63-1)*D65*D67</x:f>
        <x:v>0</x:v>
      </x:c>
      <x:c r="E69" s="30" t="n">
        <x:f>-(E63/D63-1)*E65*E67</x:f>
        <x:v>-0.002506899893574621</x:v>
      </x:c>
      <x:c r="F69" s="30" t="n">
        <x:f>-(F63/E63-1)*F65*F67</x:f>
        <x:v>0.0024890717402014815</x:v>
      </x:c>
    </x:row>
    <x:row r="70" ht="21" customHeight="1">
      <x:c r="B70" t="str">
        <x:v>Moped financing contribution</x:v>
      </x:c>
      <x:c r="D70" s="30" t="n">
        <x:f>-(D63/C63-1)*D66*D67</x:f>
        <x:v>0</x:v>
      </x:c>
      <x:c r="E70" s="30" t="n">
        <x:f>-(E63/D63-1)*E66*E67</x:f>
        <x:v>-0.0014325142248997837</x:v>
      </x:c>
      <x:c r="F70" s="30" t="n">
        <x:f>-(F63/E63-1)*F66*F67</x:f>
        <x:v>0.001422326708686561</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2" max="2" width="36" hidden="0" customWidth="1"/>
    <x:col min="3" max="3" width="100"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2" ht="21" customHeight="1">
      <x:c r="B2" s="3" t="str">
        <x:v>Model method</x:v>
      </x:c>
      <x:c r="C2" s="2"/>
      <x:c r="D2" s="2"/>
      <x:c r="E2" s="2"/>
      <x:c r="F2" s="2"/>
      <x:c r="G2" s="2"/>
      <x:c r="H2" s="2"/>
      <x:c r="I2" s="2"/>
      <x:c r="J2" s="2"/>
      <x:c r="K2" s="2"/>
      <x:c r="L2" s="2"/>
      <x:c r="M2" s="2"/>
      <x:c r="N2" s="2"/>
      <x:c r="O2" s="2"/>
      <x:c r="P2" s="2"/>
      <x:c r="Q2" s="2"/>
      <x:c r="R2" s="2"/>
    </x:row>
    <x:row r="3" ht="21" customHeight="1">
      <x:c r="B3" s="4"/>
      <x:c r="C3" s="5"/>
      <x:c r="D3" s="5"/>
      <x:c r="E3" s="5"/>
      <x:c r="F3" s="5"/>
      <x:c r="G3" s="5"/>
      <x:c r="H3" s="5"/>
      <x:c r="I3" s="2"/>
      <x:c r="J3" s="2"/>
      <x:c r="K3" s="2"/>
      <x:c r="L3" s="2"/>
      <x:c r="M3" s="2"/>
      <x:c r="N3" s="2"/>
      <x:c r="O3" s="2"/>
      <x:c r="P3" s="2"/>
      <x:c r="Q3" s="2"/>
      <x:c r="R3" s="2"/>
    </x:row>
    <x:row r="4" ht="21" customHeight="1">
      <x:c r="B4" s="6" t="str">
        <x:v>Designed for India domestic 2W wholesales, not an OEM capacity ceiling.</x:v>
      </x:c>
      <x:c r="C4" s="7"/>
      <x:c r="D4" s="7"/>
      <x:c r="E4" s="7"/>
      <x:c r="F4" s="7"/>
      <x:c r="G4" s="7"/>
      <x:c r="H4" s="7"/>
      <x:c r="I4" s="2"/>
      <x:c r="J4" s="2"/>
      <x:c r="K4" s="2"/>
      <x:c r="L4" s="2"/>
      <x:c r="M4" s="2"/>
      <x:c r="N4" s="2"/>
      <x:c r="O4" s="2"/>
      <x:c r="P4" s="2"/>
      <x:c r="Q4" s="2"/>
      <x:c r="R4" s="2"/>
    </x:row>
    <x:row r="5" ht="21" customHeight="1">
      <x:c r="B5" s="1"/>
      <x:c r="C5" s="2"/>
      <x:c r="D5" s="2"/>
      <x:c r="E5" s="2"/>
      <x:c r="F5" s="2"/>
      <x:c r="G5" s="2"/>
      <x:c r="H5" s="2"/>
      <x:c r="I5" s="2"/>
      <x:c r="J5" s="2"/>
      <x:c r="K5" s="2"/>
      <x:c r="L5" s="2"/>
      <x:c r="M5" s="2"/>
      <x:c r="N5" s="2"/>
      <x:c r="O5" s="2"/>
      <x:c r="P5" s="2"/>
      <x:c r="Q5" s="2"/>
      <x:c r="R5" s="2"/>
    </x:row>
    <x:row r="6" ht="21" customHeight="1">
      <x:c r="B6" s="1"/>
      <x:c r="C6" s="2"/>
      <x:c r="D6" s="2"/>
      <x:c r="E6" s="2"/>
      <x:c r="F6" s="2"/>
      <x:c r="G6" s="2"/>
      <x:c r="H6" s="2"/>
      <x:c r="I6" s="2"/>
      <x:c r="J6" s="2"/>
      <x:c r="K6" s="2"/>
      <x:c r="L6" s="2"/>
      <x:c r="M6" s="2"/>
      <x:c r="N6" s="2"/>
      <x:c r="O6" s="2"/>
      <x:c r="P6" s="2"/>
      <x:c r="Q6" s="2"/>
      <x:c r="R6" s="2"/>
    </x:row>
    <x:row r="7" ht="25" customHeight="1">
      <x:c r="B7" s="10" t="str">
        <x:v>Calculation order</x:v>
      </x:c>
      <x:c r="C7" s="11"/>
      <x:c r="D7" s="11"/>
      <x:c r="E7" s="11"/>
      <x:c r="F7" s="11"/>
      <x:c r="G7" s="11"/>
      <x:c r="H7" s="11"/>
      <x:c r="I7" s="2"/>
      <x:c r="J7" s="2"/>
      <x:c r="K7" s="2"/>
      <x:c r="L7" s="2"/>
      <x:c r="M7" s="2"/>
      <x:c r="N7" s="2"/>
      <x:c r="O7" s="2"/>
      <x:c r="P7" s="2"/>
      <x:c r="Q7" s="2"/>
      <x:c r="R7" s="2"/>
    </x:row>
    <x:row r="8" ht="21" customHeight="1">
      <x:c r="B8" s="1"/>
      <x:c r="C8" s="2"/>
      <x:c r="D8" s="2"/>
      <x:c r="E8" s="2"/>
      <x:c r="F8" s="2"/>
      <x:c r="G8" s="2"/>
      <x:c r="H8" s="2"/>
      <x:c r="I8" s="2"/>
      <x:c r="J8" s="2"/>
      <x:c r="K8" s="2"/>
      <x:c r="L8" s="2"/>
      <x:c r="M8" s="2"/>
      <x:c r="N8" s="2"/>
      <x:c r="O8" s="2"/>
      <x:c r="P8" s="2"/>
      <x:c r="Q8" s="2"/>
      <x:c r="R8" s="2"/>
    </x:row>
    <x:row r="9" ht="21" customHeight="1">
      <x:c r="B9" s="1" t="str">
        <x:v>1. Anchor</x:v>
      </x:c>
      <x:c r="C9" s="2" t="str">
        <x:v>FY24–FY26 SIAM sales are split into motorcycles, scooters and mopeds. FY26 total is 21.706m.</x:v>
      </x:c>
      <x:c r="D9" s="2"/>
      <x:c r="E9" s="2"/>
      <x:c r="F9" s="2"/>
      <x:c r="G9" s="2"/>
      <x:c r="H9" s="2"/>
      <x:c r="I9" s="2"/>
      <x:c r="J9" s="2"/>
      <x:c r="K9" s="2"/>
      <x:c r="L9" s="2"/>
      <x:c r="M9" s="2"/>
      <x:c r="N9" s="2"/>
      <x:c r="O9" s="2"/>
      <x:c r="P9" s="2"/>
      <x:c r="Q9" s="2"/>
      <x:c r="R9" s="2"/>
    </x:row>
    <x:row r="10" ht="21" customHeight="1">
      <x:c r="B10" s="1"/>
      <x:c r="C10" s="2"/>
      <x:c r="D10" s="2"/>
      <x:c r="E10" s="2"/>
      <x:c r="F10" s="2"/>
      <x:c r="G10" s="2"/>
      <x:c r="H10" s="2"/>
      <x:c r="I10" s="2"/>
      <x:c r="J10" s="2"/>
      <x:c r="K10" s="2"/>
      <x:c r="L10" s="2"/>
      <x:c r="M10" s="2"/>
      <x:c r="N10" s="2"/>
      <x:c r="O10" s="2"/>
      <x:c r="P10" s="2"/>
      <x:c r="Q10" s="2"/>
      <x:c r="R10" s="2"/>
    </x:row>
    <x:row r="11" ht="21" customHeight="1">
      <x:c r="B11" s="1" t="str">
        <x:v>2. Replacement</x:v>
      </x:c>
      <x:c r="C11" s="2" t="str">
        <x:v>FY26 volume is split by analyst replacement share. The replacement growth index then follows actual SIAM sales vintages at ages 7–10, with editable age weights. The age window is not measured.</x:v>
      </x:c>
      <x:c r="D11" s="2"/>
      <x:c r="E11" s="2"/>
      <x:c r="F11" s="2"/>
      <x:c r="G11" s="2"/>
      <x:c r="H11" s="2"/>
      <x:c r="I11" s="2"/>
      <x:c r="J11" s="2"/>
      <x:c r="K11" s="2"/>
      <x:c r="L11" s="2"/>
      <x:c r="M11" s="2"/>
      <x:c r="N11" s="2"/>
      <x:c r="O11" s="2"/>
      <x:c r="P11" s="2"/>
      <x:c r="Q11" s="2"/>
      <x:c r="R11" s="2"/>
    </x:row>
    <x:row r="12" ht="21" customHeight="1">
      <x:c r="B12" s="1"/>
      <x:c r="C12" s="2"/>
      <x:c r="D12" s="2"/>
      <x:c r="E12" s="2"/>
      <x:c r="F12" s="2"/>
      <x:c r="G12" s="2"/>
      <x:c r="H12" s="2"/>
      <x:c r="I12" s="2"/>
      <x:c r="J12" s="2"/>
      <x:c r="K12" s="2"/>
      <x:c r="L12" s="2"/>
      <x:c r="M12" s="2"/>
      <x:c r="N12" s="2"/>
      <x:c r="O12" s="2"/>
      <x:c r="P12" s="2"/>
      <x:c r="Q12" s="2"/>
      <x:c r="R12" s="2"/>
    </x:row>
    <x:row r="13" ht="21" customHeight="1">
      <x:c r="B13" s="1" t="str">
        <x:v>2b. New buyers and category shift</x:v>
      </x:c>
      <x:c r="C13" s="2" t="str">
        <x:v>New-buyer pool grows with a 1% annual household proxy. Half the FY24–26 annual scooter share gain shifts sales from motorcycles to scooters with zero net effect on industry units.</x:v>
      </x:c>
      <x:c r="D13" s="2"/>
      <x:c r="E13" s="2"/>
      <x:c r="F13" s="2"/>
      <x:c r="G13" s="2"/>
      <x:c r="H13" s="2"/>
      <x:c r="I13" s="2"/>
      <x:c r="J13" s="2"/>
      <x:c r="K13" s="2"/>
      <x:c r="L13" s="2"/>
      <x:c r="M13" s="2"/>
      <x:c r="N13" s="2"/>
      <x:c r="O13" s="2"/>
      <x:c r="P13" s="2"/>
      <x:c r="Q13" s="2"/>
      <x:c r="R13" s="2"/>
    </x:row>
    <x:row r="14" ht="21" customHeight="1">
      <x:c r="B14" s="1"/>
      <x:c r="C14" s="2"/>
      <x:c r="D14" s="2"/>
      <x:c r="E14" s="2"/>
      <x:c r="F14" s="2"/>
      <x:c r="G14" s="2"/>
      <x:c r="H14" s="2"/>
      <x:c r="I14" s="2"/>
      <x:c r="J14" s="2"/>
      <x:c r="K14" s="2"/>
      <x:c r="L14" s="2"/>
      <x:c r="M14" s="2"/>
      <x:c r="N14" s="2"/>
      <x:c r="O14" s="2"/>
      <x:c r="P14" s="2"/>
      <x:c r="Q14" s="2"/>
      <x:c r="R14" s="2"/>
    </x:row>
    <x:row r="15" ht="21" customHeight="1">
      <x:c r="B15" s="1" t="str">
        <x:v>2c. Income and financing</x:v>
      </x:c>
      <x:c r="C15" s="2" t="str">
        <x:v>Real income proxy is nominal earnings divided by CPI. It is multiplied by exposure and response. Financing applies the change in fixed-principal EMI, financed share and response. These sensitivities need calibration.</x:v>
      </x:c>
      <x:c r="D15" s="2"/>
      <x:c r="E15" s="2"/>
      <x:c r="F15" s="2"/>
      <x:c r="G15" s="2"/>
      <x:c r="H15" s="2"/>
      <x:c r="I15" s="2"/>
      <x:c r="J15" s="2"/>
      <x:c r="K15" s="2"/>
      <x:c r="L15" s="2"/>
      <x:c r="M15" s="2"/>
      <x:c r="N15" s="2"/>
      <x:c r="O15" s="2"/>
      <x:c r="P15" s="2"/>
      <x:c r="Q15" s="2"/>
      <x:c r="R15" s="2"/>
    </x:row>
    <x:row r="16" ht="21" customHeight="1">
      <x:c r="B16" s="1"/>
      <x:c r="C16" s="2"/>
      <x:c r="D16" s="2"/>
      <x:c r="E16" s="2"/>
      <x:c r="F16" s="2"/>
      <x:c r="G16" s="2"/>
      <x:c r="H16" s="2"/>
      <x:c r="I16" s="2"/>
      <x:c r="J16" s="2"/>
      <x:c r="K16" s="2"/>
      <x:c r="L16" s="2"/>
      <x:c r="M16" s="2"/>
      <x:c r="N16" s="2"/>
      <x:c r="O16" s="2"/>
      <x:c r="P16" s="2"/>
      <x:c r="Q16" s="2"/>
      <x:c r="R16" s="2"/>
    </x:row>
    <x:row r="17" ht="21" customHeight="1">
      <x:c r="B17" s="1" t="str">
        <x:v>3. GST affordability</x:v>
      </x:c>
      <x:c r="C17" s="2" t="str">
        <x:v>The year-on-year change in the remaining consumer price benefit affects only the GST-exposed share, scaled by segment-specific elasticity.</x:v>
      </x:c>
      <x:c r="D17" s="2"/>
      <x:c r="E17" s="2"/>
      <x:c r="F17" s="2"/>
      <x:c r="G17" s="2"/>
      <x:c r="H17" s="2"/>
      <x:c r="I17" s="2"/>
      <x:c r="J17" s="2"/>
      <x:c r="K17" s="2"/>
      <x:c r="L17" s="2"/>
      <x:c r="M17" s="2"/>
      <x:c r="N17" s="2"/>
      <x:c r="O17" s="2"/>
      <x:c r="P17" s="2"/>
      <x:c r="Q17" s="2"/>
      <x:c r="R17" s="2"/>
    </x:row>
    <x:row r="18" ht="21" customHeight="1">
      <x:c r="B18" s="1"/>
      <x:c r="C18" s="2"/>
      <x:c r="D18" s="2"/>
      <x:c r="E18" s="2"/>
      <x:c r="F18" s="2"/>
      <x:c r="G18" s="2"/>
      <x:c r="H18" s="2"/>
      <x:c r="I18" s="2"/>
      <x:c r="J18" s="2"/>
      <x:c r="K18" s="2"/>
      <x:c r="L18" s="2"/>
      <x:c r="M18" s="2"/>
      <x:c r="N18" s="2"/>
      <x:c r="O18" s="2"/>
      <x:c r="P18" s="2"/>
      <x:c r="Q18" s="2"/>
      <x:c r="R18" s="2"/>
    </x:row>
    <x:row r="19" ht="21" customHeight="1">
      <x:c r="B19" s="1" t="str">
        <x:v>4. Timing adjustment</x:v>
      </x:c>
      <x:c r="C19" s="2" t="str">
        <x:v>FY26 excess over a no-GST counterfactual is reduced by an estimated affordability benefit. A chosen share of the residual is repaid over FY27–FY29.</x:v>
      </x:c>
      <x:c r="D19" s="2"/>
      <x:c r="E19" s="2"/>
      <x:c r="F19" s="2"/>
      <x:c r="G19" s="2"/>
      <x:c r="H19" s="2"/>
      <x:c r="I19" s="2"/>
      <x:c r="J19" s="2"/>
      <x:c r="K19" s="2"/>
      <x:c r="L19" s="2"/>
      <x:c r="M19" s="2"/>
      <x:c r="N19" s="2"/>
      <x:c r="O19" s="2"/>
      <x:c r="P19" s="2"/>
      <x:c r="Q19" s="2"/>
      <x:c r="R19" s="2"/>
    </x:row>
    <x:row r="20" ht="21" customHeight="1">
      <x:c r="B20" s="1"/>
      <x:c r="C20" s="2"/>
      <x:c r="D20" s="2"/>
      <x:c r="E20" s="2"/>
      <x:c r="F20" s="2"/>
      <x:c r="G20" s="2"/>
      <x:c r="H20" s="2"/>
      <x:c r="I20" s="2"/>
      <x:c r="J20" s="2"/>
      <x:c r="K20" s="2"/>
      <x:c r="L20" s="2"/>
      <x:c r="M20" s="2"/>
      <x:c r="N20" s="2"/>
      <x:c r="O20" s="2"/>
      <x:c r="P20" s="2"/>
      <x:c r="Q20" s="2"/>
      <x:c r="R20" s="2"/>
    </x:row>
    <x:row r="21" ht="21" customHeight="1">
      <x:c r="B21" s="1" t="str">
        <x:v>5. EV adoption</x:v>
      </x:c>
      <x:c r="C21" s="2" t="str">
        <x:v>EV scooters are included within scooter sales. Only an explicit fraction of a rising EV mix creates extra category volume.</x:v>
      </x:c>
      <x:c r="D21" s="2"/>
      <x:c r="E21" s="2"/>
      <x:c r="F21" s="2"/>
      <x:c r="G21" s="2"/>
      <x:c r="H21" s="2"/>
      <x:c r="I21" s="2"/>
      <x:c r="J21" s="2"/>
      <x:c r="K21" s="2"/>
      <x:c r="L21" s="2"/>
      <x:c r="M21" s="2"/>
      <x:c r="N21" s="2"/>
      <x:c r="O21" s="2"/>
      <x:c r="P21" s="2"/>
      <x:c r="Q21" s="2"/>
      <x:c r="R21" s="2"/>
    </x:row>
    <x:row r="22" ht="21" customHeight="1">
      <x:c r="B22" s="1"/>
      <x:c r="C22" s="2"/>
      <x:c r="D22" s="2"/>
      <x:c r="E22" s="2"/>
      <x:c r="F22" s="2"/>
      <x:c r="G22" s="2"/>
      <x:c r="H22" s="2"/>
      <x:c r="I22" s="2"/>
      <x:c r="J22" s="2"/>
      <x:c r="K22" s="2"/>
      <x:c r="L22" s="2"/>
      <x:c r="M22" s="2"/>
      <x:c r="N22" s="2"/>
      <x:c r="O22" s="2"/>
      <x:c r="P22" s="2"/>
      <x:c r="Q22" s="2"/>
      <x:c r="R22" s="2"/>
    </x:row>
    <x:row r="23" ht="21" customHeight="1">
      <x:c r="B23" s="1" t="str">
        <x:v>6. Wholesale/retail</x:v>
      </x:c>
      <x:c r="C23" s="2" t="str">
        <x:v>Annual inventory change is an editable wholesale adjustment; without dealer stock data it is zero. Do not infer retail or installed stock from wholesales.</x:v>
      </x:c>
      <x:c r="D23" s="2"/>
      <x:c r="E23" s="2"/>
      <x:c r="F23" s="2"/>
      <x:c r="G23" s="2"/>
      <x:c r="H23" s="2"/>
      <x:c r="I23" s="2"/>
      <x:c r="J23" s="2"/>
      <x:c r="K23" s="2"/>
      <x:c r="L23" s="2"/>
      <x:c r="M23" s="2"/>
      <x:c r="N23" s="2"/>
      <x:c r="O23" s="2"/>
      <x:c r="P23" s="2"/>
      <x:c r="Q23" s="2"/>
      <x:c r="R23" s="2"/>
    </x:row>
    <x:row r="24" ht="21" customHeight="1">
      <x:c r="B24" s="1"/>
      <x:c r="C24" s="2"/>
      <x:c r="D24" s="2"/>
      <x:c r="E24" s="2"/>
      <x:c r="F24" s="2"/>
      <x:c r="G24" s="2"/>
      <x:c r="H24" s="2"/>
      <x:c r="I24" s="2"/>
      <x:c r="J24" s="2"/>
      <x:c r="K24" s="2"/>
      <x:c r="L24" s="2"/>
      <x:c r="M24" s="2"/>
      <x:c r="N24" s="2"/>
      <x:c r="O24" s="2"/>
      <x:c r="P24" s="2"/>
      <x:c r="Q24" s="2"/>
      <x:c r="R24" s="2"/>
    </x:row>
    <x:row r="25" ht="21" customHeight="1">
      <x:c r="B25" s="1" t="str">
        <x:v>7. Update cycle</x:v>
      </x:c>
      <x:c r="C25" s="2" t="str">
        <x:v>Replace historical categories and debt assumptions after checking SIAM/FADA. Update the annual drivers and observed FY27 periods as data arrive.</x:v>
      </x:c>
      <x:c r="D25" s="2"/>
      <x:c r="E25" s="2"/>
      <x:c r="F25" s="2"/>
      <x:c r="G25" s="2"/>
      <x:c r="H25" s="2"/>
      <x:c r="I25" s="2"/>
      <x:c r="J25" s="2"/>
      <x:c r="K25" s="2"/>
      <x:c r="L25" s="2"/>
      <x:c r="M25" s="2"/>
      <x:c r="N25" s="2"/>
      <x:c r="O25" s="2"/>
      <x:c r="P25" s="2"/>
      <x:c r="Q25" s="2"/>
      <x:c r="R25" s="2"/>
    </x:row>
    <x:row r="26" ht="21" customHeight="1">
      <x:c r="B26" s="1" t="str">
        <x:v>Key assumption risks</x:v>
      </x:c>
      <x:c r="C26" s="2" t="str">
        <x:v>Vintage sales are only a proxy for surviving owners. Replacement share, age weights, household growth, exposure, responses, GST debt and EV incrementality remain unmeasured assumptions.</x:v>
      </x:c>
      <x:c r="D26" s="2"/>
      <x:c r="E26" s="2"/>
      <x:c r="F26" s="2"/>
      <x:c r="G26" s="2"/>
      <x:c r="H26" s="2"/>
      <x:c r="I26" s="2"/>
      <x:c r="J26" s="2"/>
      <x:c r="K26" s="2"/>
      <x:c r="L26" s="2"/>
      <x:c r="M26" s="2"/>
      <x:c r="N26" s="2"/>
      <x:c r="O26" s="2"/>
      <x:c r="P26" s="2"/>
      <x:c r="Q26" s="2"/>
      <x:c r="R26" s="2"/>
    </x:row>
    <x:row r="27" ht="21" customHeight="1">
      <x:c r="B27" s="1"/>
      <x:c r="C27" s="2"/>
      <x:c r="D27" s="2"/>
      <x:c r="E27" s="2"/>
      <x:c r="F27" s="2"/>
      <x:c r="G27" s="2"/>
      <x:c r="H27" s="2"/>
      <x:c r="I27" s="2"/>
      <x:c r="J27" s="2"/>
      <x:c r="K27" s="2"/>
      <x:c r="L27" s="2"/>
      <x:c r="M27" s="2"/>
      <x:c r="N27" s="2"/>
      <x:c r="O27" s="2"/>
      <x:c r="P27" s="2"/>
      <x:c r="Q27" s="2"/>
      <x:c r="R27" s="2"/>
    </x:row>
    <x:row r="28" ht="21" customHeight="1">
      <x:c r="B28" s="1"/>
      <x:c r="C28" s="2"/>
      <x:c r="D28" s="2"/>
      <x:c r="E28" s="2"/>
      <x:c r="F28" s="2"/>
      <x:c r="G28" s="2"/>
      <x:c r="H28" s="2"/>
      <x:c r="I28" s="2"/>
      <x:c r="J28" s="2"/>
      <x:c r="K28" s="2"/>
      <x:c r="L28" s="2"/>
      <x:c r="M28" s="2"/>
      <x:c r="N28" s="2"/>
      <x:c r="O28" s="2"/>
      <x:c r="P28" s="2"/>
      <x:c r="Q28" s="2"/>
      <x:c r="R28" s="2"/>
    </x:row>
    <x:row r="29" ht="21" customHeight="1">
      <x:c r="B29" s="1" t="str">
        <x:v>FY27 published run-rate</x:v>
      </x:c>
      <x:c r="C29" s="2" t="str">
        <x:v>April–August FY27 is actual, but the segment model is not forced to extrapolate it. Summary shows the September–March growth needed for the annual forecast. Refresh when September is released.</x:v>
      </x:c>
      <x:c r="D29" s="2"/>
      <x:c r="E29" s="2"/>
      <x:c r="F29" s="2"/>
      <x:c r="G29" s="2"/>
      <x:c r="H29" s="2"/>
      <x:c r="I29" s="2"/>
      <x:c r="J29" s="2"/>
      <x:c r="K29" s="2"/>
      <x:c r="L29" s="2"/>
      <x:c r="M29" s="2"/>
      <x:c r="N29" s="2"/>
      <x:c r="O29" s="2"/>
      <x:c r="P29" s="2"/>
      <x:c r="Q29" s="2"/>
      <x:c r="R29" s="2"/>
    </x:row>
    <x:row r="30" ht="21" customHeight="1">
      <x:c r="B30" s="1"/>
      <x:c r="C30" s="2"/>
      <x:c r="D30" s="2"/>
      <x:c r="E30" s="2"/>
      <x:c r="F30" s="2"/>
      <x:c r="G30" s="2"/>
      <x:c r="H30" s="2"/>
      <x:c r="I30" s="2"/>
      <x:c r="J30" s="2"/>
      <x:c r="K30" s="2"/>
      <x:c r="L30" s="2"/>
      <x:c r="M30" s="2"/>
      <x:c r="N30" s="2"/>
      <x:c r="O30" s="2"/>
      <x:c r="P30" s="2"/>
      <x:c r="Q30" s="2"/>
      <x:c r="R30" s="2"/>
    </x:row>
    <x:row r="31" ht="21" customHeight="1">
      <x:c r="B31" s="1"/>
      <x:c r="C31" s="2"/>
      <x:c r="D31" s="2"/>
      <x:c r="E31" s="2"/>
      <x:c r="F31" s="2"/>
      <x:c r="G31" s="2"/>
      <x:c r="H31" s="2"/>
      <x:c r="I31" s="2"/>
      <x:c r="J31" s="2"/>
      <x:c r="K31" s="2"/>
      <x:c r="L31" s="2"/>
      <x:c r="M31" s="2"/>
      <x:c r="N31" s="2"/>
      <x:c r="O31" s="2"/>
      <x:c r="P31" s="2"/>
      <x:c r="Q31" s="2"/>
      <x:c r="R31" s="2"/>
    </x:row>
    <x:row r="32" ht="21" customHeight="1">
      <x:c r="B32" s="1"/>
      <x:c r="C32" s="2"/>
      <x:c r="D32" s="2"/>
      <x:c r="E32" s="2"/>
      <x:c r="F32" s="2"/>
      <x:c r="G32" s="2"/>
      <x:c r="H32" s="2"/>
      <x:c r="I32" s="2"/>
      <x:c r="J32" s="2"/>
      <x:c r="K32" s="2"/>
      <x:c r="L32" s="2"/>
      <x:c r="M32" s="2"/>
      <x:c r="N32" s="2"/>
      <x:c r="O32" s="2"/>
      <x:c r="P32" s="2"/>
      <x:c r="Q32" s="2"/>
      <x:c r="R32" s="2"/>
    </x:row>
    <x:row r="33" ht="21" customHeight="1">
      <x:c r="B33" s="1"/>
      <x:c r="C33" s="2"/>
      <x:c r="D33" s="2"/>
      <x:c r="E33" s="2"/>
      <x:c r="F33" s="2"/>
      <x:c r="G33" s="2"/>
      <x:c r="H33" s="2"/>
      <x:c r="I33" s="2"/>
      <x:c r="J33" s="2"/>
      <x:c r="K33" s="2"/>
      <x:c r="L33" s="2"/>
      <x:c r="M33" s="2"/>
      <x:c r="N33" s="2"/>
      <x:c r="O33" s="2"/>
      <x:c r="P33" s="2"/>
      <x:c r="Q33" s="2"/>
      <x:c r="R33" s="2"/>
    </x:row>
    <x:row r="34" ht="21" customHeight="1">
      <x:c r="B34" s="1"/>
      <x:c r="C34" s="2"/>
      <x:c r="D34" s="2"/>
      <x:c r="E34" s="2"/>
      <x:c r="F34" s="2"/>
      <x:c r="G34" s="2"/>
      <x:c r="H34" s="2"/>
      <x:c r="I34" s="2"/>
      <x:c r="J34" s="2"/>
      <x:c r="K34" s="2"/>
      <x:c r="L34" s="2"/>
      <x:c r="M34" s="2"/>
      <x:c r="N34" s="2"/>
      <x:c r="O34" s="2"/>
      <x:c r="P34" s="2"/>
      <x:c r="Q34" s="2"/>
      <x:c r="R34" s="2"/>
    </x:row>
    <x:row r="35" ht="21" customHeight="1">
      <x:c r="B35" s="1"/>
      <x:c r="C35" s="2"/>
      <x:c r="D35" s="2"/>
      <x:c r="E35" s="2"/>
      <x:c r="F35" s="2"/>
      <x:c r="G35" s="2"/>
      <x:c r="H35" s="2"/>
      <x:c r="I35" s="2"/>
      <x:c r="J35" s="2"/>
      <x:c r="K35" s="2"/>
      <x:c r="L35" s="2"/>
      <x:c r="M35" s="2"/>
      <x:c r="N35" s="2"/>
      <x:c r="O35" s="2"/>
      <x:c r="P35" s="2"/>
      <x:c r="Q35" s="2"/>
      <x:c r="R35" s="2"/>
    </x:row>
    <x:row r="36" ht="21" customHeight="1">
      <x:c r="B36" s="1"/>
      <x:c r="C36" s="2"/>
      <x:c r="D36" s="2"/>
      <x:c r="E36" s="2"/>
      <x:c r="F36" s="2"/>
      <x:c r="G36" s="2"/>
      <x:c r="H36" s="2"/>
      <x:c r="I36" s="2"/>
      <x:c r="J36" s="2"/>
      <x:c r="K36" s="2"/>
      <x:c r="L36" s="2"/>
      <x:c r="M36" s="2"/>
      <x:c r="N36" s="2"/>
      <x:c r="O36" s="2"/>
      <x:c r="P36" s="2"/>
      <x:c r="Q36" s="2"/>
      <x:c r="R36" s="2"/>
    </x:row>
    <x:row r="37" ht="21" customHeight="1">
      <x:c r="B37" s="1"/>
      <x:c r="C37" s="2"/>
      <x:c r="D37" s="2"/>
      <x:c r="E37" s="2"/>
      <x:c r="F37" s="2"/>
      <x:c r="G37" s="2"/>
      <x:c r="H37" s="2"/>
      <x:c r="I37" s="2"/>
      <x:c r="J37" s="2"/>
      <x:c r="K37" s="2"/>
      <x:c r="L37" s="2"/>
      <x:c r="M37" s="2"/>
      <x:c r="N37" s="2"/>
      <x:c r="O37" s="2"/>
      <x:c r="P37" s="2"/>
      <x:c r="Q37" s="2"/>
      <x:c r="R37" s="2"/>
    </x:row>
    <x:row r="38" ht="21" customHeight="1">
      <x:c r="B38" s="1"/>
      <x:c r="C38" s="2"/>
      <x:c r="D38" s="2"/>
      <x:c r="E38" s="2"/>
      <x:c r="F38" s="2"/>
      <x:c r="G38" s="2"/>
      <x:c r="H38" s="2"/>
      <x:c r="I38" s="2"/>
      <x:c r="J38" s="2"/>
      <x:c r="K38" s="2"/>
      <x:c r="L38" s="2"/>
      <x:c r="M38" s="2"/>
      <x:c r="N38" s="2"/>
      <x:c r="O38" s="2"/>
      <x:c r="P38" s="2"/>
      <x:c r="Q38" s="2"/>
      <x:c r="R38" s="2"/>
    </x:row>
    <x:row r="39" ht="21" customHeight="1">
      <x:c r="B39" s="1"/>
      <x:c r="C39" s="2"/>
      <x:c r="D39" s="2"/>
      <x:c r="E39" s="2"/>
      <x:c r="F39" s="2"/>
      <x:c r="G39" s="2"/>
      <x:c r="H39" s="2"/>
      <x:c r="I39" s="2"/>
      <x:c r="J39" s="2"/>
      <x:c r="K39" s="2"/>
      <x:c r="L39" s="2"/>
      <x:c r="M39" s="2"/>
      <x:c r="N39" s="2"/>
      <x:c r="O39" s="2"/>
      <x:c r="P39" s="2"/>
      <x:c r="Q39" s="2"/>
      <x:c r="R39" s="2"/>
    </x:row>
    <x:row r="40" ht="21" customHeight="1">
      <x:c r="B40" s="1"/>
      <x:c r="C40" s="2"/>
      <x:c r="D40" s="2"/>
      <x:c r="E40" s="2"/>
      <x:c r="F40" s="2"/>
      <x:c r="G40" s="2"/>
      <x:c r="H40" s="2"/>
      <x:c r="I40" s="2"/>
      <x:c r="J40" s="2"/>
      <x:c r="K40" s="2"/>
      <x:c r="L40" s="2"/>
      <x:c r="M40" s="2"/>
      <x:c r="N40" s="2"/>
      <x:c r="O40" s="2"/>
      <x:c r="P40" s="2"/>
      <x:c r="Q40" s="2"/>
      <x:c r="R40" s="2"/>
    </x:row>
    <x:row r="41" ht="21" customHeight="1">
      <x:c r="B41" s="1"/>
      <x:c r="C41" s="2"/>
      <x:c r="D41" s="2"/>
      <x:c r="E41" s="2"/>
      <x:c r="F41" s="2"/>
      <x:c r="G41" s="2"/>
      <x:c r="H41" s="2"/>
      <x:c r="I41" s="2"/>
      <x:c r="J41" s="2"/>
      <x:c r="K41" s="2"/>
      <x:c r="L41" s="2"/>
      <x:c r="M41" s="2"/>
      <x:c r="N41" s="2"/>
      <x:c r="O41" s="2"/>
      <x:c r="P41" s="2"/>
      <x:c r="Q41" s="2"/>
      <x:c r="R41" s="2"/>
    </x:row>
    <x:row r="42" ht="21" customHeight="1">
      <x:c r="B42" s="1"/>
      <x:c r="C42" s="2"/>
      <x:c r="D42" s="2"/>
      <x:c r="E42" s="2"/>
      <x:c r="F42" s="2"/>
      <x:c r="G42" s="2"/>
      <x:c r="H42" s="2"/>
      <x:c r="I42" s="2"/>
      <x:c r="J42" s="2"/>
      <x:c r="K42" s="2"/>
      <x:c r="L42" s="2"/>
      <x:c r="M42" s="2"/>
      <x:c r="N42" s="2"/>
      <x:c r="O42" s="2"/>
      <x:c r="P42" s="2"/>
      <x:c r="Q42" s="2"/>
      <x:c r="R42" s="2"/>
    </x:row>
    <x:row r="43" ht="21" customHeight="1">
      <x:c r="B43" s="1"/>
      <x:c r="C43" s="2"/>
      <x:c r="D43" s="2"/>
      <x:c r="E43" s="2"/>
      <x:c r="F43" s="2"/>
      <x:c r="G43" s="2"/>
      <x:c r="H43" s="2"/>
      <x:c r="I43" s="2"/>
      <x:c r="J43" s="2"/>
      <x:c r="K43" s="2"/>
      <x:c r="L43" s="2"/>
      <x:c r="M43" s="2"/>
      <x:c r="N43" s="2"/>
      <x:c r="O43" s="2"/>
      <x:c r="P43" s="2"/>
      <x:c r="Q43" s="2"/>
      <x:c r="R43" s="2"/>
    </x:row>
    <x:row r="44" ht="21" customHeight="1">
      <x:c r="B44" s="1"/>
      <x:c r="C44" s="2"/>
      <x:c r="D44" s="2"/>
      <x:c r="E44" s="2"/>
      <x:c r="F44" s="2"/>
      <x:c r="G44" s="2"/>
      <x:c r="H44" s="2"/>
      <x:c r="I44" s="2"/>
      <x:c r="J44" s="2"/>
      <x:c r="K44" s="2"/>
      <x:c r="L44" s="2"/>
      <x:c r="M44" s="2"/>
      <x:c r="N44" s="2"/>
      <x:c r="O44" s="2"/>
      <x:c r="P44" s="2"/>
      <x:c r="Q44" s="2"/>
      <x:c r="R44" s="2"/>
    </x:row>
    <x:row r="45" ht="21" customHeight="1">
      <x:c r="B45" s="1"/>
      <x:c r="C45" s="2"/>
      <x:c r="D45" s="2"/>
      <x:c r="E45" s="2"/>
      <x:c r="F45" s="2"/>
      <x:c r="G45" s="2"/>
      <x:c r="H45" s="2"/>
      <x:c r="I45" s="2"/>
      <x:c r="J45" s="2"/>
      <x:c r="K45" s="2"/>
      <x:c r="L45" s="2"/>
      <x:c r="M45" s="2"/>
      <x:c r="N45" s="2"/>
      <x:c r="O45" s="2"/>
      <x:c r="P45" s="2"/>
      <x:c r="Q45" s="2"/>
      <x:c r="R45" s="2"/>
    </x:row>
    <x:row r="46" ht="21" customHeight="1">
      <x:c r="B46" s="1"/>
      <x:c r="C46" s="2"/>
      <x:c r="D46" s="2"/>
      <x:c r="E46" s="2"/>
      <x:c r="F46" s="2"/>
      <x:c r="G46" s="2"/>
      <x:c r="H46" s="2"/>
      <x:c r="I46" s="2"/>
      <x:c r="J46" s="2"/>
      <x:c r="K46" s="2"/>
      <x:c r="L46" s="2"/>
      <x:c r="M46" s="2"/>
      <x:c r="N46" s="2"/>
      <x:c r="O46" s="2"/>
      <x:c r="P46" s="2"/>
      <x:c r="Q46" s="2"/>
      <x:c r="R46" s="2"/>
    </x:row>
    <x:row r="47" ht="21" customHeight="1">
      <x:c r="B47" s="1"/>
      <x:c r="C47" s="2"/>
      <x:c r="D47" s="2"/>
      <x:c r="E47" s="2"/>
      <x:c r="F47" s="2"/>
      <x:c r="G47" s="2"/>
      <x:c r="H47" s="2"/>
      <x:c r="I47" s="2"/>
      <x:c r="J47" s="2"/>
      <x:c r="K47" s="2"/>
      <x:c r="L47" s="2"/>
      <x:c r="M47" s="2"/>
      <x:c r="N47" s="2"/>
      <x:c r="O47" s="2"/>
      <x:c r="P47" s="2"/>
      <x:c r="Q47" s="2"/>
      <x:c r="R47" s="2"/>
    </x:row>
    <x:row r="48" ht="21" customHeight="1">
      <x:c r="B48" s="1"/>
      <x:c r="C48" s="2"/>
      <x:c r="D48" s="2"/>
      <x:c r="E48" s="2"/>
      <x:c r="F48" s="2"/>
      <x:c r="G48" s="2"/>
      <x:c r="H48" s="2"/>
      <x:c r="I48" s="2"/>
      <x:c r="J48" s="2"/>
      <x:c r="K48" s="2"/>
      <x:c r="L48" s="2"/>
      <x:c r="M48" s="2"/>
      <x:c r="N48" s="2"/>
      <x:c r="O48" s="2"/>
      <x:c r="P48" s="2"/>
      <x:c r="Q48" s="2"/>
      <x:c r="R48" s="2"/>
    </x:row>
    <x:row r="49" ht="21" customHeight="1">
      <x:c r="B49" s="1"/>
      <x:c r="C49" s="2"/>
      <x:c r="D49" s="2"/>
      <x:c r="E49" s="2"/>
      <x:c r="F49" s="2"/>
      <x:c r="G49" s="2"/>
      <x:c r="H49" s="2"/>
      <x:c r="I49" s="2"/>
      <x:c r="J49" s="2"/>
      <x:c r="K49" s="2"/>
      <x:c r="L49" s="2"/>
      <x:c r="M49" s="2"/>
      <x:c r="N49" s="2"/>
      <x:c r="O49" s="2"/>
      <x:c r="P49" s="2"/>
      <x:c r="Q49" s="2"/>
      <x:c r="R49" s="2"/>
    </x:row>
    <x:row r="50" ht="21" customHeight="1">
      <x:c r="B50" s="1"/>
      <x:c r="C50" s="2"/>
      <x:c r="D50" s="2"/>
      <x:c r="E50" s="2"/>
      <x:c r="F50" s="2"/>
      <x:c r="G50" s="2"/>
      <x:c r="H50" s="2"/>
      <x:c r="I50" s="2"/>
      <x:c r="J50" s="2"/>
      <x:c r="K50" s="2"/>
      <x:c r="L50" s="2"/>
      <x:c r="M50" s="2"/>
      <x:c r="N50" s="2"/>
      <x:c r="O50" s="2"/>
      <x:c r="P50" s="2"/>
      <x:c r="Q50" s="2"/>
      <x:c r="R50" s="2"/>
    </x:row>
    <x:row r="51" ht="21" customHeight="1">
      <x:c r="B51" s="1"/>
      <x:c r="C51" s="2"/>
      <x:c r="D51" s="2"/>
      <x:c r="E51" s="2"/>
      <x:c r="F51" s="2"/>
      <x:c r="G51" s="2"/>
      <x:c r="H51" s="2"/>
      <x:c r="I51" s="2"/>
      <x:c r="J51" s="2"/>
      <x:c r="K51" s="2"/>
      <x:c r="L51" s="2"/>
      <x:c r="M51" s="2"/>
      <x:c r="N51" s="2"/>
      <x:c r="O51" s="2"/>
      <x:c r="P51" s="2"/>
      <x:c r="Q51" s="2"/>
      <x:c r="R51" s="2"/>
    </x:row>
    <x:row r="52" ht="21" customHeight="1">
      <x:c r="B52" s="1"/>
      <x:c r="C52" s="2"/>
      <x:c r="D52" s="2"/>
      <x:c r="E52" s="2"/>
      <x:c r="F52" s="2"/>
      <x:c r="G52" s="2"/>
      <x:c r="H52" s="2"/>
      <x:c r="I52" s="2"/>
      <x:c r="J52" s="2"/>
      <x:c r="K52" s="2"/>
      <x:c r="L52" s="2"/>
      <x:c r="M52" s="2"/>
      <x:c r="N52" s="2"/>
      <x:c r="O52" s="2"/>
      <x:c r="P52" s="2"/>
      <x:c r="Q52" s="2"/>
      <x:c r="R52" s="2"/>
    </x:row>
    <x:row r="53" ht="21" customHeight="1">
      <x:c r="B53" s="1"/>
      <x:c r="C53" s="2"/>
      <x:c r="D53" s="2"/>
      <x:c r="E53" s="2"/>
      <x:c r="F53" s="2"/>
      <x:c r="G53" s="2"/>
      <x:c r="H53" s="2"/>
      <x:c r="I53" s="2"/>
      <x:c r="J53" s="2"/>
      <x:c r="K53" s="2"/>
      <x:c r="L53" s="2"/>
      <x:c r="M53" s="2"/>
      <x:c r="N53" s="2"/>
      <x:c r="O53" s="2"/>
      <x:c r="P53" s="2"/>
      <x:c r="Q53" s="2"/>
      <x:c r="R53" s="2"/>
    </x:row>
    <x:row r="54" ht="21" customHeight="1">
      <x:c r="B54" s="1"/>
      <x:c r="C54" s="2"/>
      <x:c r="D54" s="2"/>
      <x:c r="E54" s="2"/>
      <x:c r="F54" s="2"/>
      <x:c r="G54" s="2"/>
      <x:c r="H54" s="2"/>
      <x:c r="I54" s="2"/>
      <x:c r="J54" s="2"/>
      <x:c r="K54" s="2"/>
      <x:c r="L54" s="2"/>
      <x:c r="M54" s="2"/>
      <x:c r="N54" s="2"/>
      <x:c r="O54" s="2"/>
      <x:c r="P54" s="2"/>
      <x:c r="Q54" s="2"/>
      <x:c r="R54" s="2"/>
    </x:row>
    <x:row r="55" ht="21" customHeight="1">
      <x:c r="B55" s="1"/>
      <x:c r="C55" s="2"/>
      <x:c r="D55" s="2"/>
      <x:c r="E55" s="2"/>
      <x:c r="F55" s="2"/>
      <x:c r="G55" s="2"/>
      <x:c r="H55" s="2"/>
      <x:c r="I55" s="2"/>
      <x:c r="J55" s="2"/>
      <x:c r="K55" s="2"/>
      <x:c r="L55" s="2"/>
      <x:c r="M55" s="2"/>
      <x:c r="N55" s="2"/>
      <x:c r="O55" s="2"/>
      <x:c r="P55" s="2"/>
      <x:c r="Q55" s="2"/>
      <x:c r="R55" s="2"/>
    </x:row>
    <x:row r="56" ht="21" customHeight="1">
      <x:c r="B56" s="1"/>
      <x:c r="C56" s="2"/>
      <x:c r="D56" s="2"/>
      <x:c r="E56" s="2"/>
      <x:c r="F56" s="2"/>
      <x:c r="G56" s="2"/>
      <x:c r="H56" s="2"/>
      <x:c r="I56" s="2"/>
      <x:c r="J56" s="2"/>
      <x:c r="K56" s="2"/>
      <x:c r="L56" s="2"/>
      <x:c r="M56" s="2"/>
      <x:c r="N56" s="2"/>
      <x:c r="O56" s="2"/>
      <x:c r="P56" s="2"/>
      <x:c r="Q56" s="2"/>
      <x:c r="R56" s="2"/>
    </x:row>
    <x:row r="57" ht="21" customHeight="1">
      <x:c r="B57" s="1"/>
      <x:c r="C57" s="2"/>
      <x:c r="D57" s="2"/>
      <x:c r="E57" s="2"/>
      <x:c r="F57" s="2"/>
      <x:c r="G57" s="2"/>
      <x:c r="H57" s="2"/>
      <x:c r="I57" s="2"/>
      <x:c r="J57" s="2"/>
      <x:c r="K57" s="2"/>
      <x:c r="L57" s="2"/>
      <x:c r="M57" s="2"/>
      <x:c r="N57" s="2"/>
      <x:c r="O57" s="2"/>
      <x:c r="P57" s="2"/>
      <x:c r="Q57" s="2"/>
      <x:c r="R57" s="2"/>
    </x:row>
    <x:row r="58" ht="21" customHeight="1">
      <x:c r="B58" s="1"/>
      <x:c r="C58" s="2"/>
      <x:c r="D58" s="2"/>
      <x:c r="E58" s="2"/>
      <x:c r="F58" s="2"/>
      <x:c r="G58" s="2"/>
      <x:c r="H58" s="2"/>
      <x:c r="I58" s="2"/>
      <x:c r="J58" s="2"/>
      <x:c r="K58" s="2"/>
      <x:c r="L58" s="2"/>
      <x:c r="M58" s="2"/>
      <x:c r="N58" s="2"/>
      <x:c r="O58" s="2"/>
      <x:c r="P58" s="2"/>
      <x:c r="Q58" s="2"/>
      <x:c r="R58" s="2"/>
    </x:row>
  </x:sheetData>
  <x:pageMargins left="0.7" right="0.7" top="0.75" bottom="0.75" header="0.3" footer="0.3"/>
</x:worksheet>
</file>