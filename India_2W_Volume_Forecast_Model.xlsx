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1e74442ae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f973708b504c14"/>
    <x:sheet xmlns:r="http://schemas.openxmlformats.org/officeDocument/2006/relationships" name="Drivers" sheetId="2" r:id="R3f197d3bf446423c"/>
    <x:sheet xmlns:r="http://schemas.openxmlformats.org/officeDocument/2006/relationships" name="Demand build" sheetId="3" r:id="R0fc5295ab53747cf"/>
    <x:sheet xmlns:r="http://schemas.openxmlformats.org/officeDocument/2006/relationships" name="Actuals" sheetId="4" r:id="R6d1714109903490f"/>
    <x:sheet xmlns:r="http://schemas.openxmlformats.org/officeDocument/2006/relationships" name="Method" sheetId="5" r:id="Re50c9573d8b5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;(#,##0.000);–"/>
    <x:numFmt numFmtId="201" formatCode="0.0%;(0.0%);–"/>
    <x:numFmt numFmtId="202" formatCode="0.00&quot;x&quot;"/>
    <x:numFmt numFmtId="203" formatCode="0.000;(0.000);0.000"/>
  </x:numFmts>
  <x:fonts count="7">
    <x:font>
      <x:sz val="11"/>
      <x:name val="Carlito"/>
    </x:font>
    <x:font>
      <x:sz val="10"/>
      <x:color rgb="FF1E293B"/>
      <x:name val="Arial"/>
    </x:font>
    <x:font>
      <x:b/>
      <x:sz val="15"/>
      <x:color rgb="FF14304D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75CD3"/>
      <x:name val="Arial"/>
    </x:font>
    <x:font>
      <x:sz val="10"/>
      <x:color rgb="FF64748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4304D"/>
      </x:patternFill>
    </x:fill>
    <x:fill>
      <x:patternFill patternType="solid">
        <x:fgColor rgb="FFFFF0BF"/>
      </x:patternFill>
    </x:fill>
    <x:fill>
      <x:patternFill patternType="solid">
        <x:fgColor rgb="FFE8F1F8"/>
      </x:patternFill>
    </x:fill>
    <x:fill>
      <x:patternFill patternType="solid">
        <x:fgColor rgb="FFFFE7C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55B86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201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5579ae9a24528" /><Relationship Type="http://schemas.openxmlformats.org/officeDocument/2006/relationships/theme" Target="/xl/theme/theme1.xml" Id="R6d7bdc484fd94296" /><Relationship Type="http://schemas.openxmlformats.org/officeDocument/2006/relationships/sharedStrings" Target="/xl/sharedStrings.xml" Id="R46daf967d9de4817" /><Relationship Type="http://schemas.openxmlformats.org/officeDocument/2006/relationships/worksheet" Target="/xl/worksheets/sheet1.xml" Id="Rc9f973708b504c14" /><Relationship Type="http://schemas.openxmlformats.org/officeDocument/2006/relationships/worksheet" Target="/xl/worksheets/sheet2.xml" Id="R3f197d3bf446423c" /><Relationship Type="http://schemas.openxmlformats.org/officeDocument/2006/relationships/worksheet" Target="/xl/worksheets/sheet3.xml" Id="R0fc5295ab53747cf" /><Relationship Type="http://schemas.openxmlformats.org/officeDocument/2006/relationships/worksheet" Target="/xl/worksheets/sheet4.xml" Id="R6d1714109903490f" /><Relationship Type="http://schemas.openxmlformats.org/officeDocument/2006/relationships/worksheet" Target="/xl/worksheets/sheet5.xml" Id="Re50c9573d8b545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a511f4137043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Domestic 2W sales (million)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2W sales (m)</c:v>
          </c:tx>
          <c:spPr>
            <a:ln xmlns:a="http://schemas.openxmlformats.org/drawingml/2006/main" w="19050">
              <a:solidFill>
                <a:srgbClr val="255B86"/>
              </a:solidFill>
              <a:prstDash val="solid"/>
            </a:ln>
          </c:spPr>
          <c:marker>
            <c:symbol val="none"/>
          </c:marker>
          <c:cat>
            <c:strRef>
              <c:f>'Summary'!$J$6:$J$11</c:f>
              <c:strCache>
                <c:ptCount val="0"/>
              </c:strCache>
            </c:strRef>
          </c:cat>
          <c:val>
            <c:numRef>
              <c:f>'Summary'!$K$6:$K$11</c:f>
              <c:numCache>
                <c:formatCode>#,##0.000;(#,##0.000);–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a511f4137043a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d9fc78b5474b30" /></Relationships>
</file>

<file path=xl/worksheets/sheet1.xml><?xml version="1.0" encoding="utf-8"?>
<x:worksheet xmlns:x="http://schemas.openxmlformats.org/spreadsheetml/2006/main">
  <x:sheetPr>
    <x:tabColor rgb="FF14304D"/>
  </x:sheetPr>
  <x:sheetViews>
    <x:sheetView showGridLines="0" workbookViewId="0"/>
  </x:sheetViews>
  <x:sheetFormatPr defaultRowHeight="15"/>
  <x:cols>
    <x:col min="2" max="2" width="3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2" ht="21" customHeight="1">
      <x:c r="B2" s="3" t="str">
        <x:v>India two-wheeler volume outlook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1" customHeight="1">
      <x:c r="B3" s="4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1" customHeight="1">
      <x:c r="B4" s="6" t="str">
        <x:v>Domestic SIAM wholesales, million units. Forecast is illustrative and fully driven by the yellow inputs.</x:v>
      </x:c>
      <x:c r="C4" s="7"/>
      <x:c r="D4" s="7"/>
      <x:c r="E4" s="7"/>
      <x:c r="F4" s="7"/>
      <x:c r="G4" s="7"/>
      <x:c r="H4" s="7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1" customHeight="1">
      <x:c r="B5" s="1"/>
      <x:c r="C5" s="2"/>
      <x:c r="D5" s="2"/>
      <x:c r="E5" s="2"/>
      <x:c r="F5" s="2"/>
      <x:c r="G5" s="2"/>
      <x:c r="H5" s="2"/>
      <x:c r="I5" s="2"/>
      <x:c r="J5" s="2" t="str">
        <x:v>Fiscal year</x:v>
      </x:c>
      <x:c r="K5" s="2" t="str">
        <x:v>2W sales (m)</x:v>
      </x:c>
      <x:c r="L5" s="2"/>
      <x:c r="M5" s="2"/>
      <x:c r="N5" s="2"/>
      <x:c r="O5" s="2"/>
      <x:c r="P5" s="2"/>
      <x:c r="Q5" s="2"/>
      <x:c r="R5" s="2"/>
    </x:row>
    <x:row r="6" ht="21" customHeight="1">
      <x:c r="B6" s="1"/>
      <x:c r="C6" s="2" t="str">
        <x:v>FY24A</x:v>
      </x:c>
      <x:c r="D6" s="2" t="str">
        <x:v>FY25A</x:v>
      </x:c>
      <x:c r="E6" s="2" t="str">
        <x:v>FY26A</x:v>
      </x:c>
      <x:c r="F6" s="2" t="str">
        <x:v>FY27E</x:v>
      </x:c>
      <x:c r="G6" s="2" t="str">
        <x:v>FY28E</x:v>
      </x:c>
      <x:c r="H6" s="2" t="str">
        <x:v>FY29E</x:v>
      </x:c>
      <x:c r="I6" s="2"/>
      <x:c r="J6" s="2" t="str">
        <x:v>FY24</x:v>
      </x:c>
      <x:c r="K6" s="12" t="n">
        <x:f>C11</x:f>
        <x:v>17.974365</x:v>
      </x:c>
      <x:c r="L6" s="2"/>
      <x:c r="M6" s="2"/>
      <x:c r="N6" s="2"/>
      <x:c r="O6" s="2"/>
      <x:c r="P6" s="2"/>
      <x:c r="Q6" s="2"/>
      <x:c r="R6" s="2"/>
    </x:row>
    <x:row r="7" ht="25" customHeight="1">
      <x:c r="B7" s="10" t="str">
        <x:v>Industry volumes</x:v>
      </x:c>
      <x:c r="C7" s="11"/>
      <x:c r="D7" s="11"/>
      <x:c r="E7" s="11"/>
      <x:c r="F7" s="11"/>
      <x:c r="G7" s="11"/>
      <x:c r="H7" s="11"/>
      <x:c r="I7" s="2"/>
      <x:c r="J7" s="2" t="str">
        <x:v>FY25</x:v>
      </x:c>
      <x:c r="K7" s="12" t="n">
        <x:f>D11</x:f>
        <x:v>19.607332</x:v>
      </x:c>
      <x:c r="L7" s="2"/>
      <x:c r="M7" s="2"/>
      <x:c r="N7" s="2"/>
      <x:c r="O7" s="2"/>
      <x:c r="P7" s="2"/>
      <x:c r="Q7" s="2"/>
      <x:c r="R7" s="2"/>
    </x:row>
    <x:row r="8" ht="21" customHeight="1">
      <x:c r="B8" s="1" t="str">
        <x:v>Motorcycles</x:v>
      </x:c>
      <x:c r="C8" s="12" t="n">
        <x:f>Actuals!C8</x:f>
        <x:v>11.653237</x:v>
      </x:c>
      <x:c r="D8" s="12" t="n">
        <x:f>Actuals!D8</x:f>
        <x:v>12.252305</x:v>
      </x:c>
      <x:c r="E8" s="12" t="n">
        <x:f>Actuals!E8</x:f>
        <x:v>13.064789</x:v>
      </x:c>
      <x:c r="F8" s="12" t="n">
        <x:f>'Demand build'!D17</x:f>
        <x:v>13.866957515478699</x:v>
      </x:c>
      <x:c r="G8" s="12" t="n">
        <x:f>'Demand build'!E17</x:f>
        <x:v>14.254641235520651</x:v>
      </x:c>
      <x:c r="H8" s="12" t="n">
        <x:f>'Demand build'!F17</x:f>
        <x:v>15.096377800478148</x:v>
      </x:c>
      <x:c r="I8" s="2"/>
      <x:c r="J8" s="2" t="str">
        <x:v>FY26</x:v>
      </x:c>
      <x:c r="K8" s="12" t="n">
        <x:f>E11</x:f>
        <x:v>21.705974</x:v>
      </x:c>
      <x:c r="L8" s="2"/>
      <x:c r="M8" s="2"/>
      <x:c r="N8" s="2"/>
      <x:c r="O8" s="2"/>
      <x:c r="P8" s="2"/>
      <x:c r="Q8" s="2"/>
      <x:c r="R8" s="2"/>
    </x:row>
    <x:row r="9" ht="21" customHeight="1">
      <x:c r="B9" s="1" t="str">
        <x:v>Scooters</x:v>
      </x:c>
      <x:c r="C9" s="12" t="n">
        <x:f>Actuals!C9</x:f>
        <x:v>5.839325</x:v>
      </x:c>
      <x:c r="D9" s="12" t="n">
        <x:f>Actuals!D9</x:f>
        <x:v>6.853214</x:v>
      </x:c>
      <x:c r="E9" s="12" t="n">
        <x:f>Actuals!E9</x:f>
        <x:v>8.117945</x:v>
      </x:c>
      <x:c r="F9" s="12" t="n">
        <x:f>'Demand build'!D33</x:f>
        <x:v>8.792134411229569</x:v>
      </x:c>
      <x:c r="G9" s="12" t="n">
        <x:f>'Demand build'!E33</x:f>
        <x:v>9.176369839498896</x:v>
      </x:c>
      <x:c r="H9" s="12" t="n">
        <x:f>'Demand build'!F33</x:f>
        <x:v>9.872856310316866</x:v>
      </x:c>
      <x:c r="I9" s="2"/>
      <x:c r="J9" s="2" t="str">
        <x:v>FY27E</x:v>
      </x:c>
      <x:c r="K9" s="12" t="n">
        <x:f>F11</x:f>
        <x:v>23.19631513407046</x:v>
      </x:c>
      <x:c r="L9" s="2"/>
      <x:c r="M9" s="2"/>
      <x:c r="N9" s="2"/>
      <x:c r="O9" s="2"/>
      <x:c r="P9" s="2"/>
      <x:c r="Q9" s="2"/>
      <x:c r="R9" s="2"/>
    </x:row>
    <x:row r="10" ht="21" customHeight="1">
      <x:c r="B10" s="1" t="str">
        <x:v>Mopeds</x:v>
      </x:c>
      <x:c r="C10" s="12" t="n">
        <x:f>Actuals!C10</x:f>
        <x:v>0.481803</x:v>
      </x:c>
      <x:c r="D10" s="12" t="n">
        <x:f>Actuals!D10</x:f>
        <x:v>0.501813</x:v>
      </x:c>
      <x:c r="E10" s="12" t="n">
        <x:f>Actuals!E10</x:f>
        <x:v>0.52324</x:v>
      </x:c>
      <x:c r="F10" s="12" t="n">
        <x:f>'Demand build'!D49</x:f>
        <x:v>0.5372232073621925</x:v>
      </x:c>
      <x:c r="G10" s="12" t="n">
        <x:f>'Demand build'!E49</x:f>
        <x:v>0.5401764329602209</x:v>
      </x:c>
      <x:c r="H10" s="12" t="n">
        <x:f>'Demand build'!F49</x:f>
        <x:v>0.5532622070486822</x:v>
      </x:c>
      <x:c r="I10" s="2"/>
      <x:c r="J10" s="2" t="str">
        <x:v>FY28E</x:v>
      </x:c>
      <x:c r="K10" s="12" t="n">
        <x:f>G11</x:f>
        <x:v>23.971187507979767</x:v>
      </x:c>
      <x:c r="L10" s="2"/>
      <x:c r="M10" s="2"/>
      <x:c r="N10" s="2"/>
      <x:c r="O10" s="2"/>
      <x:c r="P10" s="2"/>
      <x:c r="Q10" s="2"/>
      <x:c r="R10" s="2"/>
    </x:row>
    <x:row r="11" ht="21" customHeight="1">
      <x:c r="B11" s="1" t="str">
        <x:v>Total two-wheelers</x:v>
      </x:c>
      <x:c r="C11" s="15" t="n">
        <x:f>SUM(C8:C10)</x:f>
        <x:v>17.974365</x:v>
      </x:c>
      <x:c r="D11" s="15" t="n">
        <x:f>SUM(D8:D10)</x:f>
        <x:v>19.607332</x:v>
      </x:c>
      <x:c r="E11" s="15" t="n">
        <x:f>SUM(E8:E10)</x:f>
        <x:v>21.705974</x:v>
      </x:c>
      <x:c r="F11" s="15" t="n">
        <x:f>SUM(F8:F10)</x:f>
        <x:v>23.19631513407046</x:v>
      </x:c>
      <x:c r="G11" s="15" t="n">
        <x:f>SUM(G8:G10)</x:f>
        <x:v>23.971187507979767</x:v>
      </x:c>
      <x:c r="H11" s="15" t="n">
        <x:f>SUM(H8:H10)</x:f>
        <x:v>25.522496317843697</x:v>
      </x:c>
      <x:c r="I11" s="2"/>
      <x:c r="J11" s="2" t="str">
        <x:v>FY29E</x:v>
      </x:c>
      <x:c r="K11" s="12" t="n">
        <x:f>H11</x:f>
        <x:v>25.522496317843697</x:v>
      </x:c>
      <x:c r="L11" s="2"/>
      <x:c r="M11" s="2"/>
      <x:c r="N11" s="2"/>
      <x:c r="O11" s="2"/>
      <x:c r="P11" s="2"/>
      <x:c r="Q11" s="2"/>
      <x:c r="R11" s="2"/>
    </x:row>
    <x:row r="12" ht="21" customHeight="1">
      <x:c r="B12" s="1" t="str">
        <x:v>Year-on-year growth</x:v>
      </x:c>
      <x:c r="C12" s="25"/>
      <x:c r="D12" s="24" t="n">
        <x:f>D11/C11-1</x:f>
        <x:v>0.09084977410884898</x:v>
      </x:c>
      <x:c r="E12" s="24" t="n">
        <x:f>E11/D11-1</x:f>
        <x:v>0.10703353215011613</x:v>
      </x:c>
      <x:c r="F12" s="24" t="n">
        <x:f>F11/E11-1</x:f>
        <x:v>0.06866041275413215</x:v>
      </x:c>
      <x:c r="G12" s="24" t="n">
        <x:f>G11/F11-1</x:f>
        <x:v>0.03340497701599099</x:v>
      </x:c>
      <x:c r="H12" s="24" t="n">
        <x:f>H11/G11-1</x:f>
        <x:v>0.06471555943348717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1" customHeight="1">
      <x:c r="B13" s="1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1" customHeight="1">
      <x:c r="B14" s="1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5" customHeight="1">
      <x:c r="B15" s="10" t="str">
        <x:v>Growth drivers (million units versus prior year)</x:v>
      </x:c>
      <x:c r="C15" s="11"/>
      <x:c r="D15" s="11"/>
      <x:c r="E15" s="11"/>
      <x:c r="F15" s="11"/>
      <x:c r="G15" s="11"/>
      <x:c r="H15" s="11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1" customHeight="1">
      <x:c r="B16" s="1" t="str">
        <x:v>Replacement demand</x:v>
      </x:c>
      <x:c r="C16" s="2"/>
      <x:c r="D16" s="2"/>
      <x:c r="E16" s="2"/>
      <x:c r="F16" s="12" t="n">
        <x:f>SUM('Demand build'!D9,'Demand build'!D25,'Demand build'!D41)</x:f>
        <x:v>0.7158886912500001</x:v>
      </x:c>
      <x:c r="G16" s="12" t="n">
        <x:f>SUM('Demand build'!E9,'Demand build'!E25,'Demand build'!E41)</x:f>
        <x:v>0.682311451517983</x:v>
      </x:c>
      <x:c r="H16" s="12" t="n">
        <x:f>SUM('Demand build'!F9,'Demand build'!F25,'Demand build'!F41)</x:f>
        <x:v>0.7885091608428599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1" customHeight="1">
      <x:c r="B17" s="1" t="str">
        <x:v>First-time demand</x:v>
      </x:c>
      <x:c r="C17" s="2"/>
      <x:c r="D17" s="2"/>
      <x:c r="E17" s="2"/>
      <x:c r="F17" s="12" t="n">
        <x:f>SUM('Demand build'!D10,'Demand build'!D26,'Demand build'!D42)</x:f>
        <x:v>0.5427444100000001</x:v>
      </x:c>
      <x:c r="G17" s="12" t="n">
        <x:f>SUM('Demand build'!E10,'Demand build'!E26,'Demand build'!E42)</x:f>
        <x:v>0.42032256726895495</x:v>
      </x:c>
      <x:c r="H17" s="12" t="n">
        <x:f>SUM('Demand build'!F10,'Demand build'!F26,'Demand build'!F42)</x:f>
        <x:v>0.5040906654511855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1" customHeight="1">
      <x:c r="B18" s="1" t="str">
        <x:v>Rural income</x:v>
      </x:c>
      <x:c r="C18" s="2"/>
      <x:c r="D18" s="2"/>
      <x:c r="E18" s="2"/>
      <x:c r="F18" s="12" t="n">
        <x:f>SUM('Demand build'!D11,'Demand build'!D27,'Demand build'!D43)</x:f>
        <x:v>0.200506633</x:v>
      </x:c>
      <x:c r="G18" s="12" t="n">
        <x:f>SUM('Demand build'!E11,'Demand build'!E27,'Demand build'!E43)</x:f>
        <x:v>0.04267531896116048</x:v>
      </x:c>
      <x:c r="H18" s="12" t="n">
        <x:f>SUM('Demand build'!F11,'Demand build'!F27,'Demand build'!F43)</x:f>
        <x:v>0.1819527738780032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1" customHeight="1">
      <x:c r="B19" s="1" t="str">
        <x:v>Financing</x:v>
      </x:c>
      <x:c r="C19" s="2"/>
      <x:c r="D19" s="2"/>
      <x:c r="E19" s="2"/>
      <x:c r="F19" s="12" t="n">
        <x:f>SUM('Demand build'!D12,'Demand build'!D28,'Demand build'!D44)</x:f>
        <x:v>0.080830572</x:v>
      </x:c>
      <x:c r="G19" s="12" t="n">
        <x:f>SUM('Demand build'!E12,'Demand build'!E28,'Demand build'!E44)</x:f>
        <x:v>-0.04639263026814092</x:v>
      </x:c>
      <x:c r="H19" s="12" t="n">
        <x:f>SUM('Demand build'!F12,'Demand build'!F28,'Demand build'!F44)</x:f>
        <x:v>0.08054975593047799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1" customHeight="1">
      <x:c r="B20" s="1" t="str">
        <x:v>Change in GST affordability</x:v>
      </x:c>
      <x:c r="C20" s="2"/>
      <x:c r="D20" s="2"/>
      <x:c r="E20" s="2"/>
      <x:c r="F20" s="12" t="n">
        <x:f>SUM('Demand build'!D13,'Demand build'!D29,'Demand build'!D45)</x:f>
        <x:v>0.06555909329999997</x:v>
      </x:c>
      <x:c r="G20" s="12" t="n">
        <x:f>SUM('Demand build'!E13,'Demand build'!E29,'Demand build'!E45)</x:f>
        <x:v>-0.2807213846685095</x:v>
      </x:c>
      <x:c r="H20" s="12" t="n">
        <x:f>SUM('Demand build'!F13,'Demand build'!F29,'Demand build'!F45)</x:f>
        <x:v>-0.07261632003484626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1" customHeight="1">
      <x:c r="B21" s="1" t="str">
        <x:v>Repayment of FY26 timing benefit</x:v>
      </x:c>
      <x:c r="C21" s="2"/>
      <x:c r="D21" s="2"/>
      <x:c r="E21" s="2"/>
      <x:c r="F21" s="12" t="n">
        <x:f>SUM('Demand build'!D14,'Demand build'!D30,'Demand build'!D46)</x:f>
        <x:v>-0.16389593547954054</x:v>
      </x:c>
      <x:c r="G21" s="12" t="n">
        <x:f>SUM('Demand build'!E14,'Demand build'!E30,'Demand build'!E46)</x:f>
        <x:v>-0.10926395698636038</x:v>
      </x:c>
      <x:c r="H21" s="12" t="n">
        <x:f>SUM('Demand build'!F14,'Demand build'!F30,'Demand build'!F46)</x:f>
        <x:v>0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1" customHeight="1">
      <x:c r="B22" s="1" t="str">
        <x:v>EV-related incremental scooter demand</x:v>
      </x:c>
      <x:c r="C22" s="2"/>
      <x:c r="D22" s="2"/>
      <x:c r="E22" s="2"/>
      <x:c r="F22" s="12" t="n">
        <x:f>SUM('Demand build'!D15,'Demand build'!D31,'Demand build'!D47)</x:f>
        <x:v>0.04870767</x:v>
      </x:c>
      <x:c r="G22" s="12" t="n">
        <x:f>SUM('Demand build'!E15,'Demand build'!E31,'Demand build'!E47)</x:f>
        <x:v>0.06594100808422179</x:v>
      </x:c>
      <x:c r="H22" s="12" t="n">
        <x:f>SUM('Demand build'!F15,'Demand build'!F31,'Demand build'!F47)</x:f>
        <x:v>0.0688227737962417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1" customHeight="1">
      <x:c r="B23" s="1" t="str">
        <x:v>Dealer inventory change</x:v>
      </x:c>
      <x:c r="C23" s="2"/>
      <x:c r="D23" s="2"/>
      <x:c r="E23" s="2"/>
      <x:c r="F23" s="12" t="n">
        <x:f>SUM('Demand build'!D16,'Demand build'!D32,'Demand build'!D48)</x:f>
        <x:v>0</x:v>
      </x:c>
      <x:c r="G23" s="12" t="n">
        <x:f>SUM('Demand build'!E16,'Demand build'!E32,'Demand build'!E48)</x:f>
        <x:v>0</x:v>
      </x:c>
      <x:c r="H23" s="12" t="n">
        <x:f>SUM('Demand build'!F16,'Demand build'!F32,'Demand build'!F48)</x:f>
        <x:v>0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1" customHeight="1">
      <x:c r="B24" s="1" t="str">
        <x:v>Total change in domestic wholesales</x:v>
      </x:c>
      <x:c r="C24" s="2"/>
      <x:c r="D24" s="2"/>
      <x:c r="E24" s="2"/>
      <x:c r="F24" s="15" t="n">
        <x:f>SUM(F16:F23)</x:f>
        <x:v>1.4903411340704593</x:v>
      </x:c>
      <x:c r="G24" s="15" t="n">
        <x:f>SUM(G16:G23)</x:f>
        <x:v>0.7748723739093092</x:v>
      </x:c>
      <x:c r="H24" s="15" t="n">
        <x:f>SUM(H16:H23)</x:f>
        <x:v>1.551308809863922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1" customHeight="1"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1" customHeight="1"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5" customHeight="1">
      <x:c r="B27" s="10" t="str">
        <x:v>Scooter electrification and checks</x:v>
      </x:c>
      <x:c r="C27" s="11"/>
      <x:c r="D27" s="11"/>
      <x:c r="E27" s="11"/>
      <x:c r="F27" s="11"/>
      <x:c r="G27" s="11"/>
      <x:c r="H27" s="11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1" customHeight="1">
      <x:c r="B28" s="1" t="str">
        <x:v>Electric share of scooters</x:v>
      </x:c>
      <x:c r="C28" s="2"/>
      <x:c r="D28" s="2"/>
      <x:c r="E28" s="21" t="n">
        <x:f>Actuals!E20</x:f>
        <x:v>0.08</x:v>
      </x:c>
      <x:c r="F28" s="21" t="n">
        <x:f>Drivers!D36</x:f>
        <x:v>0.12</x:v>
      </x:c>
      <x:c r="G28" s="21" t="n">
        <x:f>Drivers!E36</x:f>
        <x:v>0.17</x:v>
      </x:c>
      <x:c r="H28" s="21" t="n">
        <x:f>Drivers!F36</x:f>
        <x:v>0.22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1" customHeight="1">
      <x:c r="B29" s="1" t="str">
        <x:v>Electric scooter sales (included in scooters)</x:v>
      </x:c>
      <x:c r="C29" s="2"/>
      <x:c r="D29" s="2"/>
      <x:c r="E29" s="2"/>
      <x:c r="F29" s="12" t="n">
        <x:f>F9*F28</x:f>
        <x:v>1.0550561293475482</x:v>
      </x:c>
      <x:c r="G29" s="12" t="n">
        <x:f>G9*G28</x:f>
        <x:v>1.5599828727148124</x:v>
      </x:c>
      <x:c r="H29" s="12" t="n">
        <x:f>H9*H28</x:f>
        <x:v>2.1720283882697107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1" customHeight="1">
      <x:c r="B30" s="1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1" customHeight="1">
      <x:c r="B31" s="1" t="str">
        <x:v>Bridge difference vs. annual change</x:v>
      </x:c>
      <x:c r="C31" s="2"/>
      <x:c r="D31" s="2"/>
      <x:c r="E31" s="2"/>
      <x:c r="F31" s="26" t="n">
        <x:f>F24-(F11-E11)</x:f>
        <x:v>6.661338147750939e-16</x:v>
      </x:c>
      <x:c r="G31" s="26" t="n">
        <x:f>G24-(G11-F11)</x:f>
        <x:v>1.887379141862766e-15</x:v>
      </x:c>
      <x:c r="H31" s="26" t="n">
        <x:f>H24-(H11-G11)</x:f>
        <x:v>-7.327471962526033e-15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1" customHeight="1">
      <x:c r="B32" s="1" t="str">
        <x:v>FY26 timing debt remaining after FY29</x:v>
      </x:c>
      <x:c r="C32" s="2"/>
      <x:c r="D32" s="2"/>
      <x:c r="E32" s="2"/>
      <x:c r="F32" s="26"/>
      <x:c r="G32" s="26"/>
      <x:c r="H32" s="26" t="n">
        <x:f>Actuals!E26*(1-SUM(Drivers!D34:F34))</x:f>
        <x:v>0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1" customHeight="1">
      <x:c r="B33" s="1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1" customHeight="1">
      <x:c r="B34" s="1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1" customHeight="1">
      <x:c r="B35" s="1" t="str">
        <x:v>Interpretation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1" customHeight="1">
      <x:c r="B36" s="27" t="str">
        <x:v>Replacement demand matters more than first-time ownership. Scooters and motorcycles need separate forecasts.</x:v>
      </x:c>
      <x:c r="C36" s="28"/>
      <x:c r="D36" s="28"/>
      <x:c r="E36" s="28"/>
      <x:c r="F36" s="28"/>
      <x:c r="G36" s="28"/>
      <x:c r="H36" s="28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1" customHeight="1">
      <x:c r="B37" s="27" t="str">
        <x:v>The GST effect is measured as a change in its residual price benefit. EV sales are mostly substitution within scooters.</x:v>
      </x:c>
      <x:c r="C37" s="28"/>
      <x:c r="D37" s="28"/>
      <x:c r="E37" s="28"/>
      <x:c r="F37" s="28"/>
      <x:c r="G37" s="28"/>
      <x:c r="H37" s="28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1" customHeight="1">
      <x:c r="B38" s="27" t="str">
        <x:v>The timing-debt calibration is deliberately modest and editable; wholesale inventory swings are not assumed to be retail demand.</x:v>
      </x:c>
      <x:c r="C38" s="28"/>
      <x:c r="D38" s="28"/>
      <x:c r="E38" s="28"/>
      <x:c r="F38" s="28"/>
      <x:c r="G38" s="28"/>
      <x:c r="H38" s="28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1" customHeight="1">
      <x:c r="B39" s="1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1" customHeight="1">
      <x:c r="B40" s="1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5" customHeight="1">
      <x:c r="B41" s="10" t="str">
        <x:v>FY27 published sales versus forecast</x:v>
      </x:c>
      <x:c r="C41" s="11"/>
      <x:c r="D41" s="11"/>
      <x:c r="E41" s="11"/>
      <x:c r="F41" s="11"/>
      <x:c r="G41" s="11"/>
      <x:c r="H41" s="11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1" customHeight="1">
      <x:c r="B42" s="1" t="str">
        <x:v>April–August FY27 actual</x:v>
      </x:c>
      <x:c r="C42" s="2"/>
      <x:c r="D42" s="2"/>
      <x:c r="E42" s="2"/>
      <x:c r="F42" s="12" t="n">
        <x:f>Actuals!E37</x:f>
        <x:v>9.586856000000001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1" customHeight="1">
      <x:c r="B43" s="1" t="str">
        <x:v>April–August growth</x:v>
      </x:c>
      <x:c r="C43" s="2"/>
      <x:c r="D43" s="2"/>
      <x:c r="E43" s="2"/>
      <x:c r="F43" s="21" t="n">
        <x:f>Actuals!E38</x:f>
        <x:v>0.18711649072841552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1" customHeight="1">
      <x:c r="B44" s="1" t="str">
        <x:v>FY27 remaining September–March required</x:v>
      </x:c>
      <x:c r="C44" s="2"/>
      <x:c r="D44" s="2"/>
      <x:c r="E44" s="2"/>
      <x:c r="F44" s="12" t="n">
        <x:f>F11-F42</x:f>
        <x:v>13.609459134070459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1" customHeight="1">
      <x:c r="B45" s="1" t="str">
        <x:v>FY26 September–March comparison</x:v>
      </x:c>
      <x:c r="C45" s="2"/>
      <x:c r="D45" s="2"/>
      <x:c r="E45" s="2"/>
      <x:c r="F45" s="12" t="n">
        <x:f>E11-Actuals!E32</x:f>
        <x:v>13.630224000000002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1" customHeight="1">
      <x:c r="B46" s="1" t="str">
        <x:v>Implied September–March growth</x:v>
      </x:c>
      <x:c r="C46" s="2"/>
      <x:c r="D46" s="2"/>
      <x:c r="E46" s="2"/>
      <x:c r="F46" s="24" t="n">
        <x:f>F44/F45-1</x:f>
        <x:v>-0.001523442749696735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1" customHeight="1">
      <x:c r="B47" s="1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1" customHeight="1">
      <x:c r="B48" s="1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1" customHeight="1">
      <x:c r="B49" s="1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1" customHeight="1">
      <x:c r="B50" s="1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1" customHeight="1">
      <x:c r="B51" s="1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1" customHeight="1">
      <x:c r="B52" s="1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1" customHeight="1">
      <x:c r="B53" s="1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1" customHeight="1">
      <x:c r="B54" s="1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1" customHeight="1">
      <x:c r="B55" s="1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1" customHeight="1">
      <x:c r="B56" s="1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1" customHeight="1">
      <x:c r="B57" s="1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1" customHeight="1">
      <x:c r="B58" s="1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</x:sheetData>
  <x:pageMargins left="0.7" right="0.7" top="0.75" bottom="0.75" header="0.3" footer="0.3"/>
  <x:drawing xmlns:r="http://schemas.openxmlformats.org/officeDocument/2006/relationships" r:id="R83d9fc78b5474b30"/>
</x:worksheet>
</file>

<file path=xl/worksheets/sheet2.xml><?xml version="1.0" encoding="utf-8"?>
<x:worksheet xmlns:x="http://schemas.openxmlformats.org/spreadsheetml/2006/main">
  <x:sheetPr>
    <x:tabColor rgb="FF255B8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82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2" ht="21" customHeight="1">
      <x:c r="B2" s="3" t="str">
        <x:v>Forecast drivers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1" customHeight="1">
      <x:c r="B3" s="4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1" customHeight="1">
      <x:c r="B4" s="6" t="str">
        <x:v>Yellow cells are analyst assumptions. All growth inputs are annual percentage changes or contributions.</x:v>
      </x:c>
      <x:c r="C4" s="7"/>
      <x:c r="D4" s="7"/>
      <x:c r="E4" s="7"/>
      <x:c r="F4" s="7"/>
      <x:c r="G4" s="7"/>
      <x:c r="H4" s="7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1" customHeight="1"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1" customHeight="1">
      <x:c r="B6" s="1"/>
      <x:c r="C6" s="2"/>
      <x:c r="D6" s="2" t="str">
        <x:v>FY27E</x:v>
      </x:c>
      <x:c r="E6" s="2" t="str">
        <x:v>FY28E</x:v>
      </x:c>
      <x:c r="F6" s="2" t="str">
        <x:v>FY29E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5" customHeight="1">
      <x:c r="B7" s="10" t="str">
        <x:v>Composition and underlying demand</x:v>
      </x:c>
      <x:c r="C7" s="11"/>
      <x:c r="D7" s="11"/>
      <x:c r="E7" s="11"/>
      <x:c r="F7" s="11"/>
      <x:c r="G7" s="2"/>
      <x:c r="H7" s="2" t="str">
        <x:v>Interpretation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1" customHeight="1">
      <x:c r="B8" s="1" t="str">
        <x:v>Motorcycle replacement share</x:v>
      </x:c>
      <x:c r="C8" s="2"/>
      <x:c r="D8" s="18" t="n">
        <x:v>0.75</x:v>
      </x:c>
      <x:c r="E8" s="18" t="n">
        <x:v>0.75</x:v>
      </x:c>
      <x:c r="F8" s="18" t="n">
        <x:v>0.75</x:v>
      </x:c>
      <x:c r="G8" s="2"/>
      <x:c r="H8" s="23" t="str">
        <x:v>Replacement share is a working split of annual sales, not a measured installed fleet.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1" customHeight="1">
      <x:c r="B9" s="1" t="str">
        <x:v>Scooter replacement share</x:v>
      </x:c>
      <x:c r="C9" s="2"/>
      <x:c r="D9" s="18" t="n">
        <x:v>0.65</x:v>
      </x:c>
      <x:c r="E9" s="18" t="n">
        <x:v>0.65</x:v>
      </x:c>
      <x:c r="F9" s="18" t="n">
        <x:v>0.65</x:v>
      </x:c>
      <x:c r="G9" s="2"/>
      <x:c r="H9" s="23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1" customHeight="1">
      <x:c r="B10" s="1" t="str">
        <x:v>Moped replacement share</x:v>
      </x:c>
      <x:c r="C10" s="2"/>
      <x:c r="D10" s="18" t="n">
        <x:v>0.85</x:v>
      </x:c>
      <x:c r="E10" s="18" t="n">
        <x:v>0.85</x:v>
      </x:c>
      <x:c r="F10" s="18" t="n">
        <x:v>0.85</x:v>
      </x:c>
      <x:c r="G10" s="2"/>
      <x:c r="H10" s="23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5" customHeight="1">
      <x:c r="B11" s="10" t="str">
        <x:v>Cohort growth</x:v>
      </x:c>
      <x:c r="C11" s="11"/>
      <x:c r="D11" s="11"/>
      <x:c r="E11" s="11"/>
      <x:c r="F11" s="11"/>
      <x:c r="G11" s="2"/>
      <x:c r="H11" s="23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1" customHeight="1">
      <x:c r="B12" s="1" t="str">
        <x:v>Motorcycle replacement cohort growth</x:v>
      </x:c>
      <x:c r="C12" s="2"/>
      <x:c r="D12" s="18" t="n">
        <x:v>0.045</x:v>
      </x:c>
      <x:c r="E12" s="18" t="n">
        <x:v>0.04</x:v>
      </x:c>
      <x:c r="F12" s="18" t="n">
        <x:v>0.045</x:v>
      </x:c>
      <x:c r="G12" s="2"/>
      <x:c r="H12" s="23" t="str">
        <x:v>Cohort growth excludes the separate rural-income and financing contributions.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1" customHeight="1">
      <x:c r="B13" s="1" t="str">
        <x:v>Scooter replacement cohort growth</x:v>
      </x:c>
      <x:c r="C13" s="2"/>
      <x:c r="D13" s="18" t="n">
        <x:v>0.05</x:v>
      </x:c>
      <x:c r="E13" s="18" t="n">
        <x:v>0.045</x:v>
      </x:c>
      <x:c r="F13" s="18" t="n">
        <x:v>0.05</x:v>
      </x:c>
      <x:c r="G13" s="2"/>
      <x:c r="H13" s="23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1" customHeight="1">
      <x:c r="B14" s="1" t="str">
        <x:v>Moped replacement cohort growth</x:v>
      </x:c>
      <x:c r="C14" s="2"/>
      <x:c r="D14" s="18" t="n">
        <x:v>0.025</x:v>
      </x:c>
      <x:c r="E14" s="18" t="n">
        <x:v>0.02</x:v>
      </x:c>
      <x:c r="F14" s="18" t="n">
        <x:v>0.02</x:v>
      </x:c>
      <x:c r="G14" s="2"/>
      <x:c r="H14" s="23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1" customHeight="1">
      <x:c r="B15" s="1"/>
      <x:c r="C15" s="2"/>
      <x:c r="D15" s="2"/>
      <x:c r="E15" s="2"/>
      <x:c r="F15" s="2"/>
      <x:c r="G15" s="2"/>
      <x:c r="H15" s="23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1" customHeight="1">
      <x:c r="B16" s="1" t="str">
        <x:v>Motorcycle first-time demand growth</x:v>
      </x:c>
      <x:c r="C16" s="2"/>
      <x:c r="D16" s="18" t="n">
        <x:v>0.07</x:v>
      </x:c>
      <x:c r="E16" s="18" t="n">
        <x:v>0.05</x:v>
      </x:c>
      <x:c r="F16" s="18" t="n">
        <x:v>0.06</x:v>
      </x:c>
      <x:c r="G16" s="2"/>
      <x:c r="H16" s="23" t="str">
        <x:v>GST benefit is net of subsequent OEM price increases; only the year-on-year change is counted.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1" customHeight="1">
      <x:c r="B17" s="1" t="str">
        <x:v>Scooter first-time demand growth</x:v>
      </x:c>
      <x:c r="C17" s="2"/>
      <x:c r="D17" s="18" t="n">
        <x:v>0.11</x:v>
      </x:c>
      <x:c r="E17" s="18" t="n">
        <x:v>0.08</x:v>
      </x:c>
      <x:c r="F17" s="18" t="n">
        <x:v>0.09</x:v>
      </x:c>
      <x:c r="G17" s="2"/>
      <x:c r="H17" s="23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1" customHeight="1">
      <x:c r="B18" s="1" t="str">
        <x:v>Moped first-time demand growth</x:v>
      </x:c>
      <x:c r="C18" s="2"/>
      <x:c r="D18" s="18" t="n">
        <x:v>0.02</x:v>
      </x:c>
      <x:c r="E18" s="18" t="n">
        <x:v>0.01</x:v>
      </x:c>
      <x:c r="F18" s="18" t="n">
        <x:v>0.015</x:v>
      </x:c>
      <x:c r="G18" s="2"/>
      <x:c r="H18" s="23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5" customHeight="1">
      <x:c r="B19" s="10" t="str">
        <x:v>Income and credit</x:v>
      </x:c>
      <x:c r="C19" s="11"/>
      <x:c r="D19" s="11"/>
      <x:c r="E19" s="11"/>
      <x:c r="F19" s="11"/>
      <x:c r="G19" s="2"/>
      <x:c r="H19" s="23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1" customHeight="1">
      <x:c r="B20" s="1" t="str">
        <x:v>Motorcycle rural-income growth contribution</x:v>
      </x:c>
      <x:c r="C20" s="2"/>
      <x:c r="D20" s="18" t="n">
        <x:v>0.012</x:v>
      </x:c>
      <x:c r="E20" s="18" t="n">
        <x:v>0.003</x:v>
      </x:c>
      <x:c r="F20" s="18" t="n">
        <x:v>0.01</x:v>
      </x:c>
      <x:c r="G20" s="2"/>
      <x:c r="H20" s="23" t="str">
        <x:v>EV share is a subset of scooters; only a fraction of adoption is treated as incremental demand.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1" customHeight="1">
      <x:c r="B21" s="1" t="str">
        <x:v>Scooter rural-income growth contribution</x:v>
      </x:c>
      <x:c r="C21" s="2"/>
      <x:c r="D21" s="18" t="n">
        <x:v>0.005</x:v>
      </x:c>
      <x:c r="E21" s="18" t="n">
        <x:v>0</x:v>
      </x:c>
      <x:c r="F21" s="18" t="n">
        <x:v>0.004</x:v>
      </x:c>
      <x:c r="G21" s="2"/>
      <x:c r="H21" s="23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1" customHeight="1">
      <x:c r="B22" s="1" t="str">
        <x:v>Moped rural-income growth contribution</x:v>
      </x:c>
      <x:c r="C22" s="2"/>
      <x:c r="D22" s="18" t="n">
        <x:v>0.006</x:v>
      </x:c>
      <x:c r="E22" s="18" t="n">
        <x:v>0.002</x:v>
      </x:c>
      <x:c r="F22" s="18" t="n">
        <x:v>0.005</x:v>
      </x:c>
      <x:c r="G22" s="2"/>
      <x:c r="H22" s="23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1" customHeight="1">
      <x:c r="B23" s="1"/>
      <x:c r="C23" s="2"/>
      <x:c r="D23" s="2"/>
      <x:c r="E23" s="2"/>
      <x:c r="F23" s="2"/>
      <x:c r="G23" s="2"/>
      <x:c r="H23" s="23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1" customHeight="1">
      <x:c r="B24" s="1" t="str">
        <x:v>Motorcycle financing growth contribution</x:v>
      </x:c>
      <x:c r="C24" s="2"/>
      <x:c r="D24" s="18" t="n">
        <x:v>0.003</x:v>
      </x:c>
      <x:c r="E24" s="18" t="n">
        <x:v>-0.002</x:v>
      </x:c>
      <x:c r="F24" s="18" t="n">
        <x:v>0.003</x:v>
      </x:c>
      <x:c r="G24" s="2"/>
      <x:c r="H24" s="23" t="str">
        <x:v>FY26 debt shares repay to 100% in FY27–FY29. No new timing debt assumed.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1" customHeight="1">
      <x:c r="B25" s="1" t="str">
        <x:v>Scooter financing growth contribution</x:v>
      </x:c>
      <x:c r="C25" s="2"/>
      <x:c r="D25" s="18" t="n">
        <x:v>0.005</x:v>
      </x:c>
      <x:c r="E25" s="18" t="n">
        <x:v>-0.002</x:v>
      </x:c>
      <x:c r="F25" s="18" t="n">
        <x:v>0.004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1" customHeight="1">
      <x:c r="B26" s="1" t="str">
        <x:v>Moped financing growth contribution</x:v>
      </x:c>
      <x:c r="C26" s="2"/>
      <x:c r="D26" s="18" t="n">
        <x:v>0.002</x:v>
      </x:c>
      <x:c r="E26" s="18" t="n">
        <x:v>-0.002</x:v>
      </x:c>
      <x:c r="F26" s="18" t="n">
        <x:v>0.002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5" customHeight="1">
      <x:c r="B27" s="10" t="str">
        <x:v>Price, timing and EV mix</x:v>
      </x:c>
      <x:c r="C27" s="11"/>
      <x:c r="D27" s="11"/>
      <x:c r="E27" s="11"/>
      <x:c r="F27" s="11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1" customHeight="1">
      <x:c r="B28" s="1" t="str">
        <x:v>Residual GST consumer price benefit</x:v>
      </x:c>
      <x:c r="C28" s="2"/>
      <x:c r="D28" s="18" t="n">
        <x:v>0.04</x:v>
      </x:c>
      <x:c r="E28" s="18" t="n">
        <x:v>0.02</x:v>
      </x:c>
      <x:c r="F28" s="18" t="n">
        <x:v>0.015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1" customHeight="1">
      <x:c r="B29" s="1" t="str">
        <x:v>Share exposed to GST cut</x:v>
      </x:c>
      <x:c r="C29" s="2"/>
      <x:c r="D29" s="18" t="n">
        <x:v>0.9</x:v>
      </x:c>
      <x:c r="E29" s="18" t="n">
        <x:v>0.9</x:v>
      </x:c>
      <x:c r="F29" s="18" t="n">
        <x:v>0.9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1" customHeight="1">
      <x:c r="B30" s="1" t="str">
        <x:v>Motorcycle volume elasticity to price</x:v>
      </x:c>
      <x:c r="C30" s="2"/>
      <x:c r="D30" s="19" t="n">
        <x:v>0.6</x:v>
      </x:c>
      <x:c r="E30" s="19" t="n">
        <x:v>0.6</x:v>
      </x:c>
      <x:c r="F30" s="19" t="n">
        <x:v>0.6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1" customHeight="1">
      <x:c r="B31" s="1" t="str">
        <x:v>Scooter volume elasticity to price</x:v>
      </x:c>
      <x:c r="C31" s="2"/>
      <x:c r="D31" s="19" t="n">
        <x:v>0.8</x:v>
      </x:c>
      <x:c r="E31" s="19" t="n">
        <x:v>0.8</x:v>
      </x:c>
      <x:c r="F31" s="19" t="n">
        <x:v>0.8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1" customHeight="1">
      <x:c r="B32" s="1" t="str">
        <x:v>Moped volume elasticity to price</x:v>
      </x:c>
      <x:c r="C32" s="2"/>
      <x:c r="D32" s="19" t="n">
        <x:v>0.45</x:v>
      </x:c>
      <x:c r="E32" s="19" t="n">
        <x:v>0.45</x:v>
      </x:c>
      <x:c r="F32" s="19" t="n">
        <x:v>0.45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1" customHeight="1">
      <x:c r="B33" s="1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1" customHeight="1">
      <x:c r="B34" s="1" t="str">
        <x:v>FY26 timing debt repaid this year</x:v>
      </x:c>
      <x:c r="C34" s="2"/>
      <x:c r="D34" s="22" t="n">
        <x:v>0.6</x:v>
      </x:c>
      <x:c r="E34" s="22" t="n">
        <x:v>0.4</x:v>
      </x:c>
      <x:c r="F34" s="22" t="n">
        <x:v>0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1" customHeight="1">
      <x:c r="B35" s="1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1" customHeight="1">
      <x:c r="B36" s="1" t="str">
        <x:v>Electric share of scooter sales</x:v>
      </x:c>
      <x:c r="C36" s="2"/>
      <x:c r="D36" s="18" t="n">
        <x:v>0.12</x:v>
      </x:c>
      <x:c r="E36" s="18" t="n">
        <x:v>0.17</x:v>
      </x:c>
      <x:c r="F36" s="18" t="n">
        <x:v>0.22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1" customHeight="1">
      <x:c r="B37" s="1" t="str">
        <x:v>Share of new EV sales incremental to category</x:v>
      </x:c>
      <x:c r="C37" s="2"/>
      <x:c r="D37" s="18" t="n">
        <x:v>0.15</x:v>
      </x:c>
      <x:c r="E37" s="18" t="n">
        <x:v>0.15</x:v>
      </x:c>
      <x:c r="F37" s="18" t="n">
        <x:v>0.15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1" customHeight="1">
      <x:c r="B38" s="1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1" customHeight="1">
      <x:c r="B39" s="1" t="str">
        <x:v>Dealer inventory change (million units)</x:v>
      </x:c>
      <x:c r="C39" s="2"/>
      <x:c r="D39" s="14" t="n">
        <x:v>0</x:v>
      </x:c>
      <x:c r="E39" s="14" t="n">
        <x:v>0</x:v>
      </x:c>
      <x:c r="F39" s="14" t="n">
        <x:v>0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1" customHeight="1">
      <x:c r="B40" s="1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1" customHeight="1">
      <x:c r="B41" s="1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1" customHeight="1">
      <x:c r="B42" s="1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1" customHeight="1">
      <x:c r="B43" s="1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1" customHeight="1">
      <x:c r="B44" s="1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1" customHeight="1">
      <x:c r="B45" s="1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1" customHeight="1">
      <x:c r="B46" s="1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1" customHeight="1">
      <x:c r="B47" s="1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1" customHeight="1">
      <x:c r="B48" s="1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1" customHeight="1">
      <x:c r="B49" s="1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1" customHeight="1">
      <x:c r="B50" s="1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1" customHeight="1">
      <x:c r="B51" s="1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1" customHeight="1">
      <x:c r="B52" s="1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1" customHeight="1">
      <x:c r="B53" s="1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1" customHeight="1">
      <x:c r="B54" s="1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1" customHeight="1">
      <x:c r="B55" s="1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1" customHeight="1">
      <x:c r="B56" s="1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1" customHeight="1">
      <x:c r="B57" s="1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1" customHeight="1">
      <x:c r="B58" s="1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2" ht="21" customHeight="1">
      <x:c r="B2" s="3" t="str">
        <x:v>Demand build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1" customHeight="1">
      <x:c r="B3" s="4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1" customHeight="1">
      <x:c r="B4" s="6" t="str">
        <x:v>Domestic wholesales in millions; bottom-up motorcycles, scooters and mopeds.</x:v>
      </x:c>
      <x:c r="C4" s="7"/>
      <x:c r="D4" s="7"/>
      <x:c r="E4" s="7"/>
      <x:c r="F4" s="7"/>
      <x:c r="G4" s="7"/>
      <x:c r="H4" s="7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1" customHeight="1"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1" customHeight="1">
      <x:c r="B6" s="1"/>
      <x:c r="C6" s="2"/>
      <x:c r="D6" s="2" t="str">
        <x:v>FY27E</x:v>
      </x:c>
      <x:c r="E6" s="2" t="str">
        <x:v>FY28E</x:v>
      </x:c>
      <x:c r="F6" s="2" t="str">
        <x:v>FY29E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5" customHeight="1">
      <x:c r="B7" s="10" t="str">
        <x:v>Motorcycles</x:v>
      </x:c>
      <x:c r="C7" s="11"/>
      <x:c r="D7" s="11"/>
      <x:c r="E7" s="11"/>
      <x:c r="F7" s="11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1" customHeight="1">
      <x:c r="B8" s="1" t="str">
        <x:v>Prior-year reported sales</x:v>
      </x:c>
      <x:c r="C8" s="2"/>
      <x:c r="D8" s="12" t="n">
        <x:f>Actuals!E8</x:f>
        <x:v>13.064789</x:v>
      </x:c>
      <x:c r="E8" s="12" t="n">
        <x:f>D17</x:f>
        <x:v>13.866957515478699</x:v>
      </x:c>
      <x:c r="F8" s="12" t="n">
        <x:f>E17</x:f>
        <x:v>14.254641235520651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1" customHeight="1">
      <x:c r="B9" s="1" t="str">
        <x:v>Replacement demand addition</x:v>
      </x:c>
      <x:c r="C9" s="2"/>
      <x:c r="D9" s="12" t="n">
        <x:f>D8*Drivers!D8*Drivers!D12</x:f>
        <x:v>0.44093662875</x:v>
      </x:c>
      <x:c r="E9" s="12" t="n">
        <x:f>E8*Drivers!E8*Drivers!E12</x:f>
        <x:v>0.41600872546436096</x:v>
      </x:c>
      <x:c r="F9" s="12" t="n">
        <x:f>F8*Drivers!F8*Drivers!F12</x:f>
        <x:v>0.481094141698822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1" customHeight="1">
      <x:c r="B10" s="1" t="str">
        <x:v>First-time demand addition</x:v>
      </x:c>
      <x:c r="C10" s="2"/>
      <x:c r="D10" s="12" t="n">
        <x:f>D8*(1-Drivers!D8)*Drivers!D16</x:f>
        <x:v>0.2286338075</x:v>
      </x:c>
      <x:c r="E10" s="12" t="n">
        <x:f>E8*(1-Drivers!E8)*Drivers!E16</x:f>
        <x:v>0.17333696894348374</x:v>
      </x:c>
      <x:c r="F10" s="12" t="n">
        <x:f>F8*(1-Drivers!F8)*Drivers!F16</x:f>
        <x:v>0.21381961853280976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1" customHeight="1">
      <x:c r="B11" s="1" t="str">
        <x:v>Rural income contribution</x:v>
      </x:c>
      <x:c r="C11" s="2"/>
      <x:c r="D11" s="12" t="n">
        <x:f>D8*Drivers!D20</x:f>
        <x:v>0.156777468</x:v>
      </x:c>
      <x:c r="E11" s="12" t="n">
        <x:f>E8*Drivers!E20</x:f>
        <x:v>0.041600872546436095</x:v>
      </x:c>
      <x:c r="F11" s="12" t="n">
        <x:f>F8*Drivers!F20</x:f>
        <x:v>0.14254641235520651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1" customHeight="1">
      <x:c r="B12" s="1" t="str">
        <x:v>Financing contribution</x:v>
      </x:c>
      <x:c r="C12" s="2"/>
      <x:c r="D12" s="12" t="n">
        <x:f>D8*Drivers!D24</x:f>
        <x:v>0.039194367</x:v>
      </x:c>
      <x:c r="E12" s="12" t="n">
        <x:f>E8*Drivers!E24</x:f>
        <x:v>-0.027733915030957398</x:v>
      </x:c>
      <x:c r="F12" s="12" t="n">
        <x:f>F8*Drivers!F24</x:f>
        <x:v>0.04276392370656196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1" customHeight="1">
      <x:c r="B13" s="1" t="str">
        <x:v>Change in GST affordability</x:v>
      </x:c>
      <x:c r="C13" s="2"/>
      <x:c r="D13" s="12" t="n">
        <x:f>D8*Drivers!D29*Drivers!D30*(Drivers!D28-Actuals!$E$16)</x:f>
        <x:v>0.03527493029999998</x:v>
      </x:c>
      <x:c r="E13" s="12" t="n">
        <x:f>E8*Drivers!E29*Drivers!E30*(Drivers!E28-Drivers!D28)</x:f>
        <x:v>-0.14976314116716996</x:v>
      </x:c>
      <x:c r="F13" s="12" t="n">
        <x:f>F8*Drivers!F29*Drivers!F30*(Drivers!F28-Drivers!E28)</x:f>
        <x:v>-0.03848753133590577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1" customHeight="1">
      <x:c r="B14" s="1" t="str">
        <x:v>FY26 demand-debt payback</x:v>
      </x:c>
      <x:c r="C14" s="2"/>
      <x:c r="D14" s="12" t="n">
        <x:f>-Actuals!$E$26*(Actuals!$E$8/Actuals!$E$11)*Drivers!D34</x:f>
        <x:v>-0.09864868607130049</x:v>
      </x:c>
      <x:c r="E14" s="12" t="n">
        <x:f>-Actuals!$E$26*(Actuals!$E$8/Actuals!$E$11)*Drivers!E34</x:f>
        <x:v>-0.06576579071420034</x:v>
      </x:c>
      <x:c r="F14" s="12" t="n">
        <x:f>-Actuals!$E$26*(Actuals!$E$8/Actuals!$E$11)*Drivers!F34</x:f>
        <x:v>0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1" customHeight="1">
      <x:c r="B15" s="1" t="str">
        <x:v>Net new EV-led category demand</x:v>
      </x:c>
      <x:c r="C15" s="2"/>
      <x:c r="D15" s="12" t="n">
        <x:f>0</x:f>
        <x:v>0</x:v>
      </x:c>
      <x:c r="E15" s="12" t="n">
        <x:f>0</x:f>
        <x:v>0</x:v>
      </x:c>
      <x:c r="F15" s="12" t="n">
        <x:f>0</x:f>
        <x:v>0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1" customHeight="1">
      <x:c r="B16" s="1" t="str">
        <x:v>Dealer inventory adjustment</x:v>
      </x:c>
      <x:c r="C16" s="2"/>
      <x:c r="D16" s="12" t="n">
        <x:f>Drivers!D39*Actuals!$E$8/Actuals!$E$11</x:f>
        <x:v>0</x:v>
      </x:c>
      <x:c r="E16" s="12" t="n">
        <x:f>Drivers!E39*Actuals!$E$8/Actuals!$E$11</x:f>
        <x:v>0</x:v>
      </x:c>
      <x:c r="F16" s="12" t="n">
        <x:f>Drivers!F39*Actuals!$E$8/Actuals!$E$11</x:f>
        <x:v>0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1" customHeight="1">
      <x:c r="B17" s="1" t="str">
        <x:v>Current-year reported sales</x:v>
      </x:c>
      <x:c r="C17" s="2"/>
      <x:c r="D17" s="15" t="n">
        <x:f>SUM(D8:D16)</x:f>
        <x:v>13.866957515478699</x:v>
      </x:c>
      <x:c r="E17" s="15" t="n">
        <x:f>SUM(E8:E16)</x:f>
        <x:v>14.254641235520651</x:v>
      </x:c>
      <x:c r="F17" s="15" t="n">
        <x:f>SUM(F8:F16)</x:f>
        <x:v>15.096377800478148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1" customHeight="1">
      <x:c r="B18" s="1" t="str">
        <x:v>Year-on-year growth</x:v>
      </x:c>
      <x:c r="C18" s="2"/>
      <x:c r="D18" s="21" t="n">
        <x:f>D17/D8-1</x:f>
        <x:v>0.061399270625702496</x:v>
      </x:c>
      <x:c r="E18" s="21" t="n">
        <x:f>E17/E8-1</x:f>
        <x:v>0.027957374183140704</x:v>
      </x:c>
      <x:c r="F18" s="21" t="n">
        <x:f>F17/F8-1</x:f>
        <x:v>0.05905000000000027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1" customHeight="1">
      <x:c r="B19" s="1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1" customHeight="1">
      <x:c r="B20" s="1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1" customHeight="1">
      <x:c r="B21" s="1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1" customHeight="1"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5" customHeight="1">
      <x:c r="B23" s="10" t="str">
        <x:v>Scooters</x:v>
      </x:c>
      <x:c r="C23" s="11"/>
      <x:c r="D23" s="11"/>
      <x:c r="E23" s="11"/>
      <x:c r="F23" s="11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1" customHeight="1">
      <x:c r="B24" s="1" t="str">
        <x:v>Prior-year reported sales</x:v>
      </x:c>
      <x:c r="C24" s="2"/>
      <x:c r="D24" s="12" t="n">
        <x:f>Actuals!E9</x:f>
        <x:v>8.117945</x:v>
      </x:c>
      <x:c r="E24" s="12" t="n">
        <x:f>D33</x:f>
        <x:v>8.792134411229569</x:v>
      </x:c>
      <x:c r="F24" s="12" t="n">
        <x:f>E33</x:f>
        <x:v>9.176369839498896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1" customHeight="1">
      <x:c r="B25" s="1" t="str">
        <x:v>Replacement demand addition</x:v>
      </x:c>
      <x:c r="C25" s="2"/>
      <x:c r="D25" s="12" t="n">
        <x:f>D24*Drivers!D9*Drivers!D13</x:f>
        <x:v>0.2638332125</x:v>
      </x:c>
      <x:c r="E25" s="12" t="n">
        <x:f>E24*Drivers!E9*Drivers!E13</x:f>
        <x:v>0.25716993152846485</x:v>
      </x:c>
      <x:c r="F25" s="12" t="n">
        <x:f>F24*Drivers!F9*Drivers!F13</x:f>
        <x:v>0.29823201978371416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1" customHeight="1">
      <x:c r="B26" s="1" t="str">
        <x:v>First-time demand addition</x:v>
      </x:c>
      <x:c r="C26" s="2"/>
      <x:c r="D26" s="12" t="n">
        <x:f>D24*(1-Drivers!D9)*Drivers!D17</x:f>
        <x:v>0.3125408825</x:v>
      </x:c>
      <x:c r="E26" s="12" t="n">
        <x:f>E24*(1-Drivers!E9)*Drivers!E17</x:f>
        <x:v>0.2461797635144279</x:v>
      </x:c>
      <x:c r="F26" s="12" t="n">
        <x:f>F24*(1-Drivers!F9)*Drivers!F17</x:f>
        <x:v>0.28905564994421523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1" customHeight="1">
      <x:c r="B27" s="1" t="str">
        <x:v>Rural income contribution</x:v>
      </x:c>
      <x:c r="C27" s="2"/>
      <x:c r="D27" s="12" t="n">
        <x:f>D24*Drivers!D21</x:f>
        <x:v>0.04058972500000001</x:v>
      </x:c>
      <x:c r="E27" s="12" t="n">
        <x:f>E24*Drivers!E21</x:f>
        <x:v>0</x:v>
      </x:c>
      <x:c r="F27" s="12" t="n">
        <x:f>F24*Drivers!F21</x:f>
        <x:v>0.036705479357995584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1" customHeight="1">
      <x:c r="B28" s="1" t="str">
        <x:v>Financing contribution</x:v>
      </x:c>
      <x:c r="C28" s="2"/>
      <x:c r="D28" s="12" t="n">
        <x:f>D24*Drivers!D25</x:f>
        <x:v>0.04058972500000001</x:v>
      </x:c>
      <x:c r="E28" s="12" t="n">
        <x:f>E24*Drivers!E25</x:f>
        <x:v>-0.01758426882245914</x:v>
      </x:c>
      <x:c r="F28" s="12" t="n">
        <x:f>F24*Drivers!F25</x:f>
        <x:v>0.036705479357995584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1" customHeight="1">
      <x:c r="B29" s="1" t="str">
        <x:v>Change in GST affordability</x:v>
      </x:c>
      <x:c r="C29" s="2"/>
      <x:c r="D29" s="12" t="n">
        <x:f>D24*Drivers!D29*Drivers!D31*(Drivers!D28-Actuals!$E$16)</x:f>
        <x:v>0.029224601999999992</x:v>
      </x:c>
      <x:c r="E29" s="12" t="n">
        <x:f>E24*Drivers!E29*Drivers!E31*(Drivers!E28-Drivers!D28)</x:f>
        <x:v>-0.1266067355217058</x:v>
      </x:c>
      <x:c r="F29" s="12" t="n">
        <x:f>F24*Drivers!F29*Drivers!F31*(Drivers!F28-Drivers!E28)</x:f>
        <x:v>-0.03303493142219604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1" customHeight="1">
      <x:c r="B30" s="1" t="str">
        <x:v>FY26 demand-debt payback</x:v>
      </x:c>
      <x:c r="C30" s="2"/>
      <x:c r="D30" s="12" t="n">
        <x:f>-Actuals!$E$26*(Actuals!$E$9/Actuals!$E$11)*Drivers!D34</x:f>
        <x:v>-0.06129640577043255</x:v>
      </x:c>
      <x:c r="E30" s="12" t="n">
        <x:f>-Actuals!$E$26*(Actuals!$E$9/Actuals!$E$11)*Drivers!E34</x:f>
        <x:v>-0.04086427051362171</x:v>
      </x:c>
      <x:c r="F30" s="12" t="n">
        <x:f>-Actuals!$E$26*(Actuals!$E$9/Actuals!$E$11)*Drivers!F34</x:f>
        <x:v>0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1" customHeight="1">
      <x:c r="B31" s="1" t="str">
        <x:v>Net new EV-led category demand</x:v>
      </x:c>
      <x:c r="C31" s="2"/>
      <x:c r="D31" s="12" t="n">
        <x:f>D24*(Drivers!D36-Actuals!$E$20)*Drivers!D37</x:f>
        <x:v>0.04870767</x:v>
      </x:c>
      <x:c r="E31" s="12" t="n">
        <x:f>E24*(Drivers!E36-Drivers!D36)*Drivers!E37</x:f>
        <x:v>0.06594100808422179</x:v>
      </x:c>
      <x:c r="F31" s="12" t="n">
        <x:f>F24*(Drivers!F36-Drivers!E36)*Drivers!F37</x:f>
        <x:v>0.0688227737962417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1" customHeight="1">
      <x:c r="B32" s="1" t="str">
        <x:v>Dealer inventory adjustment</x:v>
      </x:c>
      <x:c r="C32" s="2"/>
      <x:c r="D32" s="12" t="n">
        <x:f>Drivers!D39*Actuals!$E$9/Actuals!$E$11</x:f>
        <x:v>0</x:v>
      </x:c>
      <x:c r="E32" s="12" t="n">
        <x:f>Drivers!E39*Actuals!$E$9/Actuals!$E$11</x:f>
        <x:v>0</x:v>
      </x:c>
      <x:c r="F32" s="12" t="n">
        <x:f>Drivers!F39*Actuals!$E$9/Actuals!$E$11</x:f>
        <x:v>0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1" customHeight="1">
      <x:c r="B33" s="1" t="str">
        <x:v>Current-year reported sales</x:v>
      </x:c>
      <x:c r="C33" s="2"/>
      <x:c r="D33" s="15" t="n">
        <x:f>SUM(D24:D32)</x:f>
        <x:v>8.792134411229569</x:v>
      </x:c>
      <x:c r="E33" s="15" t="n">
        <x:f>SUM(E24:E32)</x:f>
        <x:v>9.176369839498896</x:v>
      </x:c>
      <x:c r="F33" s="15" t="n">
        <x:f>SUM(F24:F32)</x:f>
        <x:v>9.872856310316866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1" customHeight="1">
      <x:c r="B34" s="1" t="str">
        <x:v>Year-on-year growth</x:v>
      </x:c>
      <x:c r="C34" s="2"/>
      <x:c r="D34" s="21" t="n">
        <x:f>D33/D24-1</x:f>
        <x:v>0.08304927062570244</x:v>
      </x:c>
      <x:c r="E34" s="21" t="n">
        <x:f>E33/E24-1</x:f>
        <x:v>0.04370217859483261</x:v>
      </x:c>
      <x:c r="F34" s="21" t="n">
        <x:f>F33/F24-1</x:f>
        <x:v>0.0759000000000003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1" customHeight="1">
      <x:c r="B35" s="1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1" customHeight="1">
      <x:c r="B36" s="1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1" customHeight="1">
      <x:c r="B37" s="1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1" customHeight="1">
      <x:c r="B38" s="1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5" customHeight="1">
      <x:c r="B39" s="10" t="str">
        <x:v>Mopeds</x:v>
      </x:c>
      <x:c r="C39" s="11"/>
      <x:c r="D39" s="11"/>
      <x:c r="E39" s="11"/>
      <x:c r="F39" s="11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1" customHeight="1">
      <x:c r="B40" s="1" t="str">
        <x:v>Prior-year reported sales</x:v>
      </x:c>
      <x:c r="C40" s="2"/>
      <x:c r="D40" s="12" t="n">
        <x:f>Actuals!E10</x:f>
        <x:v>0.52324</x:v>
      </x:c>
      <x:c r="E40" s="12" t="n">
        <x:f>D49</x:f>
        <x:v>0.5372232073621925</x:v>
      </x:c>
      <x:c r="F40" s="12" t="n">
        <x:f>E49</x:f>
        <x:v>0.5401764329602209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1" customHeight="1">
      <x:c r="B41" s="1" t="str">
        <x:v>Replacement demand addition</x:v>
      </x:c>
      <x:c r="C41" s="2"/>
      <x:c r="D41" s="12" t="n">
        <x:f>D40*Drivers!D10*Drivers!D14</x:f>
        <x:v>0.011118850000000001</x:v>
      </x:c>
      <x:c r="E41" s="12" t="n">
        <x:f>E40*Drivers!E10*Drivers!E14</x:f>
        <x:v>0.009132794525157273</x:v>
      </x:c>
      <x:c r="F41" s="12" t="n">
        <x:f>F40*Drivers!F10*Drivers!F14</x:f>
        <x:v>0.009182999360323754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1" customHeight="1">
      <x:c r="B42" s="1" t="str">
        <x:v>First-time demand addition</x:v>
      </x:c>
      <x:c r="C42" s="2"/>
      <x:c r="D42" s="12" t="n">
        <x:f>D40*(1-Drivers!D10)*Drivers!D18</x:f>
        <x:v>0.0015697200000000004</x:v>
      </x:c>
      <x:c r="E42" s="12" t="n">
        <x:f>E40*(1-Drivers!E10)*Drivers!E18</x:f>
        <x:v>0.0008058348110432889</x:v>
      </x:c>
      <x:c r="F42" s="12" t="n">
        <x:f>F40*(1-Drivers!F10)*Drivers!F18</x:f>
        <x:v>0.0012153969741604972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1" customHeight="1">
      <x:c r="B43" s="1" t="str">
        <x:v>Rural income contribution</x:v>
      </x:c>
      <x:c r="C43" s="2"/>
      <x:c r="D43" s="12" t="n">
        <x:f>D40*Drivers!D22</x:f>
        <x:v>0.0031394400000000003</x:v>
      </x:c>
      <x:c r="E43" s="12" t="n">
        <x:f>E40*Drivers!E22</x:f>
        <x:v>0.001074446414724385</x:v>
      </x:c>
      <x:c r="F43" s="12" t="n">
        <x:f>F40*Drivers!F22</x:f>
        <x:v>0.0027008821648011046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1" customHeight="1">
      <x:c r="B44" s="1" t="str">
        <x:v>Financing contribution</x:v>
      </x:c>
      <x:c r="C44" s="2"/>
      <x:c r="D44" s="12" t="n">
        <x:f>D40*Drivers!D26</x:f>
        <x:v>0.00104648</x:v>
      </x:c>
      <x:c r="E44" s="12" t="n">
        <x:f>E40*Drivers!E26</x:f>
        <x:v>-0.001074446414724385</x:v>
      </x:c>
      <x:c r="F44" s="12" t="n">
        <x:f>F40*Drivers!F26</x:f>
        <x:v>0.0010803528659204418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1" customHeight="1">
      <x:c r="B45" s="1" t="str">
        <x:v>Change in GST affordability</x:v>
      </x:c>
      <x:c r="C45" s="2"/>
      <x:c r="D45" s="12" t="n">
        <x:f>D40*Drivers!D29*Drivers!D32*(Drivers!D28-Actuals!$E$16)</x:f>
        <x:v>0.0010595609999999997</x:v>
      </x:c>
      <x:c r="E45" s="12" t="n">
        <x:f>E40*Drivers!E29*Drivers!E32*(Drivers!E28-Drivers!D28)</x:f>
        <x:v>-0.00435150797963376</x:v>
      </x:c>
      <x:c r="F45" s="12" t="n">
        <x:f>F40*Drivers!F29*Drivers!F32*(Drivers!F28-Drivers!E28)</x:f>
        <x:v>-0.0010938572767444474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1" customHeight="1">
      <x:c r="B46" s="1" t="str">
        <x:v>FY26 demand-debt payback</x:v>
      </x:c>
      <x:c r="C46" s="2"/>
      <x:c r="D46" s="12" t="n">
        <x:f>-Actuals!$E$26*(Actuals!$E$10/Actuals!$E$11)*Drivers!D34</x:f>
        <x:v>-0.003950843637807491</x:v>
      </x:c>
      <x:c r="E46" s="12" t="n">
        <x:f>-Actuals!$E$26*(Actuals!$E$10/Actuals!$E$11)*Drivers!E34</x:f>
        <x:v>-0.0026338957585383274</x:v>
      </x:c>
      <x:c r="F46" s="12" t="n">
        <x:f>-Actuals!$E$26*(Actuals!$E$10/Actuals!$E$11)*Drivers!F34</x:f>
        <x:v>0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1" customHeight="1">
      <x:c r="B47" s="1" t="str">
        <x:v>Net new EV-led category demand</x:v>
      </x:c>
      <x:c r="C47" s="2"/>
      <x:c r="D47" s="12" t="n">
        <x:f>0</x:f>
        <x:v>0</x:v>
      </x:c>
      <x:c r="E47" s="12" t="n">
        <x:f>0</x:f>
        <x:v>0</x:v>
      </x:c>
      <x:c r="F47" s="12" t="n">
        <x:f>0</x:f>
        <x:v>0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1" customHeight="1">
      <x:c r="B48" s="1" t="str">
        <x:v>Dealer inventory adjustment</x:v>
      </x:c>
      <x:c r="C48" s="2"/>
      <x:c r="D48" s="12" t="n">
        <x:f>Drivers!D39*Actuals!$E$10/Actuals!$E$11</x:f>
        <x:v>0</x:v>
      </x:c>
      <x:c r="E48" s="12" t="n">
        <x:f>Drivers!E39*Actuals!$E$10/Actuals!$E$11</x:f>
        <x:v>0</x:v>
      </x:c>
      <x:c r="F48" s="12" t="n">
        <x:f>Drivers!F39*Actuals!$E$10/Actuals!$E$11</x:f>
        <x:v>0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1" customHeight="1">
      <x:c r="B49" s="1" t="str">
        <x:v>Current-year reported sales</x:v>
      </x:c>
      <x:c r="C49" s="2"/>
      <x:c r="D49" s="15" t="n">
        <x:f>SUM(D40:D48)</x:f>
        <x:v>0.5372232073621925</x:v>
      </x:c>
      <x:c r="E49" s="15" t="n">
        <x:f>SUM(E40:E48)</x:f>
        <x:v>0.5401764329602209</x:v>
      </x:c>
      <x:c r="F49" s="15" t="n">
        <x:f>SUM(F40:F48)</x:f>
        <x:v>0.5532622070486822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1" customHeight="1">
      <x:c r="B50" s="1" t="str">
        <x:v>Year-on-year growth</x:v>
      </x:c>
      <x:c r="C50" s="2"/>
      <x:c r="D50" s="21" t="n">
        <x:f>D49/D40-1</x:f>
        <x:v>0.026724270625702262</x:v>
      </x:c>
      <x:c r="E50" s="21" t="n">
        <x:f>E49/E40-1</x:f>
        <x:v>0.00549720406258869</x:v>
      </x:c>
      <x:c r="F50" s="21" t="n">
        <x:f>F49/F40-1</x:f>
        <x:v>0.02422499999999994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1" customHeight="1">
      <x:c r="B51" s="1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1" customHeight="1">
      <x:c r="B52" s="1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1" customHeight="1">
      <x:c r="B53" s="1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5" customHeight="1">
      <x:c r="B54" s="10" t="str">
        <x:v>Industry roll-up</x:v>
      </x:c>
      <x:c r="C54" s="11"/>
      <x:c r="D54" s="11"/>
      <x:c r="E54" s="11"/>
      <x:c r="F54" s="11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1" customHeight="1">
      <x:c r="B55" s="1" t="str">
        <x:v>Total domestic two-wheelers</x:v>
      </x:c>
      <x:c r="C55" s="2"/>
      <x:c r="D55" s="15" t="n">
        <x:f>SUM(D17,D33,D49)</x:f>
        <x:v>23.19631513407046</x:v>
      </x:c>
      <x:c r="E55" s="15" t="n">
        <x:f>SUM(E17,E33,E49)</x:f>
        <x:v>23.971187507979767</x:v>
      </x:c>
      <x:c r="F55" s="15" t="n">
        <x:f>SUM(F17,F33,F49)</x:f>
        <x:v>25.522496317843697</x:v>
      </x:c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1" customHeight="1">
      <x:c r="B56" s="1" t="str">
        <x:v>Year-on-year growth</x:v>
      </x:c>
      <x:c r="C56" s="2"/>
      <x:c r="D56" s="24" t="n">
        <x:f>D55/Actuals!$E$11-1</x:f>
        <x:v>0.06866041275413215</x:v>
      </x:c>
      <x:c r="E56" s="24" t="n">
        <x:f>E55/D55-1</x:f>
        <x:v>0.03340497701599099</x:v>
      </x:c>
      <x:c r="F56" s="24" t="n">
        <x:f>F55/E55-1</x:f>
        <x:v>0.06471555943348717</x:v>
      </x:c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1" customHeight="1">
      <x:c r="B57" s="1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1" customHeight="1">
      <x:c r="B58" s="1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2" ht="21" customHeight="1">
      <x:c r="B2" s="3" t="str">
        <x:v>Domestic two-wheeler sales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1" customHeight="1">
      <x:c r="B3" s="4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1" customHeight="1">
      <x:c r="B4" s="6" t="str">
        <x:v>SIAM wholesales, million vehicles; FY ends in March</x:v>
      </x:c>
      <x:c r="C4" s="7"/>
      <x:c r="D4" s="7"/>
      <x:c r="E4" s="7"/>
      <x:c r="F4" s="7"/>
      <x:c r="G4" s="7"/>
      <x:c r="H4" s="7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1" customHeight="1"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1" customHeight="1">
      <x:c r="B6" s="1"/>
      <x:c r="C6" s="2" t="str">
        <x:v>FY24A</x:v>
      </x:c>
      <x:c r="D6" s="2" t="str">
        <x:v>FY25A</x:v>
      </x:c>
      <x:c r="E6" s="2" t="str">
        <x:v>FY26A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5" customHeight="1">
      <x:c r="B7" s="10" t="str">
        <x:v>Reported domestic sales</x:v>
      </x:c>
      <x:c r="C7" s="11"/>
      <x:c r="D7" s="11"/>
      <x:c r="E7" s="11"/>
      <x:c r="F7" s="2"/>
      <x:c r="G7" s="11" t="str">
        <x:v>Source and input status</x:v>
      </x:c>
      <x:c r="H7" s="11"/>
      <x:c r="I7" s="11"/>
      <x:c r="J7" s="2"/>
      <x:c r="K7" s="2"/>
      <x:c r="L7" s="2"/>
      <x:c r="M7" s="2"/>
      <x:c r="N7" s="2"/>
      <x:c r="O7" s="2"/>
      <x:c r="P7" s="2"/>
      <x:c r="Q7" s="2"/>
      <x:c r="R7" s="2"/>
    </x:row>
    <x:row r="8" ht="21" customHeight="1">
      <x:c r="B8" s="1" t="str">
        <x:v>Motorcycles</x:v>
      </x:c>
      <x:c r="C8" s="14" t="n">
        <x:v>11.653237</x:v>
      </x:c>
      <x:c r="D8" s="14" t="n">
        <x:v>12.252305</x:v>
      </x:c>
      <x:c r="E8" s="14" t="n">
        <x:v>13.064789</x:v>
      </x:c>
      <x:c r="F8" s="2"/>
      <x:c r="G8" s="2" t="str">
        <x:v>SIAM industry trend, FY24–FY26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1" customHeight="1">
      <x:c r="B9" s="1" t="str">
        <x:v>Scooters</x:v>
      </x:c>
      <x:c r="C9" s="14" t="n">
        <x:v>5.839325</x:v>
      </x:c>
      <x:c r="D9" s="14" t="n">
        <x:v>6.853214</x:v>
      </x:c>
      <x:c r="E9" s="14" t="n">
        <x:v>8.117945</x:v>
      </x:c>
      <x:c r="F9" s="2"/>
      <x:c r="G9" s="2" t="str">
        <x:v>FY25 categories: SIAM annual report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1" customHeight="1">
      <x:c r="B10" s="1" t="str">
        <x:v>Mopeds</x:v>
      </x:c>
      <x:c r="C10" s="14" t="n">
        <x:v>0.481803</x:v>
      </x:c>
      <x:c r="D10" s="14" t="n">
        <x:v>0.501813</x:v>
      </x:c>
      <x:c r="E10" s="14" t="n">
        <x:v>0.52324</x:v>
      </x:c>
      <x:c r="F10" s="2"/>
      <x:c r="G10" s="2" t="str">
        <x:v>FY26 category split: SIAM-reported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1" customHeight="1">
      <x:c r="B11" s="1" t="str">
        <x:v>Total two-wheelers</x:v>
      </x:c>
      <x:c r="C11" s="15" t="n">
        <x:f>SUM(C8:C10)</x:f>
        <x:v>17.974365</x:v>
      </x:c>
      <x:c r="D11" s="15" t="n">
        <x:f>SUM(D8:D10)</x:f>
        <x:v>19.607332</x:v>
      </x:c>
      <x:c r="E11" s="15" t="n">
        <x:f>SUM(E8:E10)</x:f>
        <x:v>21.705974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1" customHeight="1">
      <x:c r="B12" s="1"/>
      <x:c r="C12" s="2"/>
      <x:c r="D12" s="2"/>
      <x:c r="E12" s="2"/>
      <x:c r="F12" s="2"/>
      <x:c r="G12" s="2" t="str">
        <x:v>Official total FY26 = 21.705974m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1" customHeight="1">
      <x:c r="B13" s="1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5" customHeight="1">
      <x:c r="B14" s="10" t="str">
        <x:v>Calibration of FY26 GST timing</x:v>
      </x:c>
      <x:c r="C14" s="11"/>
      <x:c r="D14" s="11"/>
      <x:c r="E14" s="11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1" customHeight="1">
      <x:c r="B15" s="1" t="str">
        <x:v>No-GST FY26 growth from FY25</x:v>
      </x:c>
      <x:c r="C15" s="2"/>
      <x:c r="D15" s="2"/>
      <x:c r="E15" s="18" t="n">
        <x:v>0.06</x:v>
      </x:c>
      <x:c r="F15" s="2"/>
      <x:c r="G15" s="20" t="str">
        <x:v>Yellow: editable. Timing debt is estimated, not observed.</x:v>
      </x:c>
      <x:c r="H15" s="20"/>
      <x:c r="I15" s="20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1" customHeight="1">
      <x:c r="B16" s="1" t="str">
        <x:v>FY26 average GST net price benefit</x:v>
      </x:c>
      <x:c r="C16" s="2"/>
      <x:c r="D16" s="2"/>
      <x:c r="E16" s="18" t="n">
        <x:v>0.035</x:v>
      </x:c>
      <x:c r="F16" s="2"/>
      <x:c r="G16" s="20"/>
      <x:c r="H16" s="20"/>
      <x:c r="I16" s="20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1" customHeight="1">
      <x:c r="B17" s="1" t="str">
        <x:v>Share of 2W volume exposed to GST cut</x:v>
      </x:c>
      <x:c r="C17" s="2"/>
      <x:c r="D17" s="2"/>
      <x:c r="E17" s="18" t="n">
        <x:v>0.9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1" customHeight="1">
      <x:c r="B18" s="1" t="str">
        <x:v>Weighted price elasticity</x:v>
      </x:c>
      <x:c r="C18" s="2"/>
      <x:c r="D18" s="2"/>
      <x:c r="E18" s="19" t="n">
        <x:v>0.65</x:v>
      </x:c>
      <x:c r="F18" s="2"/>
      <x:c r="G18" s="2" t="str">
        <x:v>https://www.siam.in/knowledge/industry-data/industry-trends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1" customHeight="1">
      <x:c r="B19" s="1" t="str">
        <x:v>Borrowed share of residual excess</x:v>
      </x:c>
      <x:c r="C19" s="2"/>
      <x:c r="D19" s="2"/>
      <x:c r="E19" s="18" t="n">
        <x:v>0.55</x:v>
      </x:c>
      <x:c r="F19" s="2"/>
      <x:c r="G19" s="2" t="str">
        <x:v>https://www.siam.in/uploads/Know/AnnualReport/10985file_SIAM-Annual-Report-24-25_s.pdf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1" customHeight="1">
      <x:c r="B20" s="1" t="str">
        <x:v>FY26 EV share of scooter sales</x:v>
      </x:c>
      <x:c r="C20" s="2"/>
      <x:c r="D20" s="2"/>
      <x:c r="E20" s="18" t="n">
        <x:v>0.08</x:v>
      </x:c>
      <x:c r="F20" s="2"/>
      <x:c r="G20" s="2" t="str">
        <x:v>https://www.siam.in/knowledge/annual-reports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1" customHeight="1">
      <x:c r="B21" s="1"/>
      <x:c r="C21" s="2"/>
      <x:c r="D21" s="2"/>
      <x:c r="E21" s="2"/>
      <x:c r="F21" s="2"/>
      <x:c r="G21" s="2" t="str">
        <x:v>https://www.pib.gov.in/PressReleasePage.aspx?PRID=2163560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1" customHeight="1">
      <x:c r="B22" s="1" t="str">
        <x:v>No-GST FY26 counterfactual</x:v>
      </x:c>
      <x:c r="C22" s="2"/>
      <x:c r="D22" s="2"/>
      <x:c r="E22" s="12" t="n">
        <x:f>D11*(1+E15)</x:f>
        <x:v>20.78377192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1" customHeight="1">
      <x:c r="B23" s="1" t="str">
        <x:v>FY26 excess over counterfactual</x:v>
      </x:c>
      <x:c r="C23" s="2"/>
      <x:c r="D23" s="2"/>
      <x:c r="E23" s="12" t="n">
        <x:f>E11-E22</x:f>
        <x:v>0.9222020800000017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1" customHeight="1">
      <x:c r="B24" s="1" t="str">
        <x:v>Estimated affordability uplift</x:v>
      </x:c>
      <x:c r="C24" s="2"/>
      <x:c r="D24" s="2"/>
      <x:c r="E24" s="12" t="n">
        <x:f>E22*E16*E17*E18</x:f>
        <x:v>0.42554773006200003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1" customHeight="1">
      <x:c r="B25" s="1" t="str">
        <x:v>Residual beyond affordability</x:v>
      </x:c>
      <x:c r="C25" s="2"/>
      <x:c r="D25" s="2"/>
      <x:c r="E25" s="12" t="n">
        <x:f>E23-E24</x:f>
        <x:v>0.49665434993800167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1" customHeight="1">
      <x:c r="B26" s="1" t="str">
        <x:v>Opening timing debt at FY27 start</x:v>
      </x:c>
      <x:c r="C26" s="2"/>
      <x:c r="D26" s="2"/>
      <x:c r="E26" s="15" t="n">
        <x:f>MAX(0,E25*E19)</x:f>
        <x:v>0.27315989246590094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1" customHeight="1"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1" customHeight="1"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5" customHeight="1">
      <x:c r="B29" s="10" t="str">
        <x:v>FY27 published run-rate through August</x:v>
      </x:c>
      <x:c r="C29" s="11"/>
      <x:c r="D29" s="11"/>
      <x:c r="E29" s="11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1" customHeight="1">
      <x:c r="B30" s="1" t="str">
        <x:v>FY26 April–September actual</x:v>
      </x:c>
      <x:c r="C30" s="2"/>
      <x:c r="D30" s="2"/>
      <x:c r="E30" s="14" t="n">
        <x:v>10.236639</x:v>
      </x:c>
      <x:c r="F30" s="2"/>
      <x:c r="G30" s="2" t="str">
        <x:v>https://www.siam.in/pressrelease-details.aspx?pid=591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1" customHeight="1">
      <x:c r="B31" s="1" t="str">
        <x:v>FY26 September actual</x:v>
      </x:c>
      <x:c r="C31" s="2"/>
      <x:c r="D31" s="2"/>
      <x:c r="E31" s="14" t="n">
        <x:v>2.160889</x:v>
      </x:c>
      <x:c r="F31" s="2"/>
      <x:c r="G31" s="2" t="str">
        <x:v>https://www.siam.in/pressrelease-details.aspx?pid=610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1" customHeight="1">
      <x:c r="B32" s="1" t="str">
        <x:v>FY26 April–August actual</x:v>
      </x:c>
      <x:c r="C32" s="2"/>
      <x:c r="D32" s="2"/>
      <x:c r="E32" s="12" t="n">
        <x:f>E30-E31</x:f>
        <x:v>8.07575</x:v>
      </x:c>
      <x:c r="F32" s="2"/>
      <x:c r="G32" s="2" t="str">
        <x:v>https://www.siam.in/news-%26-updates/press-releases/auto-industry-performance-of-july-2026/612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1" customHeight="1">
      <x:c r="B33" s="1"/>
      <x:c r="C33" s="2"/>
      <x:c r="D33" s="2"/>
      <x:c r="E33" s="2"/>
      <x:c r="F33" s="2"/>
      <x:c r="G33" s="2" t="str">
        <x:v>https://www.siam.in/pressrelease-details.aspx?mpgid=53&amp;pgidtrail=50&amp;pid=620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1" customHeight="1">
      <x:c r="B34" s="1" t="str">
        <x:v>FY27 April–June actual</x:v>
      </x:c>
      <x:c r="C34" s="2"/>
      <x:c r="D34" s="2"/>
      <x:c r="E34" s="14" t="n">
        <x:v>5.628675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1" customHeight="1">
      <x:c r="B35" s="1" t="str">
        <x:v>FY27 July actual</x:v>
      </x:c>
      <x:c r="C35" s="2"/>
      <x:c r="D35" s="2"/>
      <x:c r="E35" s="14" t="n">
        <x:v>1.923483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1" customHeight="1">
      <x:c r="B36" s="1" t="str">
        <x:v>FY27 August actual</x:v>
      </x:c>
      <x:c r="C36" s="2"/>
      <x:c r="D36" s="2"/>
      <x:c r="E36" s="14" t="n">
        <x:v>2.034698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1" customHeight="1">
      <x:c r="B37" s="1" t="str">
        <x:v>FY27 April–August actual</x:v>
      </x:c>
      <x:c r="C37" s="2"/>
      <x:c r="D37" s="2"/>
      <x:c r="E37" s="12" t="n">
        <x:f>SUM(E34:E36)</x:f>
        <x:v>9.586856000000001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1" customHeight="1">
      <x:c r="B38" s="1" t="str">
        <x:v>Year-on-year April–August growth</x:v>
      </x:c>
      <x:c r="C38" s="2"/>
      <x:c r="D38" s="2"/>
      <x:c r="E38" s="21" t="n">
        <x:f>E37/E32-1</x:f>
        <x:v>0.18711649072841552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1" customHeight="1">
      <x:c r="B39" s="1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1" customHeight="1">
      <x:c r="B40" s="1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1" customHeight="1">
      <x:c r="B41" s="1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1" customHeight="1">
      <x:c r="B42" s="1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1" customHeight="1">
      <x:c r="B43" s="1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1" customHeight="1">
      <x:c r="B44" s="1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1" customHeight="1">
      <x:c r="B45" s="1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1" customHeight="1">
      <x:c r="B46" s="1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1" customHeight="1">
      <x:c r="B47" s="1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1" customHeight="1">
      <x:c r="B48" s="1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1" customHeight="1">
      <x:c r="B49" s="1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1" customHeight="1">
      <x:c r="B50" s="1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1" customHeight="1">
      <x:c r="B51" s="1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1" customHeight="1">
      <x:c r="B52" s="1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1" customHeight="1">
      <x:c r="B53" s="1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1" customHeight="1">
      <x:c r="B54" s="1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1" customHeight="1">
      <x:c r="B55" s="1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1" customHeight="1">
      <x:c r="B56" s="1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1" customHeight="1">
      <x:c r="B57" s="1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1" customHeight="1">
      <x:c r="B58" s="1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6" hidden="0" customWidth="1"/>
    <x:col min="3" max="3" width="10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2" ht="21" customHeight="1">
      <x:c r="B2" s="3" t="str">
        <x:v>Model method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1" customHeight="1">
      <x:c r="B3" s="4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1" customHeight="1">
      <x:c r="B4" s="6" t="str">
        <x:v>Designed for India domestic 2W wholesales, not an OEM capacity ceiling.</x:v>
      </x:c>
      <x:c r="C4" s="7"/>
      <x:c r="D4" s="7"/>
      <x:c r="E4" s="7"/>
      <x:c r="F4" s="7"/>
      <x:c r="G4" s="7"/>
      <x:c r="H4" s="7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1" customHeight="1"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1" customHeight="1">
      <x:c r="B6" s="1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5" customHeight="1">
      <x:c r="B7" s="10" t="str">
        <x:v>Calculation order</x:v>
      </x:c>
      <x:c r="C7" s="11"/>
      <x:c r="D7" s="11"/>
      <x:c r="E7" s="11"/>
      <x:c r="F7" s="11"/>
      <x:c r="G7" s="11"/>
      <x:c r="H7" s="11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1" customHeight="1">
      <x:c r="B8" s="1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1" customHeight="1">
      <x:c r="B9" s="1" t="str">
        <x:v>1. Anchor</x:v>
      </x:c>
      <x:c r="C9" s="2" t="str">
        <x:v>FY24–FY26 SIAM sales are split into motorcycles, scooters and mopeds. FY26 total is 21.706m.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1" customHeight="1">
      <x:c r="B10" s="1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1" customHeight="1">
      <x:c r="B11" s="1" t="str">
        <x:v>2. Underlying demand</x:v>
      </x:c>
      <x:c r="C11" s="2" t="str">
        <x:v>Each segment grows via replacement and first-time buyer shares. The core rates exclude rural and credit contributions, which are added separately.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1" customHeight="1">
      <x:c r="B12" s="1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1" customHeight="1">
      <x:c r="B13" s="1" t="str">
        <x:v>3. GST affordability</x:v>
      </x:c>
      <x:c r="C13" s="2" t="str">
        <x:v>The year-on-year change in the remaining consumer price benefit affects only the GST-exposed share, scaled by segment-specific elasticity.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1" customHeight="1">
      <x:c r="B14" s="1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1" customHeight="1">
      <x:c r="B15" s="1" t="str">
        <x:v>4. Timing adjustment</x:v>
      </x:c>
      <x:c r="C15" s="2" t="str">
        <x:v>FY26 excess over a no-GST counterfactual is reduced by an estimated affordability benefit. A chosen share of the residual is repaid over FY27–FY29.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1" customHeight="1">
      <x:c r="B16" s="1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1" customHeight="1">
      <x:c r="B17" s="1" t="str">
        <x:v>5. EV adoption</x:v>
      </x:c>
      <x:c r="C17" s="2" t="str">
        <x:v>EV scooters are included within scooter sales. Only an explicit fraction of a rising EV mix creates extra category volume.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1" customHeight="1">
      <x:c r="B18" s="1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1" customHeight="1">
      <x:c r="B19" s="1" t="str">
        <x:v>6. Wholesale/retail</x:v>
      </x:c>
      <x:c r="C19" s="2" t="str">
        <x:v>Annual inventory change is an editable wholesale adjustment; without dealer stock data it is zero. Do not infer retail or installed stock from wholesales.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1" customHeight="1">
      <x:c r="B20" s="1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1" customHeight="1">
      <x:c r="B21" s="1" t="str">
        <x:v>7. Update cycle</x:v>
      </x:c>
      <x:c r="C21" s="2" t="str">
        <x:v>Replace historical categories and debt assumptions after checking SIAM/FADA. Update the annual drivers and observed FY27 periods as data arrive.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1" customHeight="1"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1" customHeight="1"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1" customHeight="1"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1" customHeight="1"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1" customHeight="1">
      <x:c r="B26" s="1" t="str">
        <x:v>Key assumption risks</x:v>
      </x:c>
      <x:c r="C26" s="2" t="str">
        <x:v>Replacement mix, price elasticity, timing debt and EV incrementality are analyst estimates, not directly observed cohorts.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1" customHeight="1"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1" customHeight="1"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1" customHeight="1">
      <x:c r="B29" s="1" t="str">
        <x:v>FY27 published run-rate</x:v>
      </x:c>
      <x:c r="C29" s="2" t="str">
        <x:v>April–August FY27 is actual, but the segment model is not forced to extrapolate it. Summary shows the September–March growth needed for the annual forecast. Refresh when September is released.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1" customHeight="1">
      <x:c r="B30" s="1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1" customHeight="1">
      <x:c r="B31" s="1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1" customHeight="1">
      <x:c r="B32" s="1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1" customHeight="1">
      <x:c r="B33" s="1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1" customHeight="1">
      <x:c r="B34" s="1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1" customHeight="1">
      <x:c r="B35" s="1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1" customHeight="1">
      <x:c r="B36" s="1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1" customHeight="1">
      <x:c r="B37" s="1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1" customHeight="1">
      <x:c r="B38" s="1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1" customHeight="1">
      <x:c r="B39" s="1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1" customHeight="1">
      <x:c r="B40" s="1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1" customHeight="1">
      <x:c r="B41" s="1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1" customHeight="1">
      <x:c r="B42" s="1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1" customHeight="1">
      <x:c r="B43" s="1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1" customHeight="1">
      <x:c r="B44" s="1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1" customHeight="1">
      <x:c r="B45" s="1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1" customHeight="1">
      <x:c r="B46" s="1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1" customHeight="1">
      <x:c r="B47" s="1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1" customHeight="1">
      <x:c r="B48" s="1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1" customHeight="1">
      <x:c r="B49" s="1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1" customHeight="1">
      <x:c r="B50" s="1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1" customHeight="1">
      <x:c r="B51" s="1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1" customHeight="1">
      <x:c r="B52" s="1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1" customHeight="1">
      <x:c r="B53" s="1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1" customHeight="1">
      <x:c r="B54" s="1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1" customHeight="1">
      <x:c r="B55" s="1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1" customHeight="1">
      <x:c r="B56" s="1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1" customHeight="1">
      <x:c r="B57" s="1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1" customHeight="1">
      <x:c r="B58" s="1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</x:sheetData>
  <x:pageMargins left="0.7" right="0.7" top="0.75" bottom="0.75" header="0.3" footer="0.3"/>
</x:worksheet>
</file>