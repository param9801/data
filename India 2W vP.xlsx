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cb18da7df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d016a7003a46b1"/>
    <x:sheet xmlns:r="http://schemas.openxmlformats.org/officeDocument/2006/relationships" name="Demand build" sheetId="2" r:id="Rc6717bdbc0b2486f"/>
    <x:sheet xmlns:r="http://schemas.openxmlformats.org/officeDocument/2006/relationships" name="Replacement cohorts" sheetId="3" r:id="R507aa44823824ae7"/>
    <x:sheet xmlns:r="http://schemas.openxmlformats.org/officeDocument/2006/relationships" name="Inputs and sources" sheetId="4" r:id="R1cef8ea81a7d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;(#,##0.000);–"/>
    <x:numFmt numFmtId="201" formatCode="0.0%;(0.0%);–"/>
    <x:numFmt numFmtId="202" formatCode="0.00&quot;x&quot;"/>
  </x:numFmts>
  <x:fonts count="7">
    <x:font>
      <x:sz val="11"/>
      <x:name val="Carlito"/>
    </x:font>
    <x:font>
      <x:sz val="10"/>
      <x:color rgb="FF263341"/>
      <x:name val="Arial"/>
    </x:font>
    <x:font>
      <x:b/>
      <x:sz val="15"/>
      <x:color rgb="FF18344E"/>
      <x:name val="Arial"/>
    </x:font>
    <x:font>
      <x:i/>
      <x:sz val="10"/>
      <x:color rgb="FF657587"/>
      <x:name val="Arial"/>
    </x:font>
    <x:font>
      <x:b/>
      <x:sz val="10"/>
      <x:color rgb="FFFFFFFF"/>
      <x:name val="Arial"/>
    </x:font>
    <x:font>
      <x:sz val="10"/>
      <x:color rgb="FF175CD3"/>
      <x:name val="Arial"/>
    </x:font>
    <x:font>
      <x:sz val="10"/>
      <x:color rgb="FF65758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44E"/>
      </x:patternFill>
    </x:fill>
    <x:fill>
      <x:patternFill patternType="solid">
        <x:fgColor rgb="FFFFF0C0"/>
      </x:patternFill>
    </x:fill>
    <x:fill>
      <x:patternFill patternType="solid">
        <x:fgColor rgb="FFE8F1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85D83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93416f288485e" /><Relationship Type="http://schemas.openxmlformats.org/officeDocument/2006/relationships/theme" Target="/xl/theme/theme1.xml" Id="R9a07bf22713e465c" /><Relationship Type="http://schemas.openxmlformats.org/officeDocument/2006/relationships/sharedStrings" Target="/xl/sharedStrings.xml" Id="Rb6a8905ea9344483" /><Relationship Type="http://schemas.openxmlformats.org/officeDocument/2006/relationships/worksheet" Target="/xl/worksheets/sheet1.xml" Id="R44d016a7003a46b1" /><Relationship Type="http://schemas.openxmlformats.org/officeDocument/2006/relationships/worksheet" Target="/xl/worksheets/sheet2.xml" Id="Rc6717bdbc0b2486f" /><Relationship Type="http://schemas.openxmlformats.org/officeDocument/2006/relationships/worksheet" Target="/xl/worksheets/sheet3.xml" Id="R507aa44823824ae7" /><Relationship Type="http://schemas.openxmlformats.org/officeDocument/2006/relationships/worksheet" Target="/xl/worksheets/sheet4.xml" Id="R1cef8ea81a7d4d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c625838b2043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Domestic two-wheeler sales (million)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 (m)</c:v>
          </c:tx>
          <c:spPr>
            <a:ln xmlns:a="http://schemas.openxmlformats.org/drawingml/2006/main" w="19050">
              <a:solidFill>
                <a:srgbClr val="285D83"/>
              </a:solidFill>
              <a:prstDash val="solid"/>
            </a:ln>
          </c:spPr>
          <c:marker>
            <c:symbol val="none"/>
          </c:marker>
          <c:cat>
            <c:strRef>
              <c:f>'Summary'!$J$6:$J$11</c:f>
              <c:strCache>
                <c:ptCount val="0"/>
              </c:strCache>
            </c:strRef>
          </c:cat>
          <c:val>
            <c:numRef>
              <c:f>'Summary'!$K$6:$K$11</c:f>
              <c:numCache>
                <c:formatCode>#,##0.000;(#,##0.000);–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c625838b20438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883d21154a4801" /></Relationships>
</file>

<file path=xl/worksheets/sheet1.xml><?xml version="1.0" encoding="utf-8"?>
<x:worksheet xmlns:x="http://schemas.openxmlformats.org/spreadsheetml/2006/main">
  <x:sheetPr>
    <x:tabColor rgb="FF18344E"/>
  </x:sheetPr>
  <x:sheetViews>
    <x:sheetView showGridLines="0" workbookViewId="0"/>
  </x:sheetViews>
  <x:sheetFormatPr defaultRowHeight="15"/>
  <x:cols>
    <x:col min="2" max="2" width="51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2" ht="21" customHeight="1">
      <x:c r="B2" s="3" t="str">
        <x:v>India two-wheeler volume forecast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1" customHeight="1"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1" customHeight="1">
      <x:c r="B4" s="4" t="str">
        <x:v>Motorcycle replacement cohorts, affordability-led entry, scooterization and FY29 wage revision. Domestic SIAM wholesales.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1" customHeight="1">
      <x:c r="B5" s="2"/>
      <x:c r="C5" s="2"/>
      <x:c r="D5" s="2"/>
      <x:c r="E5" s="2"/>
      <x:c r="F5" s="2"/>
      <x:c r="G5" s="2"/>
      <x:c r="H5" s="2"/>
      <x:c r="I5" s="2"/>
      <x:c r="J5" s="2" t="str">
        <x:v>Fiscal year</x:v>
      </x:c>
      <x:c r="K5" s="2" t="str">
        <x:v>Sales (m)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1" customHeight="1">
      <x:c r="B6" s="2"/>
      <x:c r="C6" s="2" t="str">
        <x:v>FY24A</x:v>
      </x:c>
      <x:c r="D6" s="2" t="str">
        <x:v>FY25A</x:v>
      </x:c>
      <x:c r="E6" s="2" t="str">
        <x:v>FY26A</x:v>
      </x:c>
      <x:c r="F6" s="2" t="str">
        <x:v>FY27E</x:v>
      </x:c>
      <x:c r="G6" s="2" t="str">
        <x:v>FY28E</x:v>
      </x:c>
      <x:c r="H6" s="2" t="str">
        <x:v>FY29E</x:v>
      </x:c>
      <x:c r="I6" s="2"/>
      <x:c r="J6" s="2" t="str">
        <x:v>FY24</x:v>
      </x:c>
      <x:c r="K6" s="8" t="n">
        <x:f>C11</x:f>
        <x:v>17.974365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4" customHeight="1">
      <x:c r="B7" s="7" t="str">
        <x:v>Volume by category (millions)</x:v>
      </x:c>
      <x:c r="C7" s="7"/>
      <x:c r="D7" s="7"/>
      <x:c r="E7" s="7"/>
      <x:c r="F7" s="7"/>
      <x:c r="G7" s="7"/>
      <x:c r="H7" s="7"/>
      <x:c r="I7" s="2"/>
      <x:c r="J7" s="2" t="str">
        <x:v>FY25</x:v>
      </x:c>
      <x:c r="K7" s="8" t="n">
        <x:f>D11</x:f>
        <x:v>19.607332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21" customHeight="1">
      <x:c r="B8" s="2" t="str">
        <x:v>Motorcycles</x:v>
      </x:c>
      <x:c r="C8" s="8" t="n">
        <x:f>'Inputs and sources'!C16</x:f>
        <x:v>11.653237</x:v>
      </x:c>
      <x:c r="D8" s="8" t="n">
        <x:f>'Inputs and sources'!C17</x:f>
        <x:v>12.252305</x:v>
      </x:c>
      <x:c r="E8" s="8" t="n">
        <x:f>'Inputs and sources'!C18</x:f>
        <x:v>13.064789</x:v>
      </x:c>
      <x:c r="F8" s="8" t="n">
        <x:f>'Demand build'!F15</x:f>
        <x:v>13.38707259740824</x:v>
      </x:c>
      <x:c r="G8" s="8" t="n">
        <x:f>'Demand build'!G15</x:f>
        <x:v>12.652881588849365</x:v>
      </x:c>
      <x:c r="H8" s="8" t="n">
        <x:f>'Demand build'!H15</x:f>
        <x:v>13.981434155678548</x:v>
      </x:c>
      <x:c r="I8" s="2"/>
      <x:c r="J8" s="2" t="str">
        <x:v>FY26</x:v>
      </x:c>
      <x:c r="K8" s="8" t="n">
        <x:f>E11</x:f>
        <x:v>21.705974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21" customHeight="1">
      <x:c r="B9" s="2" t="str">
        <x:v>Scooters</x:v>
      </x:c>
      <x:c r="C9" s="8" t="n">
        <x:f>'Inputs and sources'!D16</x:f>
        <x:v>5.839325</x:v>
      </x:c>
      <x:c r="D9" s="8" t="n">
        <x:f>'Inputs and sources'!D17</x:f>
        <x:v>6.853214</x:v>
      </x:c>
      <x:c r="E9" s="8" t="n">
        <x:f>'Inputs and sources'!D18</x:f>
        <x:v>8.117945</x:v>
      </x:c>
      <x:c r="F9" s="8" t="n">
        <x:f>'Demand build'!F27</x:f>
        <x:v>8.925644671890225</x:v>
      </x:c>
      <x:c r="G9" s="8" t="n">
        <x:f>'Demand build'!G27</x:f>
        <x:v>9.05069197770292</x:v>
      </x:c>
      <x:c r="H9" s="8" t="n">
        <x:f>'Demand build'!H27</x:f>
        <x:v>10.453549234246873</x:v>
      </x:c>
      <x:c r="I9" s="2"/>
      <x:c r="J9" s="2" t="str">
        <x:v>FY27E</x:v>
      </x:c>
      <x:c r="K9" s="8" t="n">
        <x:f>F11</x:f>
        <x:v>22.841189669298466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21" customHeight="1">
      <x:c r="B10" s="2" t="str">
        <x:v>Mopeds</x:v>
      </x:c>
      <x:c r="C10" s="8" t="n">
        <x:f>'Inputs and sources'!E16</x:f>
        <x:v>0.481803</x:v>
      </x:c>
      <x:c r="D10" s="8" t="n">
        <x:f>'Inputs and sources'!E17</x:f>
        <x:v>0.501813</x:v>
      </x:c>
      <x:c r="E10" s="8" t="n">
        <x:f>'Inputs and sources'!E18</x:f>
        <x:v>0.52324</x:v>
      </x:c>
      <x:c r="F10" s="8" t="n">
        <x:f>'Demand build'!F32</x:f>
        <x:v>0.5284724000000001</x:v>
      </x:c>
      <x:c r="G10" s="8" t="n">
        <x:f>'Demand build'!G32</x:f>
        <x:v>0.5337571240000001</x:v>
      </x:c>
      <x:c r="H10" s="8" t="n">
        <x:f>'Demand build'!H32</x:f>
        <x:v>0.5390946952400001</x:v>
      </x:c>
      <x:c r="I10" s="2"/>
      <x:c r="J10" s="2" t="str">
        <x:v>FY28E</x:v>
      </x:c>
      <x:c r="K10" s="8" t="n">
        <x:f>G11</x:f>
        <x:v>22.237330690552287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1" customHeight="1">
      <x:c r="B11" s="2" t="str">
        <x:v>Total two-wheelers</x:v>
      </x:c>
      <x:c r="C11" s="16" t="n">
        <x:f>SUM(C8:C10)</x:f>
        <x:v>17.974365</x:v>
      </x:c>
      <x:c r="D11" s="16" t="n">
        <x:f>SUM(D8:D10)</x:f>
        <x:v>19.607332</x:v>
      </x:c>
      <x:c r="E11" s="16" t="n">
        <x:f>SUM(E8:E10)</x:f>
        <x:v>21.705974</x:v>
      </x:c>
      <x:c r="F11" s="16" t="n">
        <x:f>SUM(F8:F10)</x:f>
        <x:v>22.841189669298466</x:v>
      </x:c>
      <x:c r="G11" s="16" t="n">
        <x:f>SUM(G8:G10)</x:f>
        <x:v>22.237330690552287</x:v>
      </x:c>
      <x:c r="H11" s="16" t="n">
        <x:f>SUM(H8:H10)</x:f>
        <x:v>24.97407808516542</x:v>
      </x:c>
      <x:c r="I11" s="2"/>
      <x:c r="J11" s="2" t="str">
        <x:v>FY29E</x:v>
      </x:c>
      <x:c r="K11" s="8" t="n">
        <x:f>H11</x:f>
        <x:v>24.97407808516542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1" customHeight="1">
      <x:c r="B12" s="2" t="str">
        <x:v>Year-on-year growth</x:v>
      </x:c>
      <x:c r="C12" s="15"/>
      <x:c r="D12" s="17" t="n">
        <x:f>D11/C11-1</x:f>
        <x:v>0.09084977410884898</x:v>
      </x:c>
      <x:c r="E12" s="17" t="n">
        <x:f>E11/D11-1</x:f>
        <x:v>0.10703353215011613</x:v>
      </x:c>
      <x:c r="F12" s="17" t="n">
        <x:f>F11/E11-1</x:f>
        <x:v>0.05229968806276397</x:v>
      </x:c>
      <x:c r="G12" s="17" t="n">
        <x:f>G11/F11-1</x:f>
        <x:v>-0.026437282273341633</x:v>
      </x:c>
      <x:c r="H12" s="17" t="n">
        <x:f>H11/G11-1</x:f>
        <x:v>0.12306995982102564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1" customHeight="1">
      <x:c r="B13" s="2" t="str">
        <x:v>Scooter share of motorcycle+scooter</x:v>
      </x:c>
      <x:c r="C13" s="12" t="n">
        <x:f>C9/(C8+C9)</x:f>
        <x:v>0.33381759630178814</x:v>
      </x:c>
      <x:c r="D13" s="12" t="n">
        <x:f>D9/(D8+D9)</x:f>
        <x:v>0.35870336733589914</x:v>
      </x:c>
      <x:c r="E13" s="12" t="n">
        <x:f>E9/(E8+E9)</x:f>
        <x:v>0.3832340527903528</x:v>
      </x:c>
      <x:c r="F13" s="12" t="n">
        <x:f>F9/(F8+F9)</x:f>
        <x:v>0.40002499759057164</x:v>
      </x:c>
      <x:c r="G13" s="12" t="n">
        <x:f>G9/(G8+G9)</x:f>
        <x:v>0.41701390556489193</x:v>
      </x:c>
      <x:c r="H13" s="12" t="n">
        <x:f>H9/(H8+H9)</x:f>
        <x:v>0.42781077717273536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1" customHeight="1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1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4" customHeight="1">
      <x:c r="B16" s="7" t="str">
        <x:v>Why the volume changes</x:v>
      </x:c>
      <x:c r="C16" s="7"/>
      <x:c r="D16" s="7"/>
      <x:c r="E16" s="7"/>
      <x:c r="F16" s="7"/>
      <x:c r="G16" s="7"/>
      <x:c r="H16" s="7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1" customHeight="1">
      <x:c r="B17" s="2" t="str">
        <x:v>Motorcycle replacement purchases</x:v>
      </x:c>
      <x:c r="C17" s="2"/>
      <x:c r="D17" s="2"/>
      <x:c r="E17" s="2"/>
      <x:c r="F17" s="8" t="n">
        <x:f>'Demand build'!F9</x:f>
        <x:v>10.00683676656266</x:v>
      </x:c>
      <x:c r="G17" s="8" t="n">
        <x:f>'Demand build'!G9</x:f>
        <x:v>9.855278650650156</x:v>
      </x:c>
      <x:c r="H17" s="8" t="n">
        <x:f>'Demand build'!H9</x:f>
        <x:v>9.837954407758861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1" customHeight="1">
      <x:c r="B18" s="2" t="str">
        <x:v>Scooter replacement purchases</x:v>
      </x:c>
      <x:c r="C18" s="2"/>
      <x:c r="D18" s="2"/>
      <x:c r="E18" s="2"/>
      <x:c r="F18" s="8" t="n">
        <x:f>'Demand build'!F21</x:f>
        <x:v>3.9942259906708766</x:v>
      </x:c>
      <x:c r="G18" s="8" t="n">
        <x:f>'Demand build'!G21</x:f>
        <x:v>4.070241121866519</x:v>
      </x:c>
      <x:c r="H18" s="8" t="n">
        <x:f>'Demand build'!H21</x:f>
        <x:v>4.179157141506872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1" customHeight="1">
      <x:c r="B19" s="2" t="str">
        <x:v>New buyers before price</x:v>
      </x:c>
      <x:c r="C19" s="2"/>
      <x:c r="D19" s="2"/>
      <x:c r="E19" s="2"/>
      <x:c r="F19" s="8" t="n">
        <x:f>'Demand build'!F10+'Demand build'!F22</x:f>
        <x:v>7.4768178886912215</x:v>
      </x:c>
      <x:c r="G19" s="8" t="n">
        <x:f>'Demand build'!G10+'Demand build'!G22</x:f>
        <x:v>7.5732345155247565</x:v>
      </x:c>
      <x:c r="H19" s="8" t="n">
        <x:f>'Demand build'!H10+'Demand build'!H22</x:f>
        <x:v>7.670940035345825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1" customHeight="1">
      <x:c r="B20" s="2" t="str">
        <x:v>Price-led new buyers</x:v>
      </x:c>
      <x:c r="C20" s="2"/>
      <x:c r="D20" s="2"/>
      <x:c r="E20" s="2"/>
      <x:c r="F20" s="8" t="n">
        <x:f>'Demand build'!F11+'Demand build'!F23</x:f>
        <x:v>0.4044390057814618</x:v>
      </x:c>
      <x:c r="G20" s="8" t="n">
        <x:f>'Demand build'!G11+'Demand build'!G23</x:f>
        <x:v>0.20481927851085407</x:v>
      </x:c>
      <x:c r="H20" s="8" t="n">
        <x:f>'Demand build'!H11+'Demand build'!H23</x:f>
        <x:v>0.10372685779802336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1" customHeight="1">
      <x:c r="B21" s="2" t="str">
        <x:v>Scooterization transfer (industry net)</x:v>
      </x:c>
      <x:c r="C21" s="2"/>
      <x:c r="D21" s="2"/>
      <x:c r="E21" s="2"/>
      <x:c r="F21" s="8" t="n">
        <x:f>'Demand build'!F12+'Demand build'!F24</x:f>
        <x:v>0</x:v>
      </x:c>
      <x:c r="G21" s="8" t="n">
        <x:f>'Demand build'!G12+'Demand build'!G24</x:f>
        <x:v>0</x:v>
      </x:c>
      <x:c r="H21" s="8" t="n">
        <x:f>'Demand build'!H12+'Demand build'!H24</x:f>
        <x:v>0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1" customHeight="1">
      <x:c r="B22" s="2" t="str">
        <x:v>FY27 observed-sales calibration</x:v>
      </x:c>
      <x:c r="C22" s="2"/>
      <x:c r="D22" s="2"/>
      <x:c r="E22" s="2"/>
      <x:c r="F22" s="8" t="n">
        <x:f>'Demand build'!F13+'Demand build'!F25</x:f>
        <x:v>0.43039761759224504</x:v>
      </x:c>
      <x:c r="G22" s="8" t="n">
        <x:f>0</x:f>
        <x:v>0</x:v>
      </x:c>
      <x:c r="H22" s="8" t="n">
        <x:f>0</x:f>
        <x:v>0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1" customHeight="1">
      <x:c r="B23" s="2" t="str">
        <x:v>FY29 wage-event buyers</x:v>
      </x:c>
      <x:c r="C23" s="2"/>
      <x:c r="D23" s="2"/>
      <x:c r="E23" s="2"/>
      <x:c r="F23" s="8" t="n">
        <x:f>0</x:f>
        <x:v>0</x:v>
      </x:c>
      <x:c r="G23" s="8" t="n">
        <x:f>0</x:f>
        <x:v>0</x:v>
      </x:c>
      <x:c r="H23" s="8" t="n">
        <x:f>'Demand build'!H14+'Demand build'!H26</x:f>
        <x:v>2.643204947515839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21" customHeight="1">
      <x:c r="B24" s="2" t="str">
        <x:v>Motorcycle replacement share</x:v>
      </x:c>
      <x:c r="C24" s="2"/>
      <x:c r="D24" s="2"/>
      <x:c r="E24" s="12" t="n">
        <x:f>'Demand build'!E16</x:f>
        <x:v>0.75</x:v>
      </x:c>
      <x:c r="F24" s="12" t="n">
        <x:f>'Demand build'!F16</x:f>
        <x:v>0.7475</x:v>
      </x:c>
      <x:c r="G24" s="12" t="n">
        <x:f>'Demand build'!G16</x:f>
        <x:v>0.7788959836101953</x:v>
      </x:c>
      <x:c r="H24" s="12" t="n">
        <x:f>'Demand build'!H16</x:f>
        <x:v>0.7036441539699405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1" customHeight="1">
      <x:c r="B25" s="2" t="str">
        <x:v>Scooter replacement share</x:v>
      </x:c>
      <x:c r="C25" s="2"/>
      <x:c r="D25" s="2"/>
      <x:c r="E25" s="12" t="n">
        <x:f>'Demand build'!E28</x:f>
        <x:v>0.44999999999999996</x:v>
      </x:c>
      <x:c r="F25" s="12" t="n">
        <x:f>'Demand build'!F28</x:f>
        <x:v>0.44750000000000006</x:v>
      </x:c>
      <x:c r="G25" s="12" t="n">
        <x:f>'Demand build'!G28</x:f>
        <x:v>0.4497160141891772</x:v>
      </x:c>
      <x:c r="H25" s="12" t="n">
        <x:f>'Demand build'!H28</x:f>
        <x:v>0.39978356133967735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21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21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24" customHeight="1">
      <x:c r="B28" s="7" t="str">
        <x:v>FY27 observed-sales check</x:v>
      </x:c>
      <x:c r="C28" s="7"/>
      <x:c r="D28" s="7"/>
      <x:c r="E28" s="7"/>
      <x:c r="F28" s="7"/>
      <x:c r="G28" s="7"/>
      <x:c r="H28" s="7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21" customHeight="1">
      <x:c r="B29" s="2" t="str">
        <x:v>SIAM Apr–Aug FY27 growth (same wholesale series)</x:v>
      </x:c>
      <x:c r="C29" s="2"/>
      <x:c r="D29" s="2"/>
      <x:c r="E29" s="2"/>
      <x:c r="F29" s="12" t="n">
        <x:f>'Inputs and sources'!E24</x:f>
        <x:v>0.1871164907284153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1" customHeight="1">
      <x:c r="B30" s="2" t="str">
        <x:v>Alternative growth supplied by analyst</x:v>
      </x:c>
      <x:c r="C30" s="2"/>
      <x:c r="D30" s="2"/>
      <x:c r="E30" s="2"/>
      <x:c r="F30" s="12" t="n">
        <x:f>'Inputs and sources'!E25</x:f>
        <x:v>0.155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1" customHeight="1">
      <x:c r="B31" s="2" t="str">
        <x:v>FY26 September–March volume</x:v>
      </x:c>
      <x:c r="C31" s="2"/>
      <x:c r="D31" s="2"/>
      <x:c r="E31" s="2"/>
      <x:c r="F31" s="8" t="n">
        <x:f>'Inputs and sources'!E26</x:f>
        <x:v>13.630224000000002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1" customHeight="1">
      <x:c r="B32" s="2" t="str">
        <x:v>Forecast FY27 September–March volume</x:v>
      </x:c>
      <x:c r="C32" s="2"/>
      <x:c r="D32" s="2"/>
      <x:c r="E32" s="2"/>
      <x:c r="F32" s="8" t="n">
        <x:f>F11-'Inputs and sources'!E23</x:f>
        <x:v>13.254333669298466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1" customHeight="1">
      <x:c r="B33" s="2" t="str">
        <x:v>Growth required for September–March</x:v>
      </x:c>
      <x:c r="C33" s="2"/>
      <x:c r="D33" s="2"/>
      <x:c r="E33" s="2"/>
      <x:c r="F33" s="17" t="n">
        <x:f>F32/F31-1</x:f>
        <x:v>-0.02757770750513977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1" customHeight="1">
      <x:c r="B34" s="2" t="str">
        <x:v>FY27 motorcycle replacement-share change</x:v>
      </x:c>
      <x:c r="C34" s="2"/>
      <x:c r="D34" s="2"/>
      <x:c r="E34" s="2"/>
      <x:c r="F34" s="12" t="n">
        <x:f>F24-E24</x:f>
        <x:v>-0.0024999999999999467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1" customHeight="1">
      <x:c r="B35" s="2" t="str">
        <x:v>FY27 scooter replacement-share change</x:v>
      </x:c>
      <x:c r="C35" s="2"/>
      <x:c r="D35" s="2"/>
      <x:c r="E35" s="2"/>
      <x:c r="F35" s="12" t="n">
        <x:f>F25-E25</x:f>
        <x:v>-0.002499999999999891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1" customHeight="1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1" customHeight="1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4" customHeight="1">
      <x:c r="B38" s="7" t="str">
        <x:v>FY29 wage revision: required take-up</x:v>
      </x:c>
      <x:c r="C38" s="7"/>
      <x:c r="D38" s="7"/>
      <x:c r="E38" s="7"/>
      <x:c r="F38" s="7"/>
      <x:c r="G38" s="7"/>
      <x:c r="H38" s="7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1" customHeight="1">
      <x:c r="B39" s="2" t="str">
        <x:v>Motorcycle volume growth</x:v>
      </x:c>
      <x:c r="C39" s="2"/>
      <x:c r="D39" s="2"/>
      <x:c r="E39" s="2"/>
      <x:c r="F39" s="2"/>
      <x:c r="G39" s="2"/>
      <x:c r="H39" s="12" t="n">
        <x:f>H8/G8-1</x:f>
        <x:v>0.10499999999999998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1" customHeight="1">
      <x:c r="B40" s="2" t="str">
        <x:v>Scooter volume growth</x:v>
      </x:c>
      <x:c r="C40" s="2"/>
      <x:c r="D40" s="2"/>
      <x:c r="E40" s="2"/>
      <x:c r="F40" s="2"/>
      <x:c r="G40" s="2"/>
      <x:c r="H40" s="12" t="n">
        <x:f>H9/G9-1</x:f>
        <x:v>0.15500000000000003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21" customHeight="1">
      <x:c r="B41" s="2" t="str">
        <x:v>Additional motorcycle purchases</x:v>
      </x:c>
      <x:c r="C41" s="2"/>
      <x:c r="D41" s="2"/>
      <x:c r="E41" s="2"/>
      <x:c r="F41" s="2"/>
      <x:c r="G41" s="2"/>
      <x:c r="H41" s="8" t="n">
        <x:f>'Demand build'!H54</x:f>
        <x:v>1.2578318590275384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21" customHeight="1">
      <x:c r="B42" s="2" t="str">
        <x:v>Additional scooter purchases</x:v>
      </x:c>
      <x:c r="C42" s="2"/>
      <x:c r="D42" s="2"/>
      <x:c r="E42" s="2"/>
      <x:c r="F42" s="2"/>
      <x:c r="G42" s="2"/>
      <x:c r="H42" s="8" t="n">
        <x:f>'Demand build'!H55</x:f>
        <x:v>1.3853730884883007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21" customHeight="1">
      <x:c r="B43" s="2" t="str">
        <x:v>Total additional purchases</x:v>
      </x:c>
      <x:c r="C43" s="2"/>
      <x:c r="D43" s="2"/>
      <x:c r="E43" s="2"/>
      <x:c r="F43" s="2"/>
      <x:c r="G43" s="2"/>
      <x:c r="H43" s="8" t="n">
        <x:f>'Demand build'!H56</x:f>
        <x:v>2.643204947515839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21" customHeight="1">
      <x:c r="B44" s="2" t="str">
        <x:v>Illustrative eligible households (millions)</x:v>
      </x:c>
      <x:c r="C44" s="2"/>
      <x:c r="D44" s="2"/>
      <x:c r="E44" s="2"/>
      <x:c r="F44" s="2"/>
      <x:c r="G44" s="2"/>
      <x:c r="H44" s="8" t="n">
        <x:f>'Demand build'!H57</x:f>
        <x:v>30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21" customHeight="1">
      <x:c r="B45" s="2" t="str">
        <x:v>Incremental purchase incidence required</x:v>
      </x:c>
      <x:c r="C45" s="2"/>
      <x:c r="D45" s="2"/>
      <x:c r="E45" s="2"/>
      <x:c r="F45" s="2"/>
      <x:c r="G45" s="2"/>
      <x:c r="H45" s="12" t="n">
        <x:f>'Demand build'!H58</x:f>
        <x:v>0.0881068315838613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21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21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21" customHeight="1">
      <x:c r="B48" s="2" t="str">
        <x:v>Interpretation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 ht="21" customHeight="1">
      <x:c r="B49" s="18" t="str">
        <x:v>FY26 replacement shares are calibration anchors. Age-specific replacement probabilities drive absolute purchases thereafter.</x:v>
      </x:c>
      <x:c r="C49" s="18"/>
      <x:c r="D49" s="18"/>
      <x:c r="E49" s="18"/>
      <x:c r="F49" s="18"/>
      <x:c r="G49" s="18"/>
      <x:c r="H49" s="18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21" customHeight="1">
      <x:c r="B50" s="18" t="str">
        <x:v>A GST-triggered purchase exits its owner cohort. The smaller remaining pool creates future payback automatically.</x:v>
      </x:c>
      <x:c r="C50" s="18"/>
      <x:c r="D50" s="18"/>
      <x:c r="E50" s="18"/>
      <x:c r="F50" s="18"/>
      <x:c r="G50" s="18"/>
      <x:c r="H50" s="18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21" customHeight="1">
      <x:c r="B51" s="18" t="str">
        <x:v>FY27 additional new buyers reconcile the cohort build with observed wholesales and the remaining-year floor.</x:v>
      </x:c>
      <x:c r="C51" s="18"/>
      <x:c r="D51" s="18"/>
      <x:c r="E51" s="18"/>
      <x:c r="F51" s="18"/>
      <x:c r="G51" s="18"/>
      <x:c r="H51" s="18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21" customHeight="1">
      <x:c r="B52" s="18" t="str">
        <x:v>FY29 target growth is a view; the calculated wage-event volume and implied household take-up test its feasibility.</x:v>
      </x:c>
      <x:c r="C52" s="18"/>
      <x:c r="D52" s="18"/>
      <x:c r="E52" s="18"/>
      <x:c r="F52" s="18"/>
      <x:c r="G52" s="18"/>
      <x:c r="H52" s="18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21" customHeight="1">
      <x:c r="B53" s="2" t="str">
        <x:v>FY29 growth of 10.5% motorcycles and 15.5% scooters implies ~1.1pp scooter share gain; 1.5–2pp needs a wider growth spread.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21" customHeight="1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21" customHeight="1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21" customHeight="1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21" customHeight="1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21" customHeight="1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21" customHeight="1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21" customHeight="1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21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21" customHeight="1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21" customHeight="1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21" customHeight="1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21" customHeight="1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21" customHeight="1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</x:sheetData>
  <x:pageMargins left="0.7" right="0.7" top="0.75" bottom="0.75" header="0.3" footer="0.3"/>
  <x:drawing xmlns:r="http://schemas.openxmlformats.org/officeDocument/2006/relationships" r:id="R44883d21154a480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9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2" ht="21" customHeight="1">
      <x:c r="B2" s="3" t="str">
        <x:v>Demand build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1" customHeight="1"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1" customHeight="1">
      <x:c r="B4" s="4" t="str">
        <x:v>Replacement purchases plus new households, consumer price benefit, scooterization and dated income events.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1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1" customHeight="1">
      <x:c r="B6" s="2"/>
      <x:c r="C6" s="2"/>
      <x:c r="D6" s="2"/>
      <x:c r="E6" s="2" t="str">
        <x:v>FY26A</x:v>
      </x:c>
      <x:c r="F6" s="2" t="str">
        <x:v>FY27E</x:v>
      </x:c>
      <x:c r="G6" s="2" t="str">
        <x:v>FY28E</x:v>
      </x:c>
      <x:c r="H6" s="2" t="str">
        <x:v>FY29E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1" customHeight="1"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24" customHeight="1">
      <x:c r="B8" s="7" t="str">
        <x:v>Motorcycles</x:v>
      </x:c>
      <x:c r="C8" s="7"/>
      <x:c r="D8" s="7"/>
      <x:c r="E8" s="7"/>
      <x:c r="F8" s="7"/>
      <x:c r="G8" s="7"/>
      <x:c r="H8" s="7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21" customHeight="1">
      <x:c r="B9" s="2" t="str">
        <x:v>Replacement purchases</x:v>
      </x:c>
      <x:c r="C9" s="2"/>
      <x:c r="D9" s="2"/>
      <x:c r="E9" s="8" t="n">
        <x:f>'Replacement cohorts'!F16</x:f>
        <x:v>9.79859175</x:v>
      </x:c>
      <x:c r="F9" s="8" t="n">
        <x:f>'Replacement cohorts'!J16</x:f>
        <x:v>10.00683676656266</x:v>
      </x:c>
      <x:c r="G9" s="8" t="n">
        <x:f>'Replacement cohorts'!N16</x:f>
        <x:v>9.855278650650156</x:v>
      </x:c>
      <x:c r="H9" s="8" t="n">
        <x:f>'Replacement cohorts'!R16</x:f>
        <x:v>9.837954407758861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21" customHeight="1">
      <x:c r="B10" s="2" t="str">
        <x:v>New buyers before price</x:v>
      </x:c>
      <x:c r="C10" s="2"/>
      <x:c r="D10" s="2"/>
      <x:c r="E10" s="8" t="n">
        <x:f>('Inputs and sources'!C18-E9)/(1+'Inputs and sources'!D43*'Inputs and sources'!D41*'Inputs and sources'!D40)</x:f>
        <x:v>3.1159686132344344</x:v>
      </x:c>
      <x:c r="F10" s="8" t="n">
        <x:f>E10*(1+'Inputs and sources'!E38)</x:f>
        <x:v>3.147128299366779</x:v>
      </x:c>
      <x:c r="G10" s="8" t="n">
        <x:f>F10*(1+'Inputs and sources'!F38)</x:f>
        <x:v>3.1785995823604467</x:v>
      </x:c>
      <x:c r="H10" s="8" t="n">
        <x:f>G10*(1+'Inputs and sources'!G38)</x:f>
        <x:v>3.2103855781840513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1" customHeight="1">
      <x:c r="B11" s="2" t="str">
        <x:v>Additional new buyers from lower price</x:v>
      </x:c>
      <x:c r="C11" s="2"/>
      <x:c r="D11" s="2"/>
      <x:c r="E11" s="8" t="n">
        <x:f>E10*'Inputs and sources'!D43*'Inputs and sources'!D41*'Inputs and sources'!D40</x:f>
        <x:v>0.15022863676556517</x:v>
      </x:c>
      <x:c r="F11" s="8" t="n">
        <x:f>F10*'Inputs and sources'!E43*'Inputs and sources'!E41*'Inputs and sources'!E40</x:f>
        <x:v>0.17340676929510954</x:v>
      </x:c>
      <x:c r="G11" s="8" t="n">
        <x:f>G10*'Inputs and sources'!F43*'Inputs and sources'!F41*'Inputs and sources'!F40</x:f>
        <x:v>0.08757041849403031</x:v>
      </x:c>
      <x:c r="H11" s="8" t="n">
        <x:f>H10*'Inputs and sources'!G43*'Inputs and sources'!G41*'Inputs and sources'!G40</x:f>
        <x:v>0.0442230613394853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1" customHeight="1">
      <x:c r="B12" s="2" t="str">
        <x:v>Shift to scooters</x:v>
      </x:c>
      <x:c r="C12" s="2"/>
      <x:c r="D12" s="2"/>
      <x:c r="E12" s="8" t="n">
        <x:f>0</x:f>
        <x:v>0</x:v>
      </x:c>
      <x:c r="F12" s="8" t="n">
        <x:f>-(E15+E27)*'Inputs and sources'!E44</x:f>
        <x:v>-0.31774101000000005</x:v>
      </x:c>
      <x:c r="G12" s="8" t="n">
        <x:f>-(F15+F27)*'Inputs and sources'!F44</x:f>
        <x:v>-0.4685670626552678</x:v>
      </x:c>
      <x:c r="H12" s="8" t="n">
        <x:f>-(G15+G27)*'Inputs and sources'!G44</x:f>
        <x:v>-0.3689607506313889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1" customHeight="1">
      <x:c r="B13" s="2" t="str">
        <x:v>FY27 demand calibrated to published sales</x:v>
      </x:c>
      <x:c r="C13" s="2"/>
      <x:c r="D13" s="2"/>
      <x:c r="E13" s="8" t="n">
        <x:f>0</x:f>
        <x:v>0</x:v>
      </x:c>
      <x:c r="F13" s="8" t="n">
        <x:f>$F$46</x:f>
        <x:v>0.3774417721836915</x:v>
      </x:c>
      <x:c r="G13" s="8" t="n">
        <x:f>0</x:f>
        <x:v>0</x:v>
      </x:c>
      <x:c r="H13" s="8" t="n">
        <x:f>0</x:f>
        <x:v>0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1" customHeight="1">
      <x:c r="B14" s="2" t="str">
        <x:v>FY29 income revision: incremental buyers</x:v>
      </x:c>
      <x:c r="C14" s="2"/>
      <x:c r="D14" s="2"/>
      <x:c r="E14" s="8" t="n">
        <x:f>0</x:f>
        <x:v>0</x:v>
      </x:c>
      <x:c r="F14" s="8" t="n">
        <x:f>0</x:f>
        <x:v>0</x:v>
      </x:c>
      <x:c r="G14" s="8" t="n">
        <x:f>0</x:f>
        <x:v>0</x:v>
      </x:c>
      <x:c r="H14" s="8" t="n">
        <x:f>$H$54</x:f>
        <x:v>1.2578318590275384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1" customHeight="1">
      <x:c r="B15" s="2" t="str">
        <x:v>Total motorcycles</x:v>
      </x:c>
      <x:c r="C15" s="2"/>
      <x:c r="D15" s="2"/>
      <x:c r="E15" s="16" t="n">
        <x:f>SUM(E9:E14)</x:f>
        <x:v>13.064789</x:v>
      </x:c>
      <x:c r="F15" s="16" t="n">
        <x:f>SUM(F9:F14)</x:f>
        <x:v>13.38707259740824</x:v>
      </x:c>
      <x:c r="G15" s="16" t="n">
        <x:f>SUM(G9:G14)</x:f>
        <x:v>12.652881588849365</x:v>
      </x:c>
      <x:c r="H15" s="16" t="n">
        <x:f>SUM(H9:H14)</x:f>
        <x:v>13.981434155678548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1" customHeight="1">
      <x:c r="B16" s="2" t="str">
        <x:v>Replacement share</x:v>
      </x:c>
      <x:c r="C16" s="2"/>
      <x:c r="D16" s="2"/>
      <x:c r="E16" s="12" t="n">
        <x:f>E9/E15</x:f>
        <x:v>0.75</x:v>
      </x:c>
      <x:c r="F16" s="12" t="n">
        <x:f>F9/F15</x:f>
        <x:v>0.7475</x:v>
      </x:c>
      <x:c r="G16" s="12" t="n">
        <x:f>G9/G15</x:f>
        <x:v>0.7788959836101953</x:v>
      </x:c>
      <x:c r="H16" s="12" t="n">
        <x:f>H9/H15</x:f>
        <x:v>0.7036441539699405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1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1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1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4" customHeight="1">
      <x:c r="B20" s="7" t="str">
        <x:v>Scooters</x:v>
      </x:c>
      <x:c r="C20" s="7"/>
      <x:c r="D20" s="7"/>
      <x:c r="E20" s="7"/>
      <x:c r="F20" s="7"/>
      <x:c r="G20" s="7"/>
      <x:c r="H20" s="7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1" customHeight="1">
      <x:c r="B21" s="2" t="str">
        <x:v>Replacement purchases</x:v>
      </x:c>
      <x:c r="C21" s="2"/>
      <x:c r="D21" s="2"/>
      <x:c r="E21" s="8" t="n">
        <x:f>'Replacement cohorts'!F27</x:f>
        <x:v>3.6530752500000006</x:v>
      </x:c>
      <x:c r="F21" s="8" t="n">
        <x:f>'Replacement cohorts'!J27</x:f>
        <x:v>3.9942259906708766</x:v>
      </x:c>
      <x:c r="G21" s="8" t="n">
        <x:f>'Replacement cohorts'!N27</x:f>
        <x:v>4.070241121866519</x:v>
      </x:c>
      <x:c r="H21" s="8" t="n">
        <x:f>'Replacement cohorts'!R27</x:f>
        <x:v>4.179157141506872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1" customHeight="1">
      <x:c r="B22" s="2" t="str">
        <x:v>New buyers before price</x:v>
      </x:c>
      <x:c r="C22" s="2"/>
      <x:c r="D22" s="2"/>
      <x:c r="E22" s="8" t="n">
        <x:f>('Inputs and sources'!D18-E21)/(1+'Inputs and sources'!D43*'Inputs and sources'!D42*'Inputs and sources'!D40)</x:f>
        <x:v>4.265704028891077</x:v>
      </x:c>
      <x:c r="F22" s="8" t="n">
        <x:f>E22*(1+'Inputs and sources'!E39)</x:f>
        <x:v>4.329689589324443</x:v>
      </x:c>
      <x:c r="G22" s="8" t="n">
        <x:f>F22*(1+'Inputs and sources'!F39)</x:f>
        <x:v>4.394634933164309</x:v>
      </x:c>
      <x:c r="H22" s="8" t="n">
        <x:f>G22*(1+'Inputs and sources'!G39)</x:f>
        <x:v>4.4605544571617735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1" customHeight="1">
      <x:c r="B23" s="2" t="str">
        <x:v>Additional new buyers from lower price</x:v>
      </x:c>
      <x:c r="C23" s="2"/>
      <x:c r="D23" s="2"/>
      <x:c r="E23" s="8" t="n">
        <x:f>E22*'Inputs and sources'!D43*'Inputs and sources'!D42*'Inputs and sources'!D40</x:f>
        <x:v>0.19916572110892442</x:v>
      </x:c>
      <x:c r="F23" s="8" t="n">
        <x:f>F22*'Inputs and sources'!E43*'Inputs and sources'!E42*'Inputs and sources'!E40</x:f>
        <x:v>0.23103223648635227</x:v>
      </x:c>
      <x:c r="G23" s="8" t="n">
        <x:f>G22*'Inputs and sources'!F43*'Inputs and sources'!F42*'Inputs and sources'!F40</x:f>
        <x:v>0.11724886001682377</x:v>
      </x:c>
      <x:c r="H23" s="8" t="n">
        <x:f>H22*'Inputs and sources'!G43*'Inputs and sources'!G42*'Inputs and sources'!G40</x:f>
        <x:v>0.05950379645853806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21" customHeight="1">
      <x:c r="B24" s="2" t="str">
        <x:v>Shift from motorcycles</x:v>
      </x:c>
      <x:c r="C24" s="2"/>
      <x:c r="D24" s="2"/>
      <x:c r="E24" s="8" t="n">
        <x:f>0</x:f>
        <x:v>0</x:v>
      </x:c>
      <x:c r="F24" s="8" t="n">
        <x:f>-F12</x:f>
        <x:v>0.31774101000000005</x:v>
      </x:c>
      <x:c r="G24" s="8" t="n">
        <x:f>-G12</x:f>
        <x:v>0.4685670626552678</x:v>
      </x:c>
      <x:c r="H24" s="8" t="n">
        <x:f>-H12</x:f>
        <x:v>0.3689607506313889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1" customHeight="1">
      <x:c r="B25" s="2" t="str">
        <x:v>FY27 demand calibrated to published sales</x:v>
      </x:c>
      <x:c r="C25" s="2"/>
      <x:c r="D25" s="2"/>
      <x:c r="E25" s="8" t="n">
        <x:f>0</x:f>
        <x:v>0</x:v>
      </x:c>
      <x:c r="F25" s="8" t="n">
        <x:f>$F$47</x:f>
        <x:v>0.052955845408553526</x:v>
      </x:c>
      <x:c r="G25" s="8" t="n">
        <x:f>0</x:f>
        <x:v>0</x:v>
      </x:c>
      <x:c r="H25" s="8" t="n">
        <x:f>0</x:f>
        <x:v>0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21" customHeight="1">
      <x:c r="B26" s="2" t="str">
        <x:v>FY29 income revision: incremental buyers</x:v>
      </x:c>
      <x:c r="C26" s="2"/>
      <x:c r="D26" s="2"/>
      <x:c r="E26" s="8" t="n">
        <x:f>0</x:f>
        <x:v>0</x:v>
      </x:c>
      <x:c r="F26" s="8" t="n">
        <x:f>0</x:f>
        <x:v>0</x:v>
      </x:c>
      <x:c r="G26" s="8" t="n">
        <x:f>0</x:f>
        <x:v>0</x:v>
      </x:c>
      <x:c r="H26" s="8" t="n">
        <x:f>$H$55</x:f>
        <x:v>1.3853730884883007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21" customHeight="1">
      <x:c r="B27" s="2" t="str">
        <x:v>Total scooters</x:v>
      </x:c>
      <x:c r="C27" s="2"/>
      <x:c r="D27" s="2"/>
      <x:c r="E27" s="16" t="n">
        <x:f>SUM(E21:E26)</x:f>
        <x:v>8.117945000000002</x:v>
      </x:c>
      <x:c r="F27" s="16" t="n">
        <x:f>SUM(F21:F26)</x:f>
        <x:v>8.925644671890225</x:v>
      </x:c>
      <x:c r="G27" s="16" t="n">
        <x:f>SUM(G21:G26)</x:f>
        <x:v>9.05069197770292</x:v>
      </x:c>
      <x:c r="H27" s="16" t="n">
        <x:f>SUM(H21:H26)</x:f>
        <x:v>10.453549234246873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21" customHeight="1">
      <x:c r="B28" s="2" t="str">
        <x:v>Replacement share</x:v>
      </x:c>
      <x:c r="C28" s="2"/>
      <x:c r="D28" s="2"/>
      <x:c r="E28" s="12" t="n">
        <x:f>E21/E27</x:f>
        <x:v>0.44999999999999996</x:v>
      </x:c>
      <x:c r="F28" s="12" t="n">
        <x:f>F21/F27</x:f>
        <x:v>0.44750000000000006</x:v>
      </x:c>
      <x:c r="G28" s="12" t="n">
        <x:f>G21/G27</x:f>
        <x:v>0.4497160141891772</x:v>
      </x:c>
      <x:c r="H28" s="12" t="n">
        <x:f>H21/H27</x:f>
        <x:v>0.39978356133967735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21" customHeight="1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1" customHeight="1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4" customHeight="1">
      <x:c r="B31" s="7" t="str">
        <x:v>Industry and mix</x:v>
      </x:c>
      <x:c r="C31" s="7"/>
      <x:c r="D31" s="7"/>
      <x:c r="E31" s="7"/>
      <x:c r="F31" s="7"/>
      <x:c r="G31" s="7"/>
      <x:c r="H31" s="7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1" customHeight="1">
      <x:c r="B32" s="2" t="str">
        <x:v>Mopeds</x:v>
      </x:c>
      <x:c r="C32" s="2"/>
      <x:c r="D32" s="2"/>
      <x:c r="E32" s="8" t="n">
        <x:f>'Inputs and sources'!E18</x:f>
        <x:v>0.52324</x:v>
      </x:c>
      <x:c r="F32" s="8" t="n">
        <x:f>E32*(1+'Inputs and sources'!E45)</x:f>
        <x:v>0.5284724000000001</x:v>
      </x:c>
      <x:c r="G32" s="8" t="n">
        <x:f>F32*(1+'Inputs and sources'!F45)</x:f>
        <x:v>0.5337571240000001</x:v>
      </x:c>
      <x:c r="H32" s="8" t="n">
        <x:f>G32*(1+'Inputs and sources'!G45)</x:f>
        <x:v>0.5390946952400001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1" customHeight="1">
      <x:c r="B33" s="2" t="str">
        <x:v>Total two-wheelers</x:v>
      </x:c>
      <x:c r="C33" s="2"/>
      <x:c r="D33" s="2"/>
      <x:c r="E33" s="16" t="n">
        <x:f>SUM(E15,E27,E32)</x:f>
        <x:v>21.705974000000005</x:v>
      </x:c>
      <x:c r="F33" s="16" t="n">
        <x:f>SUM(F15,F27,F32)</x:f>
        <x:v>22.841189669298466</x:v>
      </x:c>
      <x:c r="G33" s="16" t="n">
        <x:f>SUM(G15,G27,G32)</x:f>
        <x:v>22.237330690552287</x:v>
      </x:c>
      <x:c r="H33" s="16" t="n">
        <x:f>SUM(H15,H27,H32)</x:f>
        <x:v>24.97407808516542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1" customHeight="1">
      <x:c r="B34" s="2" t="str">
        <x:v>Industry growth</x:v>
      </x:c>
      <x:c r="C34" s="2"/>
      <x:c r="D34" s="2"/>
      <x:c r="E34" s="2"/>
      <x:c r="F34" s="12" t="n">
        <x:f>F33/E33-1</x:f>
        <x:v>0.05229968806276375</x:v>
      </x:c>
      <x:c r="G34" s="12" t="n">
        <x:f>G33/F33-1</x:f>
        <x:v>-0.026437282273341633</x:v>
      </x:c>
      <x:c r="H34" s="12" t="n">
        <x:f>H33/G33-1</x:f>
        <x:v>0.12306995982102564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1" customHeight="1">
      <x:c r="B35" s="2" t="str">
        <x:v>Scooter share of motorcycle+scooter</x:v>
      </x:c>
      <x:c r="C35" s="2"/>
      <x:c r="D35" s="2"/>
      <x:c r="E35" s="2" t="n">
        <x:f>E27/(E15+E27)</x:f>
        <x:v>0.3832340527903528</x:v>
      </x:c>
      <x:c r="F35" s="12" t="n">
        <x:f>F27/(F15+F27)</x:f>
        <x:v>0.40002499759057164</x:v>
      </x:c>
      <x:c r="G35" s="12" t="n">
        <x:f>G27/(G15+G27)</x:f>
        <x:v>0.41701390556489193</x:v>
      </x:c>
      <x:c r="H35" s="12" t="n">
        <x:f>H27/(H15+H27)</x:f>
        <x:v>0.42781077717273536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1" customHeight="1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1" customHeight="1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4" customHeight="1">
      <x:c r="B38" s="7" t="str">
        <x:v>FY27 observed-sales calibration</x:v>
      </x:c>
      <x:c r="C38" s="7"/>
      <x:c r="D38" s="7"/>
      <x:c r="E38" s="7"/>
      <x:c r="F38" s="7"/>
      <x:c r="G38" s="7"/>
      <x:c r="H38" s="7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1" customHeight="1">
      <x:c r="B39" s="2" t="str">
        <x:v>Motorcycles before FY27 calibration</x:v>
      </x:c>
      <x:c r="C39" s="2"/>
      <x:c r="D39" s="2"/>
      <x:c r="E39" s="2"/>
      <x:c r="F39" s="8" t="n">
        <x:f>SUM(F9:F12)</x:f>
        <x:v>13.009630825224548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1" customHeight="1">
      <x:c r="B40" s="2" t="str">
        <x:v>Scooters before FY27 calibration</x:v>
      </x:c>
      <x:c r="C40" s="2"/>
      <x:c r="D40" s="2"/>
      <x:c r="E40" s="2"/>
      <x:c r="F40" s="8" t="n">
        <x:f>SUM(F21:F24)</x:f>
        <x:v>8.872688826481673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21" customHeight="1">
      <x:c r="B41" s="2" t="str">
        <x:v>Observed Apr–Aug and H2 floor: annual total</x:v>
      </x:c>
      <x:c r="C41" s="2"/>
      <x:c r="D41" s="2"/>
      <x:c r="E41" s="2"/>
      <x:c r="F41" s="8" t="n">
        <x:f>MAX('Inputs and sources'!E23,'Inputs and sources'!E22*(1+'Inputs and sources'!E25))+('Inputs and sources'!E26)*(1+'Inputs and sources'!E27)</x:f>
        <x:v>22.80817328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21" customHeight="1">
      <x:c r="B42" s="2" t="str">
        <x:v>Minimum added motorcycles for mix</x:v>
      </x:c>
      <x:c r="C42" s="2"/>
      <x:c r="D42" s="2"/>
      <x:c r="E42" s="2"/>
      <x:c r="F42" s="8" t="n">
        <x:f>MAX(0,F9/('Inputs and sources'!D36-'Inputs and sources'!E28)-F39)</x:f>
        <x:v>0.37744177218369224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21" customHeight="1">
      <x:c r="B43" s="2" t="str">
        <x:v>Minimum added scooters for mix</x:v>
      </x:c>
      <x:c r="C43" s="2"/>
      <x:c r="D43" s="2"/>
      <x:c r="E43" s="2"/>
      <x:c r="F43" s="8" t="n">
        <x:f>MAX(0,F21/('Inputs and sources'!D37-'Inputs and sources'!E28)-F40)</x:f>
        <x:v>0.05295584540855458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21" customHeight="1">
      <x:c r="B44" s="2" t="str">
        <x:v>Final FY27 annual floor</x:v>
      </x:c>
      <x:c r="C44" s="2"/>
      <x:c r="D44" s="2"/>
      <x:c r="E44" s="2"/>
      <x:c r="F44" s="8" t="n">
        <x:f>MAX(F41,F39+F40+F32+F42+F43)</x:f>
        <x:v>22.841189669298466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21" customHeight="1">
      <x:c r="B45" s="2" t="str">
        <x:v>Total incremental new buyers required</x:v>
      </x:c>
      <x:c r="C45" s="2"/>
      <x:c r="D45" s="2"/>
      <x:c r="E45" s="2"/>
      <x:c r="F45" s="8" t="n">
        <x:f>MAX(0,F44-F39-F40-F32)</x:f>
        <x:v>0.43039761759224504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21" customHeight="1">
      <x:c r="B46" s="2" t="str">
        <x:v>Added motorcycles</x:v>
      </x:c>
      <x:c r="C46" s="2"/>
      <x:c r="D46" s="2"/>
      <x:c r="E46" s="2"/>
      <x:c r="F46" s="8" t="n">
        <x:f>F42+(F45-F42-F43)*F10/(F10+F22)</x:f>
        <x:v>0.3774417721836915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21" customHeight="1">
      <x:c r="B47" s="2" t="str">
        <x:v>Added scooters</x:v>
      </x:c>
      <x:c r="C47" s="2"/>
      <x:c r="D47" s="2"/>
      <x:c r="E47" s="2"/>
      <x:c r="F47" s="8" t="n">
        <x:f>F45-F46</x:f>
        <x:v>0.052955845408553526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21" customHeight="1">
      <x:c r="B48" s="2" t="str">
        <x:v>Remaining Sep–Mar growth</x:v>
      </x:c>
      <x:c r="C48" s="2"/>
      <x:c r="D48" s="2"/>
      <x:c r="E48" s="2"/>
      <x:c r="F48" s="12" t="n">
        <x:f>(F33-MAX('Inputs and sources'!E23,'Inputs and sources'!E22*(1+'Inputs and sources'!E25)))/'Inputs and sources'!E26-1</x:f>
        <x:v>-0.02757770750513977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 ht="21" customHeight="1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21" customHeight="1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24" customHeight="1">
      <x:c r="B51" s="7" t="str">
        <x:v>FY29 wage-trigger arithmetic</x:v>
      </x:c>
      <x:c r="C51" s="7"/>
      <x:c r="D51" s="7"/>
      <x:c r="E51" s="7"/>
      <x:c r="F51" s="7"/>
      <x:c r="G51" s="7"/>
      <x:c r="H51" s="7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21" customHeight="1">
      <x:c r="B52" s="2" t="str">
        <x:v>FY29 motorcycles before wage event</x:v>
      </x:c>
      <x:c r="C52" s="2"/>
      <x:c r="D52" s="2"/>
      <x:c r="E52" s="2"/>
      <x:c r="F52" s="2"/>
      <x:c r="G52" s="2"/>
      <x:c r="H52" s="8" t="n">
        <x:f>SUM(H9:H13)</x:f>
        <x:v>12.72360229665101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21" customHeight="1">
      <x:c r="B53" s="2" t="str">
        <x:v>FY29 scooters before wage event</x:v>
      </x:c>
      <x:c r="C53" s="2"/>
      <x:c r="D53" s="2"/>
      <x:c r="E53" s="2"/>
      <x:c r="F53" s="2"/>
      <x:c r="G53" s="2"/>
      <x:c r="H53" s="8" t="n">
        <x:f>SUM(H21:H25)</x:f>
        <x:v>9.068176145758573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21" customHeight="1">
      <x:c r="B54" s="2" t="str">
        <x:v>Motorcycle units needed for growth view</x:v>
      </x:c>
      <x:c r="C54" s="2"/>
      <x:c r="D54" s="2"/>
      <x:c r="E54" s="2"/>
      <x:c r="F54" s="2"/>
      <x:c r="G54" s="2"/>
      <x:c r="H54" s="8" t="n">
        <x:f>MAX(0,G15*(1+'Inputs and sources'!G46)-H52)</x:f>
        <x:v>1.2578318590275384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21" customHeight="1">
      <x:c r="B55" s="2" t="str">
        <x:v>Scooter units needed for growth view</x:v>
      </x:c>
      <x:c r="C55" s="2"/>
      <x:c r="D55" s="2"/>
      <x:c r="E55" s="2"/>
      <x:c r="F55" s="2"/>
      <x:c r="G55" s="2"/>
      <x:c r="H55" s="8" t="n">
        <x:f>MAX(0,G27*(1+'Inputs and sources'!G47)-H53)</x:f>
        <x:v>1.3853730884883007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21" customHeight="1">
      <x:c r="B56" s="2" t="str">
        <x:v>Total wage-event units</x:v>
      </x:c>
      <x:c r="C56" s="2"/>
      <x:c r="D56" s="2"/>
      <x:c r="E56" s="2"/>
      <x:c r="F56" s="2"/>
      <x:c r="G56" s="2"/>
      <x:c r="H56" s="8" t="n">
        <x:f>SUM(H54:H55)</x:f>
        <x:v>2.643204947515839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21" customHeight="1">
      <x:c r="B57" s="2" t="str">
        <x:v>Wage-sensitive households (m)</x:v>
      </x:c>
      <x:c r="C57" s="2"/>
      <x:c r="D57" s="2"/>
      <x:c r="E57" s="2"/>
      <x:c r="F57" s="2"/>
      <x:c r="G57" s="2"/>
      <x:c r="H57" s="8" t="n">
        <x:f>'Inputs and sources'!G48</x:f>
        <x:v>30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21" customHeight="1">
      <x:c r="B58" s="2" t="str">
        <x:v>Required extra two-wheeler purchase incidence</x:v>
      </x:c>
      <x:c r="C58" s="2"/>
      <x:c r="D58" s="2"/>
      <x:c r="E58" s="2"/>
      <x:c r="F58" s="2"/>
      <x:c r="G58" s="2"/>
      <x:c r="H58" s="12" t="n">
        <x:f>H56/H57</x:f>
        <x:v>0.0881068315838613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21" customHeight="1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21" customHeight="1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21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21" customHeight="1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21" customHeight="1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21" customHeight="1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21" customHeight="1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21" customHeight="1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2" ht="21" customHeight="1">
      <x:c r="B2" s="3" t="str">
        <x:v>Replacement cohort roll-forward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1" customHeight="1"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1" customHeight="1">
      <x:c r="B4" s="4" t="str">
        <x:v>Opening owners × age-specific replacement probability = replacement purchases; remaining owners age one year.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1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1" customHeight="1">
      <x:c r="B6" s="2"/>
      <x:c r="C6" s="2"/>
      <x:c r="D6" s="2" t="str">
        <x:v>FY26A</x:v>
      </x:c>
      <x:c r="E6" s="2"/>
      <x:c r="F6" s="2"/>
      <x:c r="G6" s="2"/>
      <x:c r="H6" s="2" t="str">
        <x:v>FY27E</x:v>
      </x:c>
      <x:c r="I6" s="2"/>
      <x:c r="J6" s="2"/>
      <x:c r="K6" s="2"/>
      <x:c r="L6" s="2" t="str">
        <x:v>FY28E</x:v>
      </x:c>
      <x:c r="M6" s="2"/>
      <x:c r="N6" s="2"/>
      <x:c r="O6" s="2"/>
      <x:c r="P6" s="2" t="str">
        <x:v>FY29E</x:v>
      </x:c>
      <x:c r="Q6" s="2"/>
      <x:c r="R6" s="2"/>
      <x:c r="S6" s="2"/>
      <x:c r="T6" s="2"/>
      <x:c r="U6" s="2"/>
    </x:row>
    <x:row r="7" ht="21" customHeight="1">
      <x:c r="B7" s="2"/>
      <x:c r="C7" s="2"/>
      <x:c r="D7" s="2" t="str">
        <x:v>Opening pool</x:v>
      </x:c>
      <x:c r="E7" s="2" t="str">
        <x:v>Replace rate</x:v>
      </x:c>
      <x:c r="F7" s="2" t="str">
        <x:v>Purchases</x:v>
      </x:c>
      <x:c r="G7" s="2" t="str">
        <x:v>Unreplaced</x:v>
      </x:c>
      <x:c r="H7" s="2" t="str">
        <x:v>Opening pool</x:v>
      </x:c>
      <x:c r="I7" s="2" t="str">
        <x:v>Replace rate</x:v>
      </x:c>
      <x:c r="J7" s="2" t="str">
        <x:v>Purchases</x:v>
      </x:c>
      <x:c r="K7" s="2" t="str">
        <x:v>Unreplaced</x:v>
      </x:c>
      <x:c r="L7" s="2" t="str">
        <x:v>Opening pool</x:v>
      </x:c>
      <x:c r="M7" s="2" t="str">
        <x:v>Replace rate</x:v>
      </x:c>
      <x:c r="N7" s="2" t="str">
        <x:v>Purchases</x:v>
      </x:c>
      <x:c r="O7" s="2" t="str">
        <x:v>Unreplaced</x:v>
      </x:c>
      <x:c r="P7" s="2" t="str">
        <x:v>Opening pool</x:v>
      </x:c>
      <x:c r="Q7" s="2" t="str">
        <x:v>Replace rate</x:v>
      </x:c>
      <x:c r="R7" s="2" t="str">
        <x:v>Purchases</x:v>
      </x:c>
      <x:c r="S7" s="2" t="str">
        <x:v>Unreplaced</x:v>
      </x:c>
      <x:c r="T7" s="2"/>
      <x:c r="U7" s="2"/>
    </x:row>
    <x:row r="8" ht="24" customHeight="1">
      <x:c r="B8" s="7" t="str">
        <x:v>Motorcycles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2"/>
      <x:c r="U8" s="2"/>
    </x:row>
    <x:row r="9" ht="21" customHeight="1">
      <x:c r="B9" s="2" t="str">
        <x:v>Age 6</x:v>
      </x:c>
      <x:c r="C9" s="2"/>
      <x:c r="D9" s="8" t="n">
        <x:f>'Inputs and sources'!C12</x:f>
        <x:v>11.213662</x:v>
      </x:c>
      <x:c r="E9" s="12" t="n">
        <x:f>MIN(1,'Inputs and sources'!$C$53*1+'Inputs and sources'!D$62*'Inputs and sources'!$D$53)</x:f>
        <x:v>0.05</x:v>
      </x:c>
      <x:c r="F9" s="8" t="n">
        <x:f>D9*E9</x:f>
        <x:v>0.5606831</x:v>
      </x:c>
      <x:c r="G9" s="8" t="n">
        <x:f>D9-F9</x:f>
        <x:v>10.652978899999999</x:v>
      </x:c>
      <x:c r="H9" s="8" t="n">
        <x:f>'Inputs and sources'!C13</x:f>
        <x:v>10.021231</x:v>
      </x:c>
      <x:c r="I9" s="12" t="n">
        <x:f>MIN(1,'Inputs and sources'!$C$53*1+'Inputs and sources'!E$62*'Inputs and sources'!$D$53)</x:f>
        <x:v>0.05</x:v>
      </x:c>
      <x:c r="J9" s="8" t="n">
        <x:f>H9*I9</x:f>
        <x:v>0.5010615500000001</x:v>
      </x:c>
      <x:c r="K9" s="8" t="n">
        <x:f>H9-J9</x:f>
        <x:v>9.520169450000001</x:v>
      </x:c>
      <x:c r="L9" s="8" t="n">
        <x:f>'Inputs and sources'!C14</x:f>
        <x:v>8.984186</x:v>
      </x:c>
      <x:c r="M9" s="12" t="n">
        <x:f>MIN(1,'Inputs and sources'!$C$53*1+'Inputs and sources'!F$62*'Inputs and sources'!$D$53)</x:f>
        <x:v>0.05</x:v>
      </x:c>
      <x:c r="N9" s="8" t="n">
        <x:f>L9*M9</x:f>
        <x:v>0.4492093</x:v>
      </x:c>
      <x:c r="O9" s="8" t="n">
        <x:f>L9-N9</x:f>
        <x:v>8.5349767</x:v>
      </x:c>
      <x:c r="P9" s="8" t="n">
        <x:f>'Inputs and sources'!C15</x:f>
        <x:v>10.230502</x:v>
      </x:c>
      <x:c r="Q9" s="12" t="n">
        <x:f>MIN(1,'Inputs and sources'!$C$53*1+'Inputs and sources'!G$62*'Inputs and sources'!$D$53)</x:f>
        <x:v>0.05</x:v>
      </x:c>
      <x:c r="R9" s="8" t="n">
        <x:f>P9*Q9</x:f>
        <x:v>0.5115251</x:v>
      </x:c>
      <x:c r="S9" s="8" t="n">
        <x:f>P9-R9</x:f>
        <x:v>9.7189769</x:v>
      </x:c>
      <x:c r="T9" s="2"/>
      <x:c r="U9" s="2"/>
    </x:row>
    <x:row r="10" ht="21" customHeight="1">
      <x:c r="B10" s="2" t="str">
        <x:v>Age 7</x:v>
      </x:c>
      <x:c r="C10" s="2"/>
      <x:c r="D10" s="8" t="n">
        <x:f>'Inputs and sources'!C11*(1-'Inputs and sources'!$C$53*1)</x:f>
        <x:v>12.9182805</x:v>
      </x:c>
      <x:c r="E10" s="12" t="n">
        <x:f>MIN(1,'Inputs and sources'!$C$54*1+'Inputs and sources'!D$62*'Inputs and sources'!$D$54)</x:f>
        <x:v>0.11000000000000001</x:v>
      </x:c>
      <x:c r="F10" s="8" t="n">
        <x:f>D10*E10</x:f>
        <x:v>1.4210108550000002</x:v>
      </x:c>
      <x:c r="G10" s="8" t="n">
        <x:f>D10-F10</x:f>
        <x:v>11.497269645</x:v>
      </x:c>
      <x:c r="H10" s="8" t="n">
        <x:f>G9</x:f>
        <x:v>10.652978899999999</x:v>
      </x:c>
      <x:c r="I10" s="12" t="n">
        <x:f>MIN(1,'Inputs and sources'!$C$54*1+'Inputs and sources'!E$62*'Inputs and sources'!$D$54)</x:f>
        <x:v>0.10600000000000001</x:v>
      </x:c>
      <x:c r="J10" s="8" t="n">
        <x:f>H10*I10</x:f>
        <x:v>1.1292157634</x:v>
      </x:c>
      <x:c r="K10" s="8" t="n">
        <x:f>H10-J10</x:f>
        <x:v>9.5237631366</x:v>
      </x:c>
      <x:c r="L10" s="8" t="n">
        <x:f>K9</x:f>
        <x:v>9.520169450000001</x:v>
      </x:c>
      <x:c r="M10" s="12" t="n">
        <x:f>MIN(1,'Inputs and sources'!$C$54*1+'Inputs and sources'!F$62*'Inputs and sources'!$D$54)</x:f>
        <x:v>0.10200000000000001</x:v>
      </x:c>
      <x:c r="N10" s="8" t="n">
        <x:f>L10*M10</x:f>
        <x:v>0.9710572839000001</x:v>
      </x:c>
      <x:c r="O10" s="8" t="n">
        <x:f>L10-N10</x:f>
        <x:v>8.5491121661</x:v>
      </x:c>
      <x:c r="P10" s="8" t="n">
        <x:f>O9</x:f>
        <x:v>8.5349767</x:v>
      </x:c>
      <x:c r="Q10" s="12" t="n">
        <x:f>MIN(1,'Inputs and sources'!$C$54*1+'Inputs and sources'!G$62*'Inputs and sources'!$D$54)</x:f>
        <x:v>0.1</x:v>
      </x:c>
      <x:c r="R10" s="8" t="n">
        <x:f>P10*Q10</x:f>
        <x:v>0.85349767</x:v>
      </x:c>
      <x:c r="S10" s="8" t="n">
        <x:f>P10-R10</x:f>
        <x:v>7.681479029999999</x:v>
      </x:c>
      <x:c r="T10" s="2"/>
      <x:c r="U10" s="2"/>
    </x:row>
    <x:row r="11" ht="21" customHeight="1">
      <x:c r="B11" s="2" t="str">
        <x:v>Age 8</x:v>
      </x:c>
      <x:c r="C11" s="2"/>
      <x:c r="D11" s="8" t="n">
        <x:f>'Inputs and sources'!C10*(1-'Inputs and sources'!$C$53*1)*(1-'Inputs and sources'!$C$54*1)</x:f>
        <x:v>10.790689949999999</x:v>
      </x:c>
      <x:c r="E11" s="12" t="n">
        <x:f>MIN(1,'Inputs and sources'!$C$55*1+'Inputs and sources'!D$62*'Inputs and sources'!$D$55)</x:f>
        <x:v>0.16999999999999998</x:v>
      </x:c>
      <x:c r="F11" s="8" t="n">
        <x:f>D11*E11</x:f>
        <x:v>1.8344172914999997</x:v>
      </x:c>
      <x:c r="G11" s="8" t="n">
        <x:f>D11-F11</x:f>
        <x:v>8.9562726585</x:v>
      </x:c>
      <x:c r="H11" s="8" t="n">
        <x:f>G10</x:f>
        <x:v>11.497269645</x:v>
      </x:c>
      <x:c r="I11" s="12" t="n">
        <x:f>MIN(1,'Inputs and sources'!$C$55*1+'Inputs and sources'!E$62*'Inputs and sources'!$D$55)</x:f>
        <x:v>0.162</x:v>
      </x:c>
      <x:c r="J11" s="8" t="n">
        <x:f>H11*I11</x:f>
        <x:v>1.8625576824899999</x:v>
      </x:c>
      <x:c r="K11" s="8" t="n">
        <x:f>H11-J11</x:f>
        <x:v>9.63471196251</x:v>
      </x:c>
      <x:c r="L11" s="8" t="n">
        <x:f>K10</x:f>
        <x:v>9.5237631366</x:v>
      </x:c>
      <x:c r="M11" s="12" t="n">
        <x:f>MIN(1,'Inputs and sources'!$C$55*1+'Inputs and sources'!F$62*'Inputs and sources'!$D$55)</x:f>
        <x:v>0.154</x:v>
      </x:c>
      <x:c r="N11" s="8" t="n">
        <x:f>L11*M11</x:f>
        <x:v>1.4666595230364</x:v>
      </x:c>
      <x:c r="O11" s="8" t="n">
        <x:f>L11-N11</x:f>
        <x:v>8.0571036135636</x:v>
      </x:c>
      <x:c r="P11" s="8" t="n">
        <x:f>O10</x:f>
        <x:v>8.5491121661</x:v>
      </x:c>
      <x:c r="Q11" s="12" t="n">
        <x:f>MIN(1,'Inputs and sources'!$C$55*1+'Inputs and sources'!G$62*'Inputs and sources'!$D$55)</x:f>
        <x:v>0.15</x:v>
      </x:c>
      <x:c r="R11" s="8" t="n">
        <x:f>P11*Q11</x:f>
        <x:v>1.282366824915</x:v>
      </x:c>
      <x:c r="S11" s="8" t="n">
        <x:f>P11-R11</x:f>
        <x:v>7.2667453411850005</x:v>
      </x:c>
      <x:c r="T11" s="2"/>
      <x:c r="U11" s="2"/>
    </x:row>
    <x:row r="12" ht="21" customHeight="1">
      <x:c r="B12" s="2" t="str">
        <x:v>Age 9</x:v>
      </x:c>
      <x:c r="C12" s="2"/>
      <x:c r="D12" s="8" t="n">
        <x:f>'Inputs and sources'!C9*(1-'Inputs and sources'!$C$53*1)*(1-'Inputs and sources'!$C$54*1)*(1-'Inputs and sources'!$C$55*1)</x:f>
        <x:v>8.062962032249999</x:v>
      </x:c>
      <x:c r="E12" s="12" t="n">
        <x:f>MIN(1,'Inputs and sources'!$C$56*1+'Inputs and sources'!D$62*'Inputs and sources'!$D$56)</x:f>
        <x:v>0.23</x:v>
      </x:c>
      <x:c r="F12" s="8" t="n">
        <x:f>D12*E12</x:f>
        <x:v>1.8544812674174997</x:v>
      </x:c>
      <x:c r="G12" s="8" t="n">
        <x:f>D12-F12</x:f>
        <x:v>6.208480764832499</x:v>
      </x:c>
      <x:c r="H12" s="8" t="n">
        <x:f>G11</x:f>
        <x:v>8.9562726585</x:v>
      </x:c>
      <x:c r="I12" s="12" t="n">
        <x:f>MIN(1,'Inputs and sources'!$C$56*1+'Inputs and sources'!E$62*'Inputs and sources'!$D$56)</x:f>
        <x:v>0.218</x:v>
      </x:c>
      <x:c r="J12" s="8" t="n">
        <x:f>H12*I12</x:f>
        <x:v>1.952467439553</x:v>
      </x:c>
      <x:c r="K12" s="8" t="n">
        <x:f>H12-J12</x:f>
        <x:v>7.003805218947</x:v>
      </x:c>
      <x:c r="L12" s="8" t="n">
        <x:f>K11</x:f>
        <x:v>9.63471196251</x:v>
      </x:c>
      <x:c r="M12" s="12" t="n">
        <x:f>MIN(1,'Inputs and sources'!$C$56*1+'Inputs and sources'!F$62*'Inputs and sources'!$D$56)</x:f>
        <x:v>0.20600000000000002</x:v>
      </x:c>
      <x:c r="N12" s="8" t="n">
        <x:f>L12*M12</x:f>
        <x:v>1.98475066427706</x:v>
      </x:c>
      <x:c r="O12" s="8" t="n">
        <x:f>L12-N12</x:f>
        <x:v>7.64996129823294</x:v>
      </x:c>
      <x:c r="P12" s="8" t="n">
        <x:f>O11</x:f>
        <x:v>8.0571036135636</x:v>
      </x:c>
      <x:c r="Q12" s="12" t="n">
        <x:f>MIN(1,'Inputs and sources'!$C$56*1+'Inputs and sources'!G$62*'Inputs and sources'!$D$56)</x:f>
        <x:v>0.2</x:v>
      </x:c>
      <x:c r="R12" s="8" t="n">
        <x:f>P12*Q12</x:f>
        <x:v>1.61142072271272</x:v>
      </x:c>
      <x:c r="S12" s="8" t="n">
        <x:f>P12-R12</x:f>
        <x:v>6.44568289085088</x:v>
      </x:c>
      <x:c r="T12" s="2"/>
      <x:c r="U12" s="2"/>
    </x:row>
    <x:row r="13" ht="21" customHeight="1">
      <x:c r="B13" s="2" t="str">
        <x:v>Age 10</x:v>
      </x:c>
      <x:c r="C13" s="2"/>
      <x:c r="D13" s="8" t="n">
        <x:f>'Inputs and sources'!C8*(1-'Inputs and sources'!$C$53*1)*(1-'Inputs and sources'!$C$54*1)*(1-'Inputs and sources'!$C$55*1)*(1-'Inputs and sources'!$C$56*1)</x:f>
        <x:v>6.221216048399999</x:v>
      </x:c>
      <x:c r="E13" s="12" t="n">
        <x:f>MIN(1,'Inputs and sources'!$C$57*1+'Inputs and sources'!D$62*'Inputs and sources'!$D$57)</x:f>
        <x:v>0.3</x:v>
      </x:c>
      <x:c r="F13" s="8" t="n">
        <x:f>D13*E13</x:f>
        <x:v>1.8663648145199996</x:v>
      </x:c>
      <x:c r="G13" s="8" t="n">
        <x:f>D13-F13</x:f>
        <x:v>4.354851233879999</x:v>
      </x:c>
      <x:c r="H13" s="8" t="n">
        <x:f>G12</x:f>
        <x:v>6.208480764832499</x:v>
      </x:c>
      <x:c r="I13" s="12" t="n">
        <x:f>MIN(1,'Inputs and sources'!$C$57*1+'Inputs and sources'!E$62*'Inputs and sources'!$D$57)</x:f>
        <x:v>0.28</x:v>
      </x:c>
      <x:c r="J13" s="8" t="n">
        <x:f>H13*I13</x:f>
        <x:v>1.7383746141531</x:v>
      </x:c>
      <x:c r="K13" s="8" t="n">
        <x:f>H13-J13</x:f>
        <x:v>4.470106150679399</x:v>
      </x:c>
      <x:c r="L13" s="8" t="n">
        <x:f>K12</x:f>
        <x:v>7.003805218947</x:v>
      </x:c>
      <x:c r="M13" s="12" t="n">
        <x:f>MIN(1,'Inputs and sources'!$C$57*1+'Inputs and sources'!F$62*'Inputs and sources'!$D$57)</x:f>
        <x:v>0.26</x:v>
      </x:c>
      <x:c r="N13" s="8" t="n">
        <x:f>L13*M13</x:f>
        <x:v>1.82098935692622</x:v>
      </x:c>
      <x:c r="O13" s="8" t="n">
        <x:f>L13-N13</x:f>
        <x:v>5.18281586202078</x:v>
      </x:c>
      <x:c r="P13" s="8" t="n">
        <x:f>O12</x:f>
        <x:v>7.64996129823294</x:v>
      </x:c>
      <x:c r="Q13" s="12" t="n">
        <x:f>MIN(1,'Inputs and sources'!$C$57*1+'Inputs and sources'!G$62*'Inputs and sources'!$D$57)</x:f>
        <x:v>0.25</x:v>
      </x:c>
      <x:c r="R13" s="8" t="n">
        <x:f>P13*Q13</x:f>
        <x:v>1.912490324558235</x:v>
      </x:c>
      <x:c r="S13" s="8" t="n">
        <x:f>P13-R13</x:f>
        <x:v>5.737470973674705</x:v>
      </x:c>
      <x:c r="T13" s="2"/>
      <x:c r="U13" s="2"/>
    </x:row>
    <x:row r="14" ht="21" customHeight="1">
      <x:c r="B14" s="2" t="str">
        <x:v>Age 11+</x:v>
      </x:c>
      <x:c r="C14" s="2"/>
      <x:c r="D14" s="8" t="n">
        <x:f>('Inputs and sources'!C18*'Inputs and sources'!$D$36-SUM(F9:F13))/E14</x:f>
        <x:v>6.4618126330357155</x:v>
      </x:c>
      <x:c r="E14" s="12" t="n">
        <x:f>MIN(1,'Inputs and sources'!$C$58*1+'Inputs and sources'!D$62*'Inputs and sources'!$D$58)</x:f>
        <x:v>0.35</x:v>
      </x:c>
      <x:c r="F14" s="8" t="n">
        <x:f>D14*E14</x:f>
        <x:v>2.2616344215625004</x:v>
      </x:c>
      <x:c r="G14" s="8" t="n">
        <x:f>D14-F14</x:f>
        <x:v>4.200178211473215</x:v>
      </x:c>
      <x:c r="H14" s="8" t="n">
        <x:f>G13+G14</x:f>
        <x:v>8.555029445353213</x:v>
      </x:c>
      <x:c r="I14" s="12" t="n">
        <x:f>MIN(1,'Inputs and sources'!$C$58*1+'Inputs and sources'!E$62*'Inputs and sources'!$D$58)</x:f>
        <x:v>0.32999999999999996</x:v>
      </x:c>
      <x:c r="J14" s="8" t="n">
        <x:f>H14*I14</x:f>
        <x:v>2.82315971696656</x:v>
      </x:c>
      <x:c r="K14" s="8" t="n">
        <x:f>H14-J14</x:f>
        <x:v>5.731869728386654</x:v>
      </x:c>
      <x:c r="L14" s="8" t="n">
        <x:f>K13+K14</x:f>
        <x:v>10.201975879066053</x:v>
      </x:c>
      <x:c r="M14" s="12" t="n">
        <x:f>MIN(1,'Inputs and sources'!$C$58*1+'Inputs and sources'!F$62*'Inputs and sources'!$D$58)</x:f>
        <x:v>0.31</x:v>
      </x:c>
      <x:c r="N14" s="8" t="n">
        <x:f>L14*M14</x:f>
        <x:v>3.1626125225104764</x:v>
      </x:c>
      <x:c r="O14" s="8" t="n">
        <x:f>L14-N14</x:f>
        <x:v>7.039363356555576</x:v>
      </x:c>
      <x:c r="P14" s="8" t="n">
        <x:f>O13+O14</x:f>
        <x:v>12.222179218576356</x:v>
      </x:c>
      <x:c r="Q14" s="12" t="n">
        <x:f>MIN(1,'Inputs and sources'!$C$58*1+'Inputs and sources'!G$62*'Inputs and sources'!$D$58)</x:f>
        <x:v>0.3</x:v>
      </x:c>
      <x:c r="R14" s="8" t="n">
        <x:f>P14*Q14</x:f>
        <x:v>3.6666537655729066</x:v>
      </x:c>
      <x:c r="S14" s="8" t="n">
        <x:f>P14-R14</x:f>
        <x:v>8.55552545300345</x:v>
      </x:c>
      <x:c r="T14" s="2"/>
      <x:c r="U14" s="2"/>
    </x:row>
    <x:row r="15" ht="21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1" customHeight="1">
      <x:c r="B16" s="2" t="str">
        <x:v>Total motorcycle replacements</x:v>
      </x:c>
      <x:c r="C16" s="2"/>
      <x:c r="D16" s="2"/>
      <x:c r="E16" s="2"/>
      <x:c r="F16" s="16" t="n">
        <x:f>SUM(F9:F14)</x:f>
        <x:v>9.79859175</x:v>
      </x:c>
      <x:c r="G16" s="2"/>
      <x:c r="H16" s="2"/>
      <x:c r="I16" s="2"/>
      <x:c r="J16" s="16" t="n">
        <x:f>SUM(J9:J14)</x:f>
        <x:v>10.00683676656266</x:v>
      </x:c>
      <x:c r="K16" s="2"/>
      <x:c r="L16" s="2"/>
      <x:c r="M16" s="2"/>
      <x:c r="N16" s="16" t="n">
        <x:f>SUM(N9:N14)</x:f>
        <x:v>9.855278650650156</x:v>
      </x:c>
      <x:c r="O16" s="2"/>
      <x:c r="P16" s="2"/>
      <x:c r="Q16" s="2"/>
      <x:c r="R16" s="16" t="n">
        <x:f>SUM(R9:R14)</x:f>
        <x:v>9.837954407758861</x:v>
      </x:c>
      <x:c r="S16" s="2"/>
      <x:c r="T16" s="2"/>
      <x:c r="U16" s="2"/>
    </x:row>
    <x:row r="17" ht="21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1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4" customHeight="1">
      <x:c r="B19" s="7" t="str">
        <x:v>Scooters</x:v>
      </x:c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2"/>
      <x:c r="U19" s="2"/>
    </x:row>
    <x:row r="20" ht="21" customHeight="1">
      <x:c r="B20" s="2" t="str">
        <x:v>Age 6</x:v>
      </x:c>
      <x:c r="C20" s="2"/>
      <x:c r="D20" s="8" t="n">
        <x:f>'Inputs and sources'!D12</x:f>
        <x:v>5.565958</x:v>
      </x:c>
      <x:c r="E20" s="12" t="n">
        <x:f>MIN(1,'Inputs and sources'!$C$53*'Inputs and sources'!$C$60+'Inputs and sources'!D$62*'Inputs and sources'!$D$53)</x:f>
        <x:v>0.037500000000000006</x:v>
      </x:c>
      <x:c r="F20" s="8" t="n">
        <x:f>D20*E20</x:f>
        <x:v>0.20872342500000005</x:v>
      </x:c>
      <x:c r="G20" s="8" t="n">
        <x:f>D20-F20</x:f>
        <x:v>5.3572345750000006</x:v>
      </x:c>
      <x:c r="H20" s="8" t="n">
        <x:f>'Inputs and sources'!D13</x:f>
        <x:v>4.482305</x:v>
      </x:c>
      <x:c r="I20" s="12" t="n">
        <x:f>MIN(1,'Inputs and sources'!$C$53*'Inputs and sources'!$C$60+'Inputs and sources'!E$62*'Inputs and sources'!$D$53)</x:f>
        <x:v>0.037500000000000006</x:v>
      </x:c>
      <x:c r="J20" s="8" t="n">
        <x:f>H20*I20</x:f>
        <x:v>0.16808643750000002</x:v>
      </x:c>
      <x:c r="K20" s="8" t="n">
        <x:f>H20-J20</x:f>
        <x:v>4.3142185625</x:v>
      </x:c>
      <x:c r="L20" s="8" t="n">
        <x:f>'Inputs and sources'!D14</x:f>
        <x:v>4.112672</x:v>
      </x:c>
      <x:c r="M20" s="12" t="n">
        <x:f>MIN(1,'Inputs and sources'!$C$53*'Inputs and sources'!$C$60+'Inputs and sources'!F$62*'Inputs and sources'!$D$53)</x:f>
        <x:v>0.037500000000000006</x:v>
      </x:c>
      <x:c r="N20" s="8" t="n">
        <x:f>L20*M20</x:f>
        <x:v>0.1542252</x:v>
      </x:c>
      <x:c r="O20" s="8" t="n">
        <x:f>L20-N20</x:f>
        <x:v>3.9584468</x:v>
      </x:c>
      <x:c r="P20" s="8" t="n">
        <x:f>'Inputs and sources'!D15</x:f>
        <x:v>5.190702</x:v>
      </x:c>
      <x:c r="Q20" s="12" t="n">
        <x:f>MIN(1,'Inputs and sources'!$C$53*'Inputs and sources'!$C$60+'Inputs and sources'!G$62*'Inputs and sources'!$D$53)</x:f>
        <x:v>0.037500000000000006</x:v>
      </x:c>
      <x:c r="R20" s="8" t="n">
        <x:f>P20*Q20</x:f>
        <x:v>0.19465132500000001</x:v>
      </x:c>
      <x:c r="S20" s="8" t="n">
        <x:f>P20-R20</x:f>
        <x:v>4.996050675</x:v>
      </x:c>
      <x:c r="T20" s="2"/>
      <x:c r="U20" s="2"/>
    </x:row>
    <x:row r="21" ht="21" customHeight="1">
      <x:c r="B21" s="2" t="str">
        <x:v>Age 7</x:v>
      </x:c>
      <x:c r="C21" s="2"/>
      <x:c r="D21" s="8" t="n">
        <x:f>'Inputs and sources'!D11*(1-'Inputs and sources'!$C$53*'Inputs and sources'!$C$60)</x:f>
        <x:v>6.450126375</x:v>
      </x:c>
      <x:c r="E21" s="12" t="n">
        <x:f>MIN(1,'Inputs and sources'!$C$54*'Inputs and sources'!$C$60+'Inputs and sources'!D$62*'Inputs and sources'!$D$54)</x:f>
        <x:v>0.08500000000000002</x:v>
      </x:c>
      <x:c r="F21" s="8" t="n">
        <x:f>D21*E21</x:f>
        <x:v>0.5482607418750002</x:v>
      </x:c>
      <x:c r="G21" s="8" t="n">
        <x:f>D21-F21</x:f>
        <x:v>5.9018656331249995</x:v>
      </x:c>
      <x:c r="H21" s="8" t="n">
        <x:f>G20</x:f>
        <x:v>5.3572345750000006</x:v>
      </x:c>
      <x:c r="I21" s="12" t="n">
        <x:f>MIN(1,'Inputs and sources'!$C$54*'Inputs and sources'!$C$60+'Inputs and sources'!E$62*'Inputs and sources'!$D$54)</x:f>
        <x:v>0.08100000000000002</x:v>
      </x:c>
      <x:c r="J21" s="8" t="n">
        <x:f>H21*I21</x:f>
        <x:v>0.43393600057500015</x:v>
      </x:c>
      <x:c r="K21" s="8" t="n">
        <x:f>H21-J21</x:f>
        <x:v>4.923298574425001</x:v>
      </x:c>
      <x:c r="L21" s="8" t="n">
        <x:f>K20</x:f>
        <x:v>4.3142185625</x:v>
      </x:c>
      <x:c r="M21" s="12" t="n">
        <x:f>MIN(1,'Inputs and sources'!$C$54*'Inputs and sources'!$C$60+'Inputs and sources'!F$62*'Inputs and sources'!$D$54)</x:f>
        <x:v>0.07700000000000001</x:v>
      </x:c>
      <x:c r="N21" s="8" t="n">
        <x:f>L21*M21</x:f>
        <x:v>0.33219482931250005</x:v>
      </x:c>
      <x:c r="O21" s="8" t="n">
        <x:f>L21-N21</x:f>
        <x:v>3.9820237331875</x:v>
      </x:c>
      <x:c r="P21" s="8" t="n">
        <x:f>O20</x:f>
        <x:v>3.9584468</x:v>
      </x:c>
      <x:c r="Q21" s="12" t="n">
        <x:f>MIN(1,'Inputs and sources'!$C$54*'Inputs and sources'!$C$60+'Inputs and sources'!G$62*'Inputs and sources'!$D$54)</x:f>
        <x:v>0.07500000000000001</x:v>
      </x:c>
      <x:c r="R21" s="8" t="n">
        <x:f>P21*Q21</x:f>
        <x:v>0.29688351</x:v>
      </x:c>
      <x:c r="S21" s="8" t="n">
        <x:f>P21-R21</x:f>
        <x:v>3.66156329</x:v>
      </x:c>
      <x:c r="T21" s="2"/>
      <x:c r="U21" s="2"/>
    </x:row>
    <x:row r="22" ht="21" customHeight="1">
      <x:c r="B22" s="2" t="str">
        <x:v>Age 8</x:v>
      </x:c>
      <x:c r="C22" s="2"/>
      <x:c r="D22" s="8" t="n">
        <x:f>'Inputs and sources'!D10*(1-'Inputs and sources'!$C$53*'Inputs and sources'!$C$60)*(1-'Inputs and sources'!$C$54*'Inputs and sources'!$C$60)</x:f>
        <x:v>5.982818981562501</x:v>
      </x:c>
      <x:c r="E22" s="12" t="n">
        <x:f>MIN(1,'Inputs and sources'!$C$55*'Inputs and sources'!$C$60+'Inputs and sources'!D$62*'Inputs and sources'!$D$55)</x:f>
        <x:v>0.1325</x:v>
      </x:c>
      <x:c r="F22" s="8" t="n">
        <x:f>D22*E22</x:f>
        <x:v>0.7927235150570313</x:v>
      </x:c>
      <x:c r="G22" s="8" t="n">
        <x:f>D22-F22</x:f>
        <x:v>5.190095466505469</x:v>
      </x:c>
      <x:c r="H22" s="8" t="n">
        <x:f>G21</x:f>
        <x:v>5.9018656331249995</x:v>
      </x:c>
      <x:c r="I22" s="12" t="n">
        <x:f>MIN(1,'Inputs and sources'!$C$55*'Inputs and sources'!$C$60+'Inputs and sources'!E$62*'Inputs and sources'!$D$55)</x:f>
        <x:v>0.12449999999999999</x:v>
      </x:c>
      <x:c r="J22" s="8" t="n">
        <x:f>H22*I22</x:f>
        <x:v>0.7347822713240624</x:v>
      </x:c>
      <x:c r="K22" s="8" t="n">
        <x:f>H22-J22</x:f>
        <x:v>5.1670833618009375</x:v>
      </x:c>
      <x:c r="L22" s="8" t="n">
        <x:f>K21</x:f>
        <x:v>4.923298574425001</x:v>
      </x:c>
      <x:c r="M22" s="12" t="n">
        <x:f>MIN(1,'Inputs and sources'!$C$55*'Inputs and sources'!$C$60+'Inputs and sources'!F$62*'Inputs and sources'!$D$55)</x:f>
        <x:v>0.11649999999999999</x:v>
      </x:c>
      <x:c r="N22" s="8" t="n">
        <x:f>L22*M22</x:f>
        <x:v>0.5735642839205125</x:v>
      </x:c>
      <x:c r="O22" s="8" t="n">
        <x:f>L22-N22</x:f>
        <x:v>4.349734290504489</x:v>
      </x:c>
      <x:c r="P22" s="8" t="n">
        <x:f>O21</x:f>
        <x:v>3.9820237331875</x:v>
      </x:c>
      <x:c r="Q22" s="12" t="n">
        <x:f>MIN(1,'Inputs and sources'!$C$55*'Inputs and sources'!$C$60+'Inputs and sources'!G$62*'Inputs and sources'!$D$55)</x:f>
        <x:v>0.11249999999999999</x:v>
      </x:c>
      <x:c r="R22" s="8" t="n">
        <x:f>P22*Q22</x:f>
        <x:v>0.4479776699835937</x:v>
      </x:c>
      <x:c r="S22" s="8" t="n">
        <x:f>P22-R22</x:f>
        <x:v>3.534046063203906</x:v>
      </x:c>
      <x:c r="T22" s="2"/>
      <x:c r="U22" s="2"/>
    </x:row>
    <x:row r="23" ht="21" customHeight="1">
      <x:c r="B23" s="2" t="str">
        <x:v>Age 9</x:v>
      </x:c>
      <x:c r="C23" s="2"/>
      <x:c r="D23" s="8" t="n">
        <x:f>'Inputs and sources'!D9*(1-'Inputs and sources'!$C$53*'Inputs and sources'!$C$60)*(1-'Inputs and sources'!$C$54*'Inputs and sources'!$C$60)*(1-'Inputs and sources'!$C$55*'Inputs and sources'!$C$60)</x:f>
        <x:v>4.428545506902344</x:v>
      </x:c>
      <x:c r="E23" s="12" t="n">
        <x:f>MIN(1,'Inputs and sources'!$C$56*'Inputs and sources'!$C$60+'Inputs and sources'!D$62*'Inputs and sources'!$D$56)</x:f>
        <x:v>0.18000000000000002</x:v>
      </x:c>
      <x:c r="F23" s="8" t="n">
        <x:f>D23*E23</x:f>
        <x:v>0.797138191242422</x:v>
      </x:c>
      <x:c r="G23" s="8" t="n">
        <x:f>D23-F23</x:f>
        <x:v>3.6314073156599216</x:v>
      </x:c>
      <x:c r="H23" s="8" t="n">
        <x:f>G22</x:f>
        <x:v>5.190095466505469</x:v>
      </x:c>
      <x:c r="I23" s="12" t="n">
        <x:f>MIN(1,'Inputs and sources'!$C$56*'Inputs and sources'!$C$60+'Inputs and sources'!E$62*'Inputs and sources'!$D$56)</x:f>
        <x:v>0.168</x:v>
      </x:c>
      <x:c r="J23" s="8" t="n">
        <x:f>H23*I23</x:f>
        <x:v>0.8719360383729189</x:v>
      </x:c>
      <x:c r="K23" s="8" t="n">
        <x:f>H23-J23</x:f>
        <x:v>4.31815942813255</x:v>
      </x:c>
      <x:c r="L23" s="8" t="n">
        <x:f>K22</x:f>
        <x:v>5.1670833618009375</x:v>
      </x:c>
      <x:c r="M23" s="12" t="n">
        <x:f>MIN(1,'Inputs and sources'!$C$56*'Inputs and sources'!$C$60+'Inputs and sources'!F$62*'Inputs and sources'!$D$56)</x:f>
        <x:v>0.15600000000000003</x:v>
      </x:c>
      <x:c r="N23" s="8" t="n">
        <x:f>L23*M23</x:f>
        <x:v>0.8060650044409464</x:v>
      </x:c>
      <x:c r="O23" s="8" t="n">
        <x:f>L23-N23</x:f>
        <x:v>4.361018357359991</x:v>
      </x:c>
      <x:c r="P23" s="8" t="n">
        <x:f>O22</x:f>
        <x:v>4.349734290504489</x:v>
      </x:c>
      <x:c r="Q23" s="12" t="n">
        <x:f>MIN(1,'Inputs and sources'!$C$56*'Inputs and sources'!$C$60+'Inputs and sources'!G$62*'Inputs and sources'!$D$56)</x:f>
        <x:v>0.15000000000000002</x:v>
      </x:c>
      <x:c r="R23" s="8" t="n">
        <x:f>P23*Q23</x:f>
        <x:v>0.6524601435756734</x:v>
      </x:c>
      <x:c r="S23" s="8" t="n">
        <x:f>P23-R23</x:f>
        <x:v>3.697274146928815</x:v>
      </x:c>
      <x:c r="T23" s="2"/>
      <x:c r="U23" s="2"/>
    </x:row>
    <x:row r="24" ht="21" customHeight="1">
      <x:c r="B24" s="2" t="str">
        <x:v>Age 10</x:v>
      </x:c>
      <x:c r="C24" s="2"/>
      <x:c r="D24" s="8" t="n">
        <x:f>'Inputs and sources'!D8*(1-'Inputs and sources'!$C$53*'Inputs and sources'!$C$60)*(1-'Inputs and sources'!$C$54*'Inputs and sources'!$C$60)*(1-'Inputs and sources'!$C$55*'Inputs and sources'!$C$60)*(1-'Inputs and sources'!$C$56*'Inputs and sources'!$C$60)</x:f>
        <x:v>3.379423339991016</x:v>
      </x:c>
      <x:c r="E24" s="12" t="n">
        <x:f>MIN(1,'Inputs and sources'!$C$57*'Inputs and sources'!$C$60+'Inputs and sources'!D$62*'Inputs and sources'!$D$57)</x:f>
        <x:v>0.2375</x:v>
      </x:c>
      <x:c r="F24" s="8" t="n">
        <x:f>D24*E24</x:f>
        <x:v>0.8026130432478662</x:v>
      </x:c>
      <x:c r="G24" s="8" t="n">
        <x:f>D24-F24</x:f>
        <x:v>2.5768102967431497</x:v>
      </x:c>
      <x:c r="H24" s="8" t="n">
        <x:f>G23</x:f>
        <x:v>3.6314073156599216</x:v>
      </x:c>
      <x:c r="I24" s="12" t="n">
        <x:f>MIN(1,'Inputs and sources'!$C$57*'Inputs and sources'!$C$60+'Inputs and sources'!E$62*'Inputs and sources'!$D$57)</x:f>
        <x:v>0.2175</x:v>
      </x:c>
      <x:c r="J24" s="8" t="n">
        <x:f>H24*I24</x:f>
        <x:v>0.7898310911560329</x:v>
      </x:c>
      <x:c r="K24" s="8" t="n">
        <x:f>H24-J24</x:f>
        <x:v>2.8415762245038887</x:v>
      </x:c>
      <x:c r="L24" s="8" t="n">
        <x:f>K23</x:f>
        <x:v>4.31815942813255</x:v>
      </x:c>
      <x:c r="M24" s="12" t="n">
        <x:f>MIN(1,'Inputs and sources'!$C$57*'Inputs and sources'!$C$60+'Inputs and sources'!F$62*'Inputs and sources'!$D$57)</x:f>
        <x:v>0.1975</x:v>
      </x:c>
      <x:c r="N24" s="8" t="n">
        <x:f>L24*M24</x:f>
        <x:v>0.8528364870561788</x:v>
      </x:c>
      <x:c r="O24" s="8" t="n">
        <x:f>L24-N24</x:f>
        <x:v>3.4653229410763715</x:v>
      </x:c>
      <x:c r="P24" s="8" t="n">
        <x:f>O23</x:f>
        <x:v>4.361018357359991</x:v>
      </x:c>
      <x:c r="Q24" s="12" t="n">
        <x:f>MIN(1,'Inputs and sources'!$C$57*'Inputs and sources'!$C$60+'Inputs and sources'!G$62*'Inputs and sources'!$D$57)</x:f>
        <x:v>0.1875</x:v>
      </x:c>
      <x:c r="R24" s="8" t="n">
        <x:f>P24*Q24</x:f>
        <x:v>0.8176909420049983</x:v>
      </x:c>
      <x:c r="S24" s="8" t="n">
        <x:f>P24-R24</x:f>
        <x:v>3.5433274153549927</x:v>
      </x:c>
      <x:c r="T24" s="2"/>
      <x:c r="U24" s="2"/>
    </x:row>
    <x:row r="25" ht="21" customHeight="1">
      <x:c r="B25" s="2" t="str">
        <x:v>Age 11+</x:v>
      </x:c>
      <x:c r="C25" s="2"/>
      <x:c r="D25" s="8" t="n">
        <x:f>('Inputs and sources'!D18*'Inputs and sources'!$D$37-SUM(F20:F24))/E25</x:f>
        <x:v>1.831332122100657</x:v>
      </x:c>
      <x:c r="E25" s="12" t="n">
        <x:f>MIN(1,'Inputs and sources'!$C$58*'Inputs and sources'!$C$60+'Inputs and sources'!D$62*'Inputs and sources'!$D$58)</x:f>
        <x:v>0.27499999999999997</x:v>
      </x:c>
      <x:c r="F25" s="8" t="n">
        <x:f>D25*E25</x:f>
        <x:v>0.5036163335776807</x:v>
      </x:c>
      <x:c r="G25" s="8" t="n">
        <x:f>D25-F25</x:f>
        <x:v>1.3277157885229764</x:v>
      </x:c>
      <x:c r="H25" s="8" t="n">
        <x:f>G24+G25</x:f>
        <x:v>3.9045260852661263</x:v>
      </x:c>
      <x:c r="I25" s="12" t="n">
        <x:f>MIN(1,'Inputs and sources'!$C$58*'Inputs and sources'!$C$60+'Inputs and sources'!E$62*'Inputs and sources'!$D$58)</x:f>
        <x:v>0.255</x:v>
      </x:c>
      <x:c r="J25" s="8" t="n">
        <x:f>H25*I25</x:f>
        <x:v>0.9956541517428622</x:v>
      </x:c>
      <x:c r="K25" s="8" t="n">
        <x:f>H25-J25</x:f>
        <x:v>2.908871933523264</x:v>
      </x:c>
      <x:c r="L25" s="8" t="n">
        <x:f>K24+K25</x:f>
        <x:v>5.750448158027153</x:v>
      </x:c>
      <x:c r="M25" s="12" t="n">
        <x:f>MIN(1,'Inputs and sources'!$C$58*'Inputs and sources'!$C$60+'Inputs and sources'!F$62*'Inputs and sources'!$D$58)</x:f>
        <x:v>0.235</x:v>
      </x:c>
      <x:c r="N25" s="8" t="n">
        <x:f>L25*M25</x:f>
        <x:v>1.3513553171363808</x:v>
      </x:c>
      <x:c r="O25" s="8" t="n">
        <x:f>L25-N25</x:f>
        <x:v>4.399092840890772</x:v>
      </x:c>
      <x:c r="P25" s="8" t="n">
        <x:f>O24+O25</x:f>
        <x:v>7.864415781967143</x:v>
      </x:c>
      <x:c r="Q25" s="12" t="n">
        <x:f>MIN(1,'Inputs and sources'!$C$58*'Inputs and sources'!$C$60+'Inputs and sources'!G$62*'Inputs and sources'!$D$58)</x:f>
        <x:v>0.22499999999999998</x:v>
      </x:c>
      <x:c r="R25" s="8" t="n">
        <x:f>P25*Q25</x:f>
        <x:v>1.7694935509426069</x:v>
      </x:c>
      <x:c r="S25" s="8" t="n">
        <x:f>P25-R25</x:f>
        <x:v>6.094922231024536</x:v>
      </x:c>
      <x:c r="T25" s="2"/>
      <x:c r="U25" s="2"/>
    </x:row>
    <x:row r="26" ht="21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21" customHeight="1">
      <x:c r="B27" s="2" t="str">
        <x:v>Total scooter replacements</x:v>
      </x:c>
      <x:c r="C27" s="2"/>
      <x:c r="D27" s="2"/>
      <x:c r="E27" s="2"/>
      <x:c r="F27" s="16" t="n">
        <x:f>SUM(F20:F25)</x:f>
        <x:v>3.6530752500000006</x:v>
      </x:c>
      <x:c r="G27" s="2"/>
      <x:c r="H27" s="2"/>
      <x:c r="I27" s="2"/>
      <x:c r="J27" s="16" t="n">
        <x:f>SUM(J20:J25)</x:f>
        <x:v>3.9942259906708766</x:v>
      </x:c>
      <x:c r="K27" s="2"/>
      <x:c r="L27" s="2"/>
      <x:c r="M27" s="2"/>
      <x:c r="N27" s="16" t="n">
        <x:f>SUM(N20:N25)</x:f>
        <x:v>4.070241121866519</x:v>
      </x:c>
      <x:c r="O27" s="2"/>
      <x:c r="P27" s="2"/>
      <x:c r="Q27" s="2"/>
      <x:c r="R27" s="16" t="n">
        <x:f>SUM(R20:R25)</x:f>
        <x:v>4.179157141506872</x:v>
      </x:c>
      <x:c r="S27" s="2"/>
      <x:c r="T27" s="2"/>
      <x:c r="U27" s="2"/>
    </x:row>
    <x:row r="28" ht="21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21" customHeight="1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1" customHeight="1">
      <x:c r="B30" s="2" t="str">
        <x:v>Older-pool calibration</x:v>
      </x:c>
      <x:c r="C30" s="2" t="str">
        <x:v>FY26 older pool solves to the specified FY26 replacement share after accounting for younger vintages. It represents unobserved earlier owners.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1" customHeight="1">
      <x:c r="B31" s="2" t="str">
        <x:v>FY26 motorcycle anchor difference</x:v>
      </x:c>
      <x:c r="C31" s="2"/>
      <x:c r="D31" s="8" t="n">
        <x:f>F16-'Inputs and sources'!C18*'Inputs and sources'!D36</x:f>
        <x:v>0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1" customHeight="1">
      <x:c r="B32" s="2" t="str">
        <x:v>FY26 scooter anchor difference</x:v>
      </x:c>
      <x:c r="C32" s="2"/>
      <x:c r="D32" s="8" t="n">
        <x:f>F27-'Inputs and sources'!D18*'Inputs and sources'!D37</x:f>
        <x:v>0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1" customHeight="1">
      <x:c r="B33" s="2" t="str">
        <x:v>Minimum opening owner pool</x:v>
      </x:c>
      <x:c r="C33" s="2"/>
      <x:c r="D33" s="8" t="n">
        <x:f>MIN(D9:D14,D20:D25)</x:f>
        <x:v>1.831332122100657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1" customHeight="1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1" customHeight="1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1" customHeight="1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1" customHeight="1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1" customHeight="1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1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1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21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21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21" customHeight="1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21" customHeight="1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21" customHeight="1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21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21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21" customHeight="1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 ht="21" customHeight="1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21" customHeight="1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21" customHeight="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21" customHeight="1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21" customHeight="1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21" customHeight="1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21" customHeight="1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21" customHeight="1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21" customHeight="1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21" customHeight="1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21" customHeight="1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21" customHeight="1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21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21" customHeight="1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21" customHeight="1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21" customHeight="1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21" customHeight="1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21" customHeight="1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5D83"/>
  </x:sheetPr>
  <x:sheetViews>
    <x:sheetView showGridLines="0" workbookViewId="0"/>
  </x:sheetViews>
  <x:sheetFormatPr defaultRowHeight="15"/>
  <x:cols>
    <x:col min="2" max="2" width="4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76" hidden="0" customWidth="1"/>
    <x:col min="8" max="8" width="15" hidden="0" customWidth="1"/>
    <x:col min="9" max="9" width="8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2" ht="21" customHeight="1">
      <x:c r="B2" s="3" t="str">
        <x:v>Inputs and sources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1" customHeight="1"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1" customHeight="1">
      <x:c r="B4" s="4" t="str">
        <x:v>Yellow cells are editable. FY ends in March. Sales and demand are in million vehicles.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1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4" customHeight="1">
      <x:c r="B6" s="7" t="str">
        <x:v>SIAM domestic wholesales</x:v>
      </x:c>
      <x:c r="C6" s="7"/>
      <x:c r="D6" s="7"/>
      <x:c r="E6" s="7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1" customHeight="1">
      <x:c r="B7" s="2" t="str">
        <x:v>Fiscal year</x:v>
      </x:c>
      <x:c r="C7" s="2" t="str">
        <x:v>Motorcycles</x:v>
      </x:c>
      <x:c r="D7" s="2" t="str">
        <x:v>Scooters</x:v>
      </x:c>
      <x:c r="E7" s="2" t="str">
        <x:v>Mopeds</x:v>
      </x:c>
      <x:c r="F7" s="2"/>
      <x:c r="G7" s="2" t="str">
        <x:v>SIAM annual reports, domestic sales tables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21" customHeight="1">
      <x:c r="B8" s="2" t="n">
        <x:v>2016</x:v>
      </x:c>
      <x:c r="C8" s="8" t="n">
        <x:v>10.700406</x:v>
      </x:c>
      <x:c r="D8" s="8" t="n">
        <x:v>5.031678</x:v>
      </x:c>
      <x:c r="E8" s="8" t="n">
        <x:v>0.723767</x:v>
      </x:c>
      <x:c r="F8" s="2"/>
      <x:c r="G8" s="2" t="str">
        <x:v>https://www.siam.in/uploads/Know/AnnualReport/23-2020-2021.pdf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21" customHeight="1">
      <x:c r="B9" s="2" t="n">
        <x:v>2017</x:v>
      </x:c>
      <x:c r="C9" s="8" t="n">
        <x:v>11.094547</x:v>
      </x:c>
      <x:c r="D9" s="8" t="n">
        <x:v>5.604673</x:v>
      </x:c>
      <x:c r="E9" s="8" t="n">
        <x:v>0.890518</x:v>
      </x:c>
      <x:c r="F9" s="2"/>
      <x:c r="G9" s="2" t="str">
        <x:v>https://www.siam.in/uploads/filemanager/SIAMAnnualReport2023-24.pdf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21" customHeight="1">
      <x:c r="B10" s="2" t="n">
        <x:v>2018</x:v>
      </x:c>
      <x:c r="C10" s="8" t="n">
        <x:v>12.62069</x:v>
      </x:c>
      <x:c r="D10" s="8" t="n">
        <x:v>6.719909</x:v>
      </x:c>
      <x:c r="E10" s="8" t="n">
        <x:v>0.859518</x:v>
      </x:c>
      <x:c r="F10" s="2"/>
      <x:c r="G10" s="2" t="str">
        <x:v>https://www.siam.in/knowledge/annual-reports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1" customHeight="1">
      <x:c r="B11" s="2" t="n">
        <x:v>2019</x:v>
      </x:c>
      <x:c r="C11" s="8" t="n">
        <x:v>13.59819</x:v>
      </x:c>
      <x:c r="D11" s="8" t="n">
        <x:v>6.70143</x:v>
      </x:c>
      <x:c r="E11" s="8" t="n">
        <x:v>0.880227</x:v>
      </x:c>
      <x:c r="F11" s="2"/>
      <x:c r="G11" s="2" t="str">
        <x:v>FY25 and FY26 category breakdowns from SIAM annual reports.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1" customHeight="1">
      <x:c r="B12" s="2" t="n">
        <x:v>2020</x:v>
      </x:c>
      <x:c r="C12" s="8" t="n">
        <x:v>11.213662</x:v>
      </x:c>
      <x:c r="D12" s="8" t="n">
        <x:v>5.565958</x:v>
      </x:c>
      <x:c r="E12" s="8" t="n">
        <x:v>0.636812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1" customHeight="1">
      <x:c r="B13" s="2" t="n">
        <x:v>2021</x:v>
      </x:c>
      <x:c r="C13" s="8" t="n">
        <x:v>10.021231</x:v>
      </x:c>
      <x:c r="D13" s="8" t="n">
        <x:v>4.482305</x:v>
      </x:c>
      <x:c r="E13" s="8" t="n">
        <x:v>0.617247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1" customHeight="1">
      <x:c r="B14" s="2" t="n">
        <x:v>2022</x:v>
      </x:c>
      <x:c r="C14" s="8" t="n">
        <x:v>8.984186</x:v>
      </x:c>
      <x:c r="D14" s="8" t="n">
        <x:v>4.112672</x:v>
      </x:c>
      <x:c r="E14" s="8" t="n">
        <x:v>0.47315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1" customHeight="1">
      <x:c r="B15" s="2" t="n">
        <x:v>2023</x:v>
      </x:c>
      <x:c r="C15" s="8" t="n">
        <x:v>10.230502</x:v>
      </x:c>
      <x:c r="D15" s="8" t="n">
        <x:v>5.190702</x:v>
      </x:c>
      <x:c r="E15" s="8" t="n">
        <x:v>0.441567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1" customHeight="1">
      <x:c r="B16" s="2" t="n">
        <x:v>2024</x:v>
      </x:c>
      <x:c r="C16" s="8" t="n">
        <x:v>11.653237</x:v>
      </x:c>
      <x:c r="D16" s="8" t="n">
        <x:v>5.839325</x:v>
      </x:c>
      <x:c r="E16" s="8" t="n">
        <x:v>0.481803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1" customHeight="1">
      <x:c r="B17" s="2" t="n">
        <x:v>2025</x:v>
      </x:c>
      <x:c r="C17" s="8" t="n">
        <x:v>12.252305</x:v>
      </x:c>
      <x:c r="D17" s="8" t="n">
        <x:v>6.853214</x:v>
      </x:c>
      <x:c r="E17" s="8" t="n">
        <x:v>0.501813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1" customHeight="1">
      <x:c r="B18" s="2" t="n">
        <x:v>2026</x:v>
      </x:c>
      <x:c r="C18" s="8" t="n">
        <x:v>13.064789</x:v>
      </x:c>
      <x:c r="D18" s="8" t="n">
        <x:v>8.117945</x:v>
      </x:c>
      <x:c r="E18" s="8" t="n">
        <x:v>0.52324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1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1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4" customHeight="1">
      <x:c r="B21" s="7" t="str">
        <x:v>Observed FY27 and remaining-year anchor</x:v>
      </x:c>
      <x:c r="C21" s="7"/>
      <x:c r="D21" s="7"/>
      <x:c r="E21" s="7"/>
      <x:c r="F21" s="7"/>
      <x:c r="G21" s="7"/>
      <x:c r="H21" s="7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1" customHeight="1">
      <x:c r="B22" s="2" t="str">
        <x:v>FY26 April–August sales</x:v>
      </x:c>
      <x:c r="C22" s="2"/>
      <x:c r="D22" s="2"/>
      <x:c r="E22" s="8" t="n">
        <x:v>8.07575</x:v>
      </x:c>
      <x:c r="F22" s="2"/>
      <x:c r="G22" s="2" t="str">
        <x:v>FY26 April–September less September; SIAM releases.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1" customHeight="1">
      <x:c r="B23" s="2" t="str">
        <x:v>FY27 April–August SIAM sales</x:v>
      </x:c>
      <x:c r="C23" s="2"/>
      <x:c r="D23" s="2"/>
      <x:c r="E23" s="8" t="n">
        <x:v>9.586856</x:v>
      </x:c>
      <x:c r="F23" s="2"/>
      <x:c r="G23" s="2" t="str">
        <x:v>FY27 Q1 + July + August; SIAM releases.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21" customHeight="1">
      <x:c r="B24" s="2" t="str">
        <x:v>Same-basis SIAM growth</x:v>
      </x:c>
      <x:c r="C24" s="2"/>
      <x:c r="D24" s="2"/>
      <x:c r="E24" s="12" t="n">
        <x:f>E23/E22-1</x:f>
        <x:v>0.1871164907284153</x:v>
      </x:c>
      <x:c r="F24" s="2"/>
      <x:c r="G24" s="2" t="str">
        <x:v>SIAM +18.7% differs from user 15.5%; basis may differ. The wholesale model uses SIAM.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1" customHeight="1">
      <x:c r="B25" s="2" t="str">
        <x:v>User-provided conservative growth reference</x:v>
      </x:c>
      <x:c r="C25" s="2"/>
      <x:c r="D25" s="2"/>
      <x:c r="E25" s="11" t="n">
        <x:v>0.155</x:v>
      </x:c>
      <x:c r="F25" s="2"/>
      <x:c r="G25" s="2" t="str">
        <x:v>15.5% retained as a conservative reference, not overwritten as SIAM actual.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21" customHeight="1">
      <x:c r="B26" s="2" t="str">
        <x:v>FY26 September–March sales</x:v>
      </x:c>
      <x:c r="C26" s="2"/>
      <x:c r="D26" s="2"/>
      <x:c r="E26" s="8" t="n">
        <x:f>SUM(C18:E18)-E22</x:f>
        <x:v>13.630224000000002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21" customHeight="1">
      <x:c r="B27" s="2" t="str">
        <x:v>Assumed September–March growth floor</x:v>
      </x:c>
      <x:c r="C27" s="2"/>
      <x:c r="D27" s="2"/>
      <x:c r="E27" s="11" t="n">
        <x:v>-0.03</x:v>
      </x:c>
      <x:c r="F27" s="2"/>
      <x:c r="G27" s="2" t="str">
        <x:v>FY27 annual floor uses observed April–August and this September–March scenario.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21" customHeight="1">
      <x:c r="B28" s="2" t="str">
        <x:v>Minimum desired decline in replacement share</x:v>
      </x:c>
      <x:c r="C28" s="2"/>
      <x:c r="D28" s="2"/>
      <x:c r="E28" s="11" t="n">
        <x:v>0.0025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21" customHeight="1">
      <x:c r="B29" s="2"/>
      <x:c r="C29" s="2"/>
      <x:c r="D29" s="2"/>
      <x:c r="E29" s="2"/>
      <x:c r="F29" s="2"/>
      <x:c r="G29" s="2" t="str">
        <x:v>https://www.siam.in/pressrelease-details.aspx?pid=610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1" customHeight="1">
      <x:c r="B30" s="2"/>
      <x:c r="C30" s="2"/>
      <x:c r="D30" s="2"/>
      <x:c r="E30" s="2"/>
      <x:c r="F30" s="2"/>
      <x:c r="G30" s="2" t="str">
        <x:v>https://www.siam.in/news-%26-updates/press-releases/auto-industry-performance-of-july-2026/612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1" customHeight="1">
      <x:c r="B31" s="2"/>
      <x:c r="C31" s="2"/>
      <x:c r="D31" s="2"/>
      <x:c r="E31" s="2"/>
      <x:c r="F31" s="2"/>
      <x:c r="G31" s="2" t="str">
        <x:v>https://www.siam.in/pressrelease-details.aspx?mpgid=53&amp;pgidtrail=50&amp;pid=620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1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1" customHeight="1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4" customHeight="1">
      <x:c r="B34" s="7" t="str">
        <x:v>Buyer composition and affordability</x:v>
      </x:c>
      <x:c r="C34" s="7"/>
      <x:c r="D34" s="7"/>
      <x:c r="E34" s="7"/>
      <x:c r="F34" s="7"/>
      <x:c r="G34" s="7"/>
      <x:c r="H34" s="7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1" customHeight="1">
      <x:c r="B35" s="2"/>
      <x:c r="C35" s="2"/>
      <x:c r="D35" s="2" t="str">
        <x:v>FY26A</x:v>
      </x:c>
      <x:c r="E35" s="2" t="str">
        <x:v>FY27E</x:v>
      </x:c>
      <x:c r="F35" s="2" t="str">
        <x:v>FY28E</x:v>
      </x:c>
      <x:c r="G35" s="2" t="str">
        <x:v>FY29E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1" customHeight="1">
      <x:c r="B36" s="2" t="str">
        <x:v>Motorcycle replacement share at FY26 anchor</x:v>
      </x:c>
      <x:c r="C36" s="2"/>
      <x:c r="D36" s="11" t="n">
        <x:v>0.75</x:v>
      </x:c>
      <x:c r="E36" s="2"/>
      <x:c r="F36" s="2"/>
      <x:c r="G36" s="2"/>
      <x:c r="H36" s="2"/>
      <x:c r="I36" s="2" t="str">
        <x:v>75% motorcycle and 45% scooter replacement shares are analyst anchors.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1" customHeight="1">
      <x:c r="B37" s="2" t="str">
        <x:v>Scooter replacement share at FY26 anchor</x:v>
      </x:c>
      <x:c r="C37" s="2"/>
      <x:c r="D37" s="11" t="n">
        <x:v>0.45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1" customHeight="1">
      <x:c r="B38" s="2" t="str">
        <x:v>Motorcycle new-buyer growth before price</x:v>
      </x:c>
      <x:c r="C38" s="2"/>
      <x:c r="D38" s="12" t="n">
        <x:v>0</x:v>
      </x:c>
      <x:c r="E38" s="11" t="n">
        <x:v>0.01</x:v>
      </x:c>
      <x:c r="F38" s="11" t="n">
        <x:v>0.01</x:v>
      </x:c>
      <x:c r="G38" s="11" t="n">
        <x:v>0.01</x:v>
      </x:c>
      <x:c r="H38" s="2"/>
      <x:c r="I38" s="2" t="str">
        <x:v>Organic new buyers: modest household formation, separate from price and wage events.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1" customHeight="1">
      <x:c r="B39" s="2" t="str">
        <x:v>Scooter new-buyer growth before price</x:v>
      </x:c>
      <x:c r="C39" s="2"/>
      <x:c r="D39" s="12" t="n">
        <x:v>0</x:v>
      </x:c>
      <x:c r="E39" s="11" t="n">
        <x:v>0.015</x:v>
      </x:c>
      <x:c r="F39" s="11" t="n">
        <x:v>0.015</x:v>
      </x:c>
      <x:c r="G39" s="11" t="n">
        <x:v>0.015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1" customHeight="1">
      <x:c r="B40" s="2" t="str">
        <x:v>Effective price benefit to new buyers</x:v>
      </x:c>
      <x:c r="C40" s="2"/>
      <x:c r="D40" s="11" t="n">
        <x:v>0.035</x:v>
      </x:c>
      <x:c r="E40" s="11" t="n">
        <x:v>0.04</x:v>
      </x:c>
      <x:c r="F40" s="11" t="n">
        <x:v>0.02</x:v>
      </x:c>
      <x:c r="G40" s="11" t="n">
        <x:v>0.01</x:v>
      </x:c>
      <x:c r="H40" s="2"/>
      <x:c r="I40" s="2" t="str">
        <x:v>Annual average benefit net of price hikes; FY26 contains only the post-GST months.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21" customHeight="1">
      <x:c r="B41" s="2" t="str">
        <x:v>Motorcycle exposed share</x:v>
      </x:c>
      <x:c r="C41" s="2"/>
      <x:c r="D41" s="11" t="n">
        <x:v>0.95</x:v>
      </x:c>
      <x:c r="E41" s="11" t="n">
        <x:v>0.95</x:v>
      </x:c>
      <x:c r="F41" s="11" t="n">
        <x:v>0.95</x:v>
      </x:c>
      <x:c r="G41" s="11" t="n">
        <x:v>0.95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21" customHeight="1">
      <x:c r="B42" s="2" t="str">
        <x:v>Scooter exposed share</x:v>
      </x:c>
      <x:c r="C42" s="2"/>
      <x:c r="D42" s="11" t="n">
        <x:v>0.92</x:v>
      </x:c>
      <x:c r="E42" s="11" t="n">
        <x:v>0.92</x:v>
      </x:c>
      <x:c r="F42" s="11" t="n">
        <x:v>0.92</x:v>
      </x:c>
      <x:c r="G42" s="11" t="n">
        <x:v>0.92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21" customHeight="1">
      <x:c r="B43" s="2" t="str">
        <x:v>New-buyer volume elasticity to price</x:v>
      </x:c>
      <x:c r="C43" s="2"/>
      <x:c r="D43" s="14" t="n">
        <x:v>1.45</x:v>
      </x:c>
      <x:c r="E43" s="14" t="n">
        <x:v>1.45</x:v>
      </x:c>
      <x:c r="F43" s="14" t="n">
        <x:v>1.45</x:v>
      </x:c>
      <x:c r="G43" s="14" t="n">
        <x:v>1.45</x:v>
      </x:c>
      <x:c r="H43" s="2"/>
      <x:c r="I43" s="2" t="str">
        <x:v>1.45x means a 1% price fall raises price-sensitive new-buyer demand by 1.45%.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21" customHeight="1">
      <x:c r="B44" s="2" t="str">
        <x:v>Scooter share gain from motorcycles (pp)</x:v>
      </x:c>
      <x:c r="C44" s="2"/>
      <x:c r="D44" s="11" t="n">
        <x:v>0</x:v>
      </x:c>
      <x:c r="E44" s="11" t="n">
        <x:v>0.015</x:v>
      </x:c>
      <x:c r="F44" s="11" t="n">
        <x:v>0.021</x:v>
      </x:c>
      <x:c r="G44" s="11" t="n">
        <x:v>0.017</x:v>
      </x:c>
      <x:c r="H44" s="2"/>
      <x:c r="I44" s="2" t="str">
        <x:v>Unit transfer at 1.5–2.1% of prior two-wheeler core volume; realized share gain can differ.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21" customHeight="1">
      <x:c r="B45" s="2" t="str">
        <x:v>Moped growth</x:v>
      </x:c>
      <x:c r="C45" s="2"/>
      <x:c r="D45" s="12" t="n">
        <x:v>0</x:v>
      </x:c>
      <x:c r="E45" s="11" t="n">
        <x:v>0.01</x:v>
      </x:c>
      <x:c r="F45" s="11" t="n">
        <x:v>0.01</x:v>
      </x:c>
      <x:c r="G45" s="11" t="n">
        <x:v>0.01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21" customHeight="1">
      <x:c r="B46" s="2" t="str">
        <x:v>Motorcycle FY29 growth view</x:v>
      </x:c>
      <x:c r="C46" s="2"/>
      <x:c r="D46" s="2"/>
      <x:c r="E46" s="2"/>
      <x:c r="F46" s="2"/>
      <x:c r="G46" s="11" t="n">
        <x:v>0.105</x:v>
      </x:c>
      <x:c r="H46" s="2"/>
      <x:c r="I46" s="2" t="str">
        <x:v>FY29 target is a house view; the model solves for wage-triggered incremental buyers.</x:v>
      </x:c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21" customHeight="1">
      <x:c r="B47" s="2" t="str">
        <x:v>Scooter FY29 growth view</x:v>
      </x:c>
      <x:c r="C47" s="2"/>
      <x:c r="D47" s="2"/>
      <x:c r="E47" s="2"/>
      <x:c r="F47" s="2"/>
      <x:c r="G47" s="11" t="n">
        <x:v>0.155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21" customHeight="1">
      <x:c r="B48" s="2" t="str">
        <x:v>Wage-sensitive household pool (millions)</x:v>
      </x:c>
      <x:c r="C48" s="2"/>
      <x:c r="D48" s="2"/>
      <x:c r="E48" s="2"/>
      <x:c r="F48" s="2"/>
      <x:c r="G48" s="13" t="n">
        <x:v>30</x:v>
      </x:c>
      <x:c r="H48" s="2"/>
      <x:c r="I48" s="2" t="str">
        <x:v>Illustrative eligible household pool; implied take-up is calculated, not assumed.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 ht="21" customHeight="1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21" customHeight="1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24" customHeight="1">
      <x:c r="B51" s="7" t="str">
        <x:v>Replacement probability by owner age</x:v>
      </x:c>
      <x:c r="C51" s="7"/>
      <x:c r="D51" s="7"/>
      <x:c r="E51" s="7"/>
      <x:c r="F51" s="7"/>
      <x:c r="G51" s="7"/>
      <x:c r="H51" s="7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21" customHeight="1">
      <x:c r="B52" s="2" t="str">
        <x:v>Owner age</x:v>
      </x:c>
      <x:c r="C52" s="2" t="str">
        <x:v>Base motorcycle replacement</x:v>
      </x:c>
      <x:c r="D52" s="2" t="str">
        <x:v>Price uplift multiplier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21" customHeight="1">
      <x:c r="B53" s="2" t="n">
        <x:v>6</x:v>
      </x:c>
      <x:c r="C53" s="11" t="n">
        <x:v>0.05</x:v>
      </x:c>
      <x:c r="D53" s="11" t="n">
        <x:v>0</x:v>
      </x:c>
      <x:c r="E53" s="2"/>
      <x:c r="F53" s="2"/>
      <x:c r="G53" s="2"/>
      <x:c r="H53" s="2"/>
      <x:c r="I53" s="2" t="str">
        <x:v>Age 10: 25% normally; 30% in FY26 with the GST shock.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21" customHeight="1">
      <x:c r="B54" s="2" t="n">
        <x:v>7</x:v>
      </x:c>
      <x:c r="C54" s="11" t="n">
        <x:v>0.1</x:v>
      </x:c>
      <x:c r="D54" s="11" t="n">
        <x:v>0.2</x:v>
      </x:c>
      <x:c r="E54" s="2"/>
      <x:c r="F54" s="2"/>
      <x:c r="G54" s="2"/>
      <x:c r="H54" s="2"/>
      <x:c r="I54" s="2" t="str">
        <x:v>A buyer who replaces exits this owner cohort. Only unreplaced owners advance to next age.</x:v>
      </x:c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21" customHeight="1">
      <x:c r="B55" s="2" t="n">
        <x:v>8</x:v>
      </x:c>
      <x:c r="C55" s="11" t="n">
        <x:v>0.15</x:v>
      </x:c>
      <x:c r="D55" s="11" t="n">
        <x:v>0.4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21" customHeight="1">
      <x:c r="B56" s="2" t="n">
        <x:v>9</x:v>
      </x:c>
      <x:c r="C56" s="11" t="n">
        <x:v>0.2</x:v>
      </x:c>
      <x:c r="D56" s="11" t="n">
        <x:v>0.6</x:v>
      </x:c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21" customHeight="1">
      <x:c r="B57" s="2" t="n">
        <x:v>10</x:v>
      </x:c>
      <x:c r="C57" s="11" t="n">
        <x:v>0.25</x:v>
      </x:c>
      <x:c r="D57" s="11" t="n">
        <x:v>1</x:v>
      </x:c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21" customHeight="1">
      <x:c r="B58" s="2" t="str">
        <x:v>11+</x:v>
      </x:c>
      <x:c r="C58" s="11" t="n">
        <x:v>0.3</x:v>
      </x:c>
      <x:c r="D58" s="11" t="n">
        <x:v>1</x:v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21" customHeight="1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21" customHeight="1">
      <x:c r="B60" s="2" t="str">
        <x:v>Scooter base replacement probability as % of motorcycle</x:v>
      </x:c>
      <x:c r="C60" s="11" t="n">
        <x:v>0.75</x:v>
      </x:c>
      <x:c r="D60" s="2"/>
      <x:c r="E60" s="2"/>
      <x:c r="F60" s="2"/>
      <x:c r="G60" s="2"/>
      <x:c r="H60" s="2"/>
      <x:c r="I60" s="2" t="str">
        <x:v>Scooter age profile is lower, consistent with a 40–45% replacement mix.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21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21" customHeight="1">
      <x:c r="B62" s="2" t="str">
        <x:v>Extra age-10 replacement probability from GST cut</x:v>
      </x:c>
      <x:c r="C62" s="2"/>
      <x:c r="D62" s="11" t="n">
        <x:v>0.05</x:v>
      </x:c>
      <x:c r="E62" s="11" t="n">
        <x:v>0.03</x:v>
      </x:c>
      <x:c r="F62" s="11" t="n">
        <x:v>0.01</x:v>
      </x:c>
      <x:c r="G62" s="11" t="n">
        <x:v>0</x:v>
      </x:c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21" customHeight="1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21" customHeight="1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21" customHeight="1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21" customHeight="1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</x:sheetData>
  <x:pageMargins left="0.7" right="0.7" top="0.75" bottom="0.75" header="0.3" footer="0.3"/>
</x:worksheet>
</file>