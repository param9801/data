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oters_Current" sheetId="2" state="visible" r:id="rId4"/>
    <sheet name="Motorcycles_Current" sheetId="3" state="visible" r:id="rId5"/>
    <sheet name="Pipeline" sheetId="4" state="visible" r:id="rId6"/>
    <sheet name="Price_Band_Map" sheetId="5" state="visible" r:id="rId7"/>
    <sheet name="Company_Profiles" sheetId="6" state="visible" r:id="rId8"/>
    <sheet name="Volumes_MarketShare" sheetId="7" state="visible" r:id="rId9"/>
    <sheet name="Industry_Penetration" sheetId="8" state="visible" r:id="rId10"/>
    <sheet name="Supply_Chain_Barriers" sheetId="9" state="visible" r:id="rId11"/>
    <sheet name="Regulatory_Subsidy" sheetId="10" state="visible" r:id="rId12"/>
    <sheet name="BOM_Economics" sheetId="11" state="visible" r:id="rId13"/>
    <sheet name="Sources" sheetId="12" state="visible" r:id="rId14"/>
  </sheets>
  <definedNames>
    <definedName function="false" hidden="true" localSheetId="5" name="_xlnm._FilterDatabase" vbProcedure="false">Company_Profiles!$A$3:$R$20</definedName>
    <definedName function="false" hidden="true" localSheetId="2" name="_xlnm._FilterDatabase" vbProcedure="false">Motorcycles_Current!$A$3:$BE$32</definedName>
    <definedName function="false" hidden="true" localSheetId="3" name="_xlnm._FilterDatabase" vbProcedure="false">Pipeline!$A$3:$R$27</definedName>
    <definedName function="false" hidden="true" localSheetId="1" name="_xlnm._FilterDatabase" vbProcedure="false">Scooters_Current!$A$3:$BE$61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<sst xmlns="http://schemas.openxmlformats.org/spreadsheetml/2006/main" count="5138" uniqueCount="1855">
  <si>
    <t xml:space="preserve">INDIA ELECTRIC TWO-WHEELER — MODEL LANDSCAPE DATABASE</t>
  </si>
  <si>
    <t xml:space="preserve">Built for Bernstein India Autos. All data as of 25 August 2026 unless a cell states otherwise.</t>
  </si>
  <si>
    <t xml:space="preserve">PURPOSE</t>
  </si>
  <si>
    <t xml:space="preserve">A continuously usable model-level database of every meaningful electric two-wheeler on sale in India, plus the credible pipeline. Scooters and motorcycles are held on separate sheets because they are structurally different markets.</t>
  </si>
  <si>
    <t xml:space="preserve">SHEET GUIDE</t>
  </si>
  <si>
    <t xml:space="preserve">Scooters_Current</t>
  </si>
  <si>
    <t xml:space="preserve">Variant-level master for every e-scooter on sale. 58 variants across 26 brands. Filter-ready.</t>
  </si>
  <si>
    <t xml:space="preserve">Motorcycles_Current</t>
  </si>
  <si>
    <t xml:space="preserve">Variant-level master for every e-motorcycle on sale. 29 variants across 14 brands.</t>
  </si>
  <si>
    <t xml:space="preserve">Pipeline</t>
  </si>
  <si>
    <t xml:space="preserve">24 upcoming products with an explicit CONFIRMATION LEVEL on each. Read this column before modelling anything.</t>
  </si>
  <si>
    <t xml:space="preserve">Price_Band_Map</t>
  </si>
  <si>
    <t xml:space="preserve">Live COUNTIF map of how many products sit in each price band, scooters vs motorcycles. Shows crowded bands and white space.</t>
  </si>
  <si>
    <t xml:space="preserve">Company_Profiles</t>
  </si>
  <si>
    <t xml:space="preserve">Ownership, funding, financials, capacity, network, cell strategy and the identified moat for 18 players.</t>
  </si>
  <si>
    <t xml:space="preserve">Volumes_MarketShare</t>
  </si>
  <si>
    <t xml:space="preserve">Vahan registrations FY22-FY26 plus Jul-26, with live share and YoY formulas.</t>
  </si>
  <si>
    <t xml:space="preserve">Industry_Penetration</t>
  </si>
  <si>
    <t xml:space="preserve">Total e-2W volumes, total 2W volumes and EV penetration by year, with live formulas.</t>
  </si>
  <si>
    <t xml:space="preserve">Supply_Chain_Barriers</t>
  </si>
  <si>
    <t xml:space="preserve">Component-by-component assessment of what is outsourceable and what is not. This is the analytical core of the entry-barrier thesis.</t>
  </si>
  <si>
    <t xml:space="preserve">Regulatory_Subsidy</t>
  </si>
  <si>
    <t xml:space="preserve">PM E-DRIVE, GST 2.0, FAME-II clawback, AIS-156, PLI, rare-earth magnet scheme, state policies.</t>
  </si>
  <si>
    <t xml:space="preserve">BOM_Economics</t>
  </si>
  <si>
    <t xml:space="preserve">Cell and pack cost benchmarks with live INR conversion driven by one editable FX cell.</t>
  </si>
  <si>
    <t xml:space="preserve">Sources</t>
  </si>
  <si>
    <t xml:space="preserve">Master source list with as-of dates.</t>
  </si>
  <si>
    <t xml:space="preserve">CONFIRMATION / CONFIDENCE CODES</t>
  </si>
  <si>
    <t xml:space="preserve">HIGH</t>
  </si>
  <si>
    <t xml:space="preserve">Sourced from an OEM website, official press release, regulatory filing or Vahan. Use directly.</t>
  </si>
  <si>
    <t xml:space="preserve">MEDIUM</t>
  </si>
  <si>
    <t xml:space="preserve">Credible auto media or a specification aggregator, cross-checked where possible. Verify before publishing a number.</t>
  </si>
  <si>
    <t xml:space="preserve">LOW</t>
  </si>
  <si>
    <t xml:space="preserve">Single-source, aggregator-only, or a category where disclosure is poor. Treat as indicative only.</t>
  </si>
  <si>
    <t xml:space="preserve">PIPELINE CONFIRMATION LEVELS</t>
  </si>
  <si>
    <t xml:space="preserve">COMPANY-CONFIRMED</t>
  </si>
  <si>
    <t xml:space="preserve">Officially announced by the company with a product commitment.</t>
  </si>
  <si>
    <t xml:space="preserve">COMPANY-GUIDED WINDOW</t>
  </si>
  <si>
    <t xml:space="preserve">Company has stated a quarter or window but not a date.</t>
  </si>
  <si>
    <t xml:space="preserve">COMPANY-SIGNALLED</t>
  </si>
  <si>
    <t xml:space="preserve">Management commentary or investor material implies it; no formal launch commitment.</t>
  </si>
  <si>
    <t xml:space="preserve">MEDIA-REPORTED</t>
  </si>
  <si>
    <t xml:space="preserve">Credible media or a patent filing. Not a company commitment.</t>
  </si>
  <si>
    <t xml:space="preserve">SPECULATIVE</t>
  </si>
  <si>
    <t xml:space="preserve">Industry chatter or inference. Model zero volume.</t>
  </si>
  <si>
    <t xml:space="preserve">CRITICAL DATA CAVEATS — READ BEFORE USING</t>
  </si>
  <si>
    <t xml:space="preserve">1. Prices are in flux</t>
  </si>
  <si>
    <t xml:space="preserve">The PM E-DRIVE e-2W demand incentive (Rs2,500/kWh, cap Rs5,000) LAPSED on 31 July 2026. Ex-showroom prices observed in August 2026 are not comparable to launch prices quoted before that date. Both are captured in separate columns.</t>
  </si>
  <si>
    <t xml:space="preserve">2. Vahan is retail, not wholesale</t>
  </si>
  <si>
    <t xml:space="preserve">All volume data is Vahan retail registration. It differs from OEM dispatch. An MHI inquiry specifically probed discrepancies between Ola's reported sales and Vahan. Anchor to Vahan.</t>
  </si>
  <si>
    <t xml:space="preserve">3. Low-speed EVs are invisible</t>
  </si>
  <si>
    <t xml:space="preserve">Vehicles under 250W and 25 km/h need no registration and do NOT appear in Vahan. All industry volume figures therefore understate the true market.</t>
  </si>
  <si>
    <t xml:space="preserve">4. Range claims are certification figures</t>
  </si>
  <si>
    <t xml:space="preserve">IDC and ARAI numbers are test-cycle results. Real-world range is typically 60-75 per cent of claimed. A separate real-world estimate column is provided and is clearly marked as an estimate.</t>
  </si>
  <si>
    <t xml:space="preserve">5. Private-company financials</t>
  </si>
  <si>
    <t xml:space="preserve">River, Matter, Raptee, Simple and Ultraviolette figures are media-reported and largely unaudited.</t>
  </si>
  <si>
    <t xml:space="preserve">6. Aggregator price conflicts</t>
  </si>
  <si>
    <t xml:space="preserve">Where sources disagree materially (Suzuki e-Access, TVS iQube variant naming, Bajaj Chetak top speeds), the conflict is flagged in the Analyst notes column rather than silently resolved.</t>
  </si>
  <si>
    <t xml:space="preserve">HOW TO KEEP THIS CURRENT</t>
  </si>
  <si>
    <t xml:space="preserve">Monthly</t>
  </si>
  <si>
    <t xml:space="preserve">Update Volumes_MarketShare with the latest Vahan month. Share and YoY columns recalculate automatically.</t>
  </si>
  <si>
    <t xml:space="preserve">On launch</t>
  </si>
  <si>
    <t xml:space="preserve">Add a new row to the relevant Current sheet and delete the corresponding Pipeline row. Copy the calculated columns down.</t>
  </si>
  <si>
    <t xml:space="preserve">Quarterly</t>
  </si>
  <si>
    <t xml:space="preserve">Refresh Company_Profiles financials and BOM_Economics FX (cell C13 on that sheet, shown in blue).</t>
  </si>
  <si>
    <t xml:space="preserve">COLOUR CONVENTION</t>
  </si>
  <si>
    <t xml:space="preserve">Blue text = an editable input assumption. Yellow fill = a cell you should review and update. Everything else is either sourced data or a formula.</t>
  </si>
  <si>
    <t xml:space="preserve">ELECTRIC SCOOTERS — INDIA MODEL MASTER (VARIANT LEVEL)</t>
  </si>
  <si>
    <t xml:space="preserve">58 variants, 26 brands. Prices ex-showroom Delhi. PM E-DRIVE e-2W incentive lapsed 31-Jul-2026 — compare 'price at launch' and 'price latest' with care. Data as of 25-Aug-2026.</t>
  </si>
  <si>
    <t xml:space="preserve">ID</t>
  </si>
  <si>
    <t xml:space="preserve">OEM / parent</t>
  </si>
  <si>
    <t xml:space="preserve">Brand</t>
  </si>
  <si>
    <t xml:space="preserve">Model</t>
  </si>
  <si>
    <t xml:space="preserve">Variant</t>
  </si>
  <si>
    <t xml:space="preserve">Status</t>
  </si>
  <si>
    <t xml:space="preserve">Launch (M-Y)</t>
  </si>
  <si>
    <t xml:space="preserve">Positioning tier</t>
  </si>
  <si>
    <t xml:space="preserve">Price at launch (Rs, ex-shwr)</t>
  </si>
  <si>
    <t xml:space="preserve">Price latest (Rs, ex-shwr Delhi)</t>
  </si>
  <si>
    <t xml:space="preserve">Price as-of</t>
  </si>
  <si>
    <t xml:space="preserve">BaaS / subscription price</t>
  </si>
  <si>
    <t xml:space="preserve">Battery (kWh)</t>
  </si>
  <si>
    <t xml:space="preserve">Battery type</t>
  </si>
  <si>
    <t xml:space="preserve">Chemistry</t>
  </si>
  <si>
    <t xml:space="preserve">Cell sourcing</t>
  </si>
  <si>
    <t xml:space="preserve">Motor type / drive</t>
  </si>
  <si>
    <t xml:space="preserve">Peak power (kW)</t>
  </si>
  <si>
    <t xml:space="preserve">Torque (Nm)</t>
  </si>
  <si>
    <t xml:space="preserve">Top speed (km/h)</t>
  </si>
  <si>
    <t xml:space="preserve">0-40 km/h (s)</t>
  </si>
  <si>
    <t xml:space="preserve">Claimed range (km)</t>
  </si>
  <si>
    <t xml:space="preserve">Range cycle</t>
  </si>
  <si>
    <t xml:space="preserve">Real-world range est. (km)</t>
  </si>
  <si>
    <t xml:space="preserve">Charger (W)</t>
  </si>
  <si>
    <t xml:space="preserve">Charge time 0-80%</t>
  </si>
  <si>
    <t xml:space="preserve">Fast charge / network</t>
  </si>
  <si>
    <t xml:space="preserve">Kerb weight (kg)</t>
  </si>
  <si>
    <t xml:space="preserve">Length (mm)</t>
  </si>
  <si>
    <t xml:space="preserve">Width (mm)</t>
  </si>
  <si>
    <t xml:space="preserve">Height (mm)</t>
  </si>
  <si>
    <t xml:space="preserve">Wheelbase (mm)</t>
  </si>
  <si>
    <t xml:space="preserve">Ground clearance (mm)</t>
  </si>
  <si>
    <t xml:space="preserve">Seat height (mm)</t>
  </si>
  <si>
    <t xml:space="preserve">Boot space (litres)</t>
  </si>
  <si>
    <t xml:space="preserve">Wheels / tyres</t>
  </si>
  <si>
    <t xml:space="preserve">Brakes (F/R)</t>
  </si>
  <si>
    <t xml:space="preserve">ABS / CBS</t>
  </si>
  <si>
    <t xml:space="preserve">Display</t>
  </si>
  <si>
    <t xml:space="preserve">Connectivity</t>
  </si>
  <si>
    <t xml:space="preserve">Ride modes</t>
  </si>
  <si>
    <t xml:space="preserve">Reverse</t>
  </si>
  <si>
    <t xml:space="preserve">OTA updates</t>
  </si>
  <si>
    <t xml:space="preserve">Other key features</t>
  </si>
  <si>
    <t xml:space="preserve">IP rating</t>
  </si>
  <si>
    <t xml:space="preserve">Vehicle warranty</t>
  </si>
  <si>
    <t xml:space="preserve">Battery warranty</t>
  </si>
  <si>
    <t xml:space="preserve">Platform</t>
  </si>
  <si>
    <t xml:space="preserve">Manufacturing / localisation</t>
  </si>
  <si>
    <t xml:space="preserve">Key differentiator</t>
  </si>
  <si>
    <t xml:space="preserve">Rs per kWh (calc)</t>
  </si>
  <si>
    <t xml:space="preserve">km per kWh (calc)</t>
  </si>
  <si>
    <t xml:space="preserve">Price band (calc)</t>
  </si>
  <si>
    <t xml:space="preserve">Data confidence</t>
  </si>
  <si>
    <t xml:space="preserve">Source 1</t>
  </si>
  <si>
    <t xml:space="preserve">Source 2</t>
  </si>
  <si>
    <t xml:space="preserve">Analyst notes</t>
  </si>
  <si>
    <t xml:space="preserve">S001</t>
  </si>
  <si>
    <t xml:space="preserve">Ather Energy (listed: ATHERENERG)</t>
  </si>
  <si>
    <t xml:space="preserve">Ather</t>
  </si>
  <si>
    <t xml:space="preserve">Rizta</t>
  </si>
  <si>
    <t xml:space="preserve">S 2.9 kWh</t>
  </si>
  <si>
    <t xml:space="preserve">On sale</t>
  </si>
  <si>
    <t xml:space="preserve">Apr-2024</t>
  </si>
  <si>
    <t xml:space="preserve">Mass / family</t>
  </si>
  <si>
    <t xml:space="preserve">Aug-2026</t>
  </si>
  <si>
    <t xml:space="preserve">n/a</t>
  </si>
  <si>
    <t xml:space="preserve">Fixed</t>
  </si>
  <si>
    <t xml:space="preserve">Li-ion NMC</t>
  </si>
  <si>
    <t xml:space="preserve">Imported cells (LG/Samsung SDI class) — pack assembled in-house</t>
  </si>
  <si>
    <t xml:space="preserve">PMSM, belt drive</t>
  </si>
  <si>
    <t xml:space="preserve">IDC</t>
  </si>
  <si>
    <t xml:space="preserve">~4h30m (Duo charger)</t>
  </si>
  <si>
    <t xml:space="preserve">Ather Grid fast charging (6,100+ points)</t>
  </si>
  <si>
    <t xml:space="preserve">12-inch alloy, tubeless</t>
  </si>
  <si>
    <t xml:space="preserve">Disc front / Drum rear</t>
  </si>
  <si>
    <t xml:space="preserve">CBS</t>
  </si>
  <si>
    <t xml:space="preserve">7-inch LCD DeepView</t>
  </si>
  <si>
    <t xml:space="preserve">4G LTE + Bluetooth; AtherStack 7.0</t>
  </si>
  <si>
    <t xml:space="preserve">Yes</t>
  </si>
  <si>
    <t xml:space="preserve">Auto-hold, reverse, Alexa skill, crash/fall alert, pillion backrest optional</t>
  </si>
  <si>
    <t xml:space="preserve">IP67 (pack) / IP65 (dash)</t>
  </si>
  <si>
    <t xml:space="preserve">3 yr / 30,000 km</t>
  </si>
  <si>
    <t xml:space="preserve">3 yr std; 5 yr/60,000 km with Pro Pack (8 yr extended optional)</t>
  </si>
  <si>
    <t xml:space="preserve">Rizta / 450 shared architecture</t>
  </si>
  <si>
    <t xml:space="preserve">PLI-certified; high stated localisation</t>
  </si>
  <si>
    <t xml:space="preserve">Family-scooter pivot from performance brand; largest boot + AtherStack software</t>
  </si>
  <si>
    <t xml:space="preserve">atherenergy.com/rizta (Aug-2026)</t>
  </si>
  <si>
    <t xml:space="preserve">91wheels / ZigWheels specs (Aug-2026)</t>
  </si>
  <si>
    <t xml:space="preserve">~70% of Ather volume. 3 lakh+ Rizta cumulative units reported by FADA/press Apr-2026.</t>
  </si>
  <si>
    <t xml:space="preserve">S002</t>
  </si>
  <si>
    <t xml:space="preserve">Ather Energy</t>
  </si>
  <si>
    <t xml:space="preserve">Z 2.9 kWh</t>
  </si>
  <si>
    <t xml:space="preserve">In-house pack</t>
  </si>
  <si>
    <t xml:space="preserve">~4h30m</t>
  </si>
  <si>
    <t xml:space="preserve">Ather Grid</t>
  </si>
  <si>
    <t xml:space="preserve">7-inch TFT DeepView touchscreen</t>
  </si>
  <si>
    <t xml:space="preserve">4G LTE, navigation, voice alerts</t>
  </si>
  <si>
    <t xml:space="preserve">Magic Twist regen, pillion backrest, Alexa</t>
  </si>
  <si>
    <t xml:space="preserve">IP67 / IP65</t>
  </si>
  <si>
    <t xml:space="preserve">3 yr std; 5 yr/60,000 km w/ Pro Pack</t>
  </si>
  <si>
    <t xml:space="preserve">PLI-certified</t>
  </si>
  <si>
    <t xml:space="preserve">Touchscreen + connected feature ladder over S</t>
  </si>
  <si>
    <t xml:space="preserve">Autocar India variant page (Apr-2026)</t>
  </si>
  <si>
    <t xml:space="preserve">Ather spec sheet</t>
  </si>
  <si>
    <t xml:space="preserve">Autocar lists on-road Delhi Rs1.48L for Z 2.9; ex-showroom estimated.</t>
  </si>
  <si>
    <t xml:space="preserve">S003</t>
  </si>
  <si>
    <t xml:space="preserve">S 3.7 kWh</t>
  </si>
  <si>
    <t xml:space="preserve">2025</t>
  </si>
  <si>
    <t xml:space="preserve">~5h15m</t>
  </si>
  <si>
    <t xml:space="preserve">12-inch alloy</t>
  </si>
  <si>
    <t xml:space="preserve">4G LTE + Bluetooth</t>
  </si>
  <si>
    <t xml:space="preserve">Auto-hold, reverse</t>
  </si>
  <si>
    <t xml:space="preserve">Long-range family variant</t>
  </si>
  <si>
    <t xml:space="preserve">Autocar India (Apr-2026)</t>
  </si>
  <si>
    <t xml:space="preserve">ZigWheels (Aug-2026)</t>
  </si>
  <si>
    <t xml:space="preserve">On-road Delhi Rs1.52L per Autocar.</t>
  </si>
  <si>
    <t xml:space="preserve">S004</t>
  </si>
  <si>
    <t xml:space="preserve">Z 3.7 kWh</t>
  </si>
  <si>
    <t xml:space="preserve">7-inch TFT touchscreen</t>
  </si>
  <si>
    <t xml:space="preserve">4G LTE, nav, voice</t>
  </si>
  <si>
    <t xml:space="preserve">Magic Twist, Alexa, crash alert; Stack Pro pack option</t>
  </si>
  <si>
    <t xml:space="preserve">3 yr std; 5 yr/60,000 km w/ Pro Pack (8 yr optional)</t>
  </si>
  <si>
    <t xml:space="preserve">Top family variant; Stack Pro software bundle</t>
  </si>
  <si>
    <t xml:space="preserve">ZigWheels lists Z Stack Pro at Rs1.80-1.84L</t>
  </si>
  <si>
    <t xml:space="preserve">Software subscription (Pro/Stack Pro) is a recurring-revenue lever — watch attach rate.</t>
  </si>
  <si>
    <t xml:space="preserve">S005</t>
  </si>
  <si>
    <t xml:space="preserve">450S</t>
  </si>
  <si>
    <t xml:space="preserve">2.9 kWh</t>
  </si>
  <si>
    <t xml:space="preserve">2023</t>
  </si>
  <si>
    <t xml:space="preserve">Premium performance</t>
  </si>
  <si>
    <t xml:space="preserve">~5h30m</t>
  </si>
  <si>
    <t xml:space="preserve">Disc front / Disc rear</t>
  </si>
  <si>
    <t xml:space="preserve">7-inch LCD</t>
  </si>
  <si>
    <t xml:space="preserve">Bluetooth + 4G</t>
  </si>
  <si>
    <t xml:space="preserve">Regen, auto-hold</t>
  </si>
  <si>
    <t xml:space="preserve">IP67</t>
  </si>
  <si>
    <t xml:space="preserve">3 yr std</t>
  </si>
  <si>
    <t xml:space="preserve">450 platform</t>
  </si>
  <si>
    <t xml:space="preserve">Entry into the 450 performance line</t>
  </si>
  <si>
    <t xml:space="preserve">BikeWale price list (Aug-2026)</t>
  </si>
  <si>
    <t xml:space="preserve">S006</t>
  </si>
  <si>
    <t xml:space="preserve">450X</t>
  </si>
  <si>
    <t xml:space="preserve">2.9 / 3.7 kWh</t>
  </si>
  <si>
    <t xml:space="preserve">2020 (gen updates to 2025)</t>
  </si>
  <si>
    <t xml:space="preserve">~4h30m (fast charge to 80%)</t>
  </si>
  <si>
    <t xml:space="preserve">Ather Grid DC fast charge</t>
  </si>
  <si>
    <t xml:space="preserve">Disc / Disc</t>
  </si>
  <si>
    <t xml:space="preserve">4G, nav, AtherStack</t>
  </si>
  <si>
    <t xml:space="preserve">Warp mode, traction control, Magic Twist, Alexa</t>
  </si>
  <si>
    <t xml:space="preserve">3 yr std; extended options</t>
  </si>
  <si>
    <t xml:space="preserve">Original premium-performance halo product; deepest software stack in segment</t>
  </si>
  <si>
    <t xml:space="preserve">BikeWale (Aug-2026)</t>
  </si>
  <si>
    <t xml:space="preserve">Cited by ZigWheels as one of India's 3 most popular e-scooters.</t>
  </si>
  <si>
    <t xml:space="preserve">S007</t>
  </si>
  <si>
    <t xml:space="preserve">450 Apex</t>
  </si>
  <si>
    <t xml:space="preserve">3.7 kWh</t>
  </si>
  <si>
    <t xml:space="preserve">Jan-2024</t>
  </si>
  <si>
    <t xml:space="preserve">Halo performance</t>
  </si>
  <si>
    <t xml:space="preserve">4G, nav, full AtherStack</t>
  </si>
  <si>
    <t xml:space="preserve">Warp+ mode, magnesium parts, translucent bodywork</t>
  </si>
  <si>
    <t xml:space="preserve">Halo / brand-building variant; limited volume</t>
  </si>
  <si>
    <t xml:space="preserve">Ather press release (Jan-2024)</t>
  </si>
  <si>
    <t xml:space="preserve">Autocar India</t>
  </si>
  <si>
    <t xml:space="preserve">Low-volume halo; matters for brand pricing power, not for volume forecasting.</t>
  </si>
  <si>
    <t xml:space="preserve">S008</t>
  </si>
  <si>
    <t xml:space="preserve">TVS Motor Company (listed: TVSMOTOR)</t>
  </si>
  <si>
    <t xml:space="preserve">TVS</t>
  </si>
  <si>
    <t xml:space="preserve">iQube</t>
  </si>
  <si>
    <t xml:space="preserve">2.2 kWh</t>
  </si>
  <si>
    <t xml:space="preserve">2022 (variant)</t>
  </si>
  <si>
    <t xml:space="preserve">Entry mass</t>
  </si>
  <si>
    <t xml:space="preserve">BaaS option from Mar-2026</t>
  </si>
  <si>
    <t xml:space="preserve">Li-ion</t>
  </si>
  <si>
    <t xml:space="preserve">Imported cells; pack assembled in-house</t>
  </si>
  <si>
    <t xml:space="preserve">BLDC hub</t>
  </si>
  <si>
    <t xml:space="preserve">2h45m-2h50m (0-80%)</t>
  </si>
  <si>
    <t xml:space="preserve">No DC fast charge</t>
  </si>
  <si>
    <t xml:space="preserve">Drum / Drum</t>
  </si>
  <si>
    <t xml:space="preserve">5-inch TFT</t>
  </si>
  <si>
    <t xml:space="preserve">Bluetooth, SmartXonnect, OTA, geofencing</t>
  </si>
  <si>
    <t xml:space="preserve">Regen braking, Q-Park reverse, 118 connected features (higher trims)</t>
  </si>
  <si>
    <t xml:space="preserve">IP67 (AIS-156 certified)</t>
  </si>
  <si>
    <t xml:space="preserve">3 yr / 50,000 km</t>
  </si>
  <si>
    <t xml:space="preserve">3 yr (2 yr extended optional)</t>
  </si>
  <si>
    <t xml:space="preserve">iQube platform</t>
  </si>
  <si>
    <t xml:space="preserve">High localisation; PLI-linked</t>
  </si>
  <si>
    <t xml:space="preserve">Cheapest route into India's largest 2W service network (TVS)</t>
  </si>
  <si>
    <t xml:space="preserve">tvsmotor.com spec pages</t>
  </si>
  <si>
    <t xml:space="preserve">TVS = FY26 e-2W market leader, 341,513 units. Sources differ on 2.2 vs 2.3 kWh nameplate.</t>
  </si>
  <si>
    <t xml:space="preserve">S009</t>
  </si>
  <si>
    <t xml:space="preserve">TVS Motor Company</t>
  </si>
  <si>
    <t xml:space="preserve">3.1 kWh</t>
  </si>
  <si>
    <t xml:space="preserve">Mass</t>
  </si>
  <si>
    <t xml:space="preserve">~4h00m (0-80%)</t>
  </si>
  <si>
    <t xml:space="preserve">No</t>
  </si>
  <si>
    <t xml:space="preserve">Disc / Drum</t>
  </si>
  <si>
    <t xml:space="preserve">SmartXonnect, OTA, Alexa skill</t>
  </si>
  <si>
    <t xml:space="preserve">Q-Park reverse, crash/fall/anti-theft alert</t>
  </si>
  <si>
    <t xml:space="preserve">IP67 / AIS-156</t>
  </si>
  <si>
    <t xml:space="preserve">3 yr</t>
  </si>
  <si>
    <t xml:space="preserve">High localisation</t>
  </si>
  <si>
    <t xml:space="preserve">Volume sweet spot of the iQube ladder</t>
  </si>
  <si>
    <t xml:space="preserve">91wheels (Aug-2026)</t>
  </si>
  <si>
    <t xml:space="preserve">S010</t>
  </si>
  <si>
    <t xml:space="preserve">3.5 kWh</t>
  </si>
  <si>
    <t xml:space="preserve">2024</t>
  </si>
  <si>
    <t xml:space="preserve">~4h30m-4h40m (0-80%)</t>
  </si>
  <si>
    <t xml:space="preserve">SmartXonnect, 118 connected features, Alexa</t>
  </si>
  <si>
    <t xml:space="preserve">Fits 2 helmets, USB port, crash/fall alert</t>
  </si>
  <si>
    <t xml:space="preserve">Long-range mass variant</t>
  </si>
  <si>
    <t xml:space="preserve">tvsmotor.com iQube 3.5 kWh page</t>
  </si>
  <si>
    <t xml:space="preserve">Autocar India (Aug-2026)</t>
  </si>
  <si>
    <t xml:space="preserve">Autocar reader Q&amp;A flags no fast-charge support as a purchase objection.</t>
  </si>
  <si>
    <t xml:space="preserve">S011</t>
  </si>
  <si>
    <t xml:space="preserve">MillionR Special Edition</t>
  </si>
  <si>
    <t xml:space="preserve">~4h</t>
  </si>
  <si>
    <t xml:space="preserve">SmartXonnect</t>
  </si>
  <si>
    <t xml:space="preserve">Commemorative 1-million-EV edition trim</t>
  </si>
  <si>
    <t xml:space="preserve">Milestone edition — marketing-led differentiation</t>
  </si>
  <si>
    <t xml:space="preserve">S012</t>
  </si>
  <si>
    <t xml:space="preserve">S 4.7 kWh</t>
  </si>
  <si>
    <t xml:space="preserve">Upper-mass</t>
  </si>
  <si>
    <t xml:space="preserve">~3h00m (0-80%)</t>
  </si>
  <si>
    <t xml:space="preserve">12.7 cm (5-inch) TFT</t>
  </si>
  <si>
    <t xml:space="preserve">SmartXonnect, OTA</t>
  </si>
  <si>
    <t xml:space="preserve">Q-Park, regen</t>
  </si>
  <si>
    <t xml:space="preserve">Bridges mass iQube to flagship ST</t>
  </si>
  <si>
    <t xml:space="preserve">Claimed range not consistently disclosed across sources.</t>
  </si>
  <si>
    <t xml:space="preserve">S013</t>
  </si>
  <si>
    <t xml:space="preserve">ST 5.3 kWh</t>
  </si>
  <si>
    <t xml:space="preserve">Flagship</t>
  </si>
  <si>
    <t xml:space="preserve">IDC (older 212 km claim withdrawn)</t>
  </si>
  <si>
    <t xml:space="preserve">4h18m (0-80%)</t>
  </si>
  <si>
    <t xml:space="preserve">17.78 cm (7-inch) touchscreen</t>
  </si>
  <si>
    <t xml:space="preserve">SmartXonnect, nav, Alexa, OTA</t>
  </si>
  <si>
    <t xml:space="preserve">Largest pack in TVS range; TPMS on some trims</t>
  </si>
  <si>
    <t xml:space="preserve">TVS's long-range flagship; competes with Ather 450X / Ola S1 Pro</t>
  </si>
  <si>
    <t xml:space="preserve">Range claim revised: 212 km (launch marketing) vs ~175 km IDC now cited. Treat 175 km as the working figure.</t>
  </si>
  <si>
    <t xml:space="preserve">S014</t>
  </si>
  <si>
    <t xml:space="preserve">Orbiter</t>
  </si>
  <si>
    <t xml:space="preserve">V1 / V2</t>
  </si>
  <si>
    <t xml:space="preserve">Mar-2026</t>
  </si>
  <si>
    <t xml:space="preserve">Entry urban</t>
  </si>
  <si>
    <t xml:space="preserve">From Rs49,999 on BaaS</t>
  </si>
  <si>
    <t xml:space="preserve">12-inch</t>
  </si>
  <si>
    <t xml:space="preserve">LCD</t>
  </si>
  <si>
    <t xml:space="preserve">Bluetooth, basic connectivity</t>
  </si>
  <si>
    <t xml:space="preserve">33L storage; BaaS-led pricing to undercut ICE</t>
  </si>
  <si>
    <t xml:space="preserve">New entry platform</t>
  </si>
  <si>
    <t xml:space="preserve">TVS's sub-Rs1L volume weapon; BaaS pricing attacks the ICE price gap directly</t>
  </si>
  <si>
    <t xml:space="preserve">ZigWheels Orbiter V1 vs V2 (Mar-2026)</t>
  </si>
  <si>
    <t xml:space="preserve">Key competitive datapoint: first credible sub-Rs50k effective entry price from a top-4 OEM.</t>
  </si>
  <si>
    <t xml:space="preserve">S015</t>
  </si>
  <si>
    <t xml:space="preserve">X</t>
  </si>
  <si>
    <t xml:space="preserve">4.4 kWh</t>
  </si>
  <si>
    <t xml:space="preserve">Premium crossover</t>
  </si>
  <si>
    <t xml:space="preserve">PMSM</t>
  </si>
  <si>
    <t xml:space="preserve">~3h (0-80%)</t>
  </si>
  <si>
    <t xml:space="preserve">14/12-inch</t>
  </si>
  <si>
    <t xml:space="preserve">Dual-channel</t>
  </si>
  <si>
    <t xml:space="preserve">10.2-inch TFT touchscreen</t>
  </si>
  <si>
    <t xml:space="preserve">4G, nav, OTA</t>
  </si>
  <si>
    <t xml:space="preserve">Largest display in segment; premium crossover positioning</t>
  </si>
  <si>
    <t xml:space="preserve">TVS X platform</t>
  </si>
  <si>
    <t xml:space="preserve">TVS's differentiated premium niche play — low volume, high ASP</t>
  </si>
  <si>
    <t xml:space="preserve">TVS press material / Autocar India</t>
  </si>
  <si>
    <t xml:space="preserve">Niche-thesis exhibit: differentiated premium positioning has NOT scaled volumes.</t>
  </si>
  <si>
    <t xml:space="preserve">S016</t>
  </si>
  <si>
    <t xml:space="preserve">Bajaj Auto (listed: BAJAJ-AUTO)</t>
  </si>
  <si>
    <t xml:space="preserve">Bajaj</t>
  </si>
  <si>
    <t xml:space="preserve">Chetak</t>
  </si>
  <si>
    <t xml:space="preserve">2501</t>
  </si>
  <si>
    <t xml:space="preserve">Jan-2026</t>
  </si>
  <si>
    <t xml:space="preserve">Entry</t>
  </si>
  <si>
    <t xml:space="preserve">Negative LCD</t>
  </si>
  <si>
    <t xml:space="preserve">Bluetooth (TecPac optional)</t>
  </si>
  <si>
    <t xml:space="preserve">All-metal body; IP67; TecPac add-on from Rs4,000 + data pack</t>
  </si>
  <si>
    <t xml:space="preserve">5 yr / 70,000 km (35-series claim)</t>
  </si>
  <si>
    <t xml:space="preserve">Chetak 25/30 series</t>
  </si>
  <si>
    <t xml:space="preserve">Cheapest entry into an all-metal, dealer-backed Chetak</t>
  </si>
  <si>
    <t xml:space="preserve">carhp.in variant explainer (Sep-2025)</t>
  </si>
  <si>
    <t xml:space="preserve">Bajaj Chetak.com</t>
  </si>
  <si>
    <t xml:space="preserve">Price flagged MEDIUM: PM E-DRIVE incentive lapsed 31-Jul-2026, prices in flux.</t>
  </si>
  <si>
    <t xml:space="preserve">S017</t>
  </si>
  <si>
    <t xml:space="preserve">Bajaj Auto</t>
  </si>
  <si>
    <t xml:space="preserve">3001</t>
  </si>
  <si>
    <t xml:space="preserve">Entry-mid</t>
  </si>
  <si>
    <t xml:space="preserve">3h50m (0-80%)</t>
  </si>
  <si>
    <t xml:space="preserve">Bluetooth phone connectivity</t>
  </si>
  <si>
    <t xml:space="preserve">All-metal body, best-in-class 35L boot</t>
  </si>
  <si>
    <t xml:space="preserve">5 yr / 70,000 km</t>
  </si>
  <si>
    <t xml:space="preserve">Chetak 30 series</t>
  </si>
  <si>
    <t xml:space="preserve">Metal-body durability pitch at the Rs1L price point</t>
  </si>
  <si>
    <t xml:space="preserve">Autocar India variant explainer</t>
  </si>
  <si>
    <t xml:space="preserve">chetak.com</t>
  </si>
  <si>
    <t xml:space="preserve">S018</t>
  </si>
  <si>
    <t xml:space="preserve">3503</t>
  </si>
  <si>
    <t xml:space="preserve">3h25m (0-80%)</t>
  </si>
  <si>
    <t xml:space="preserve">Bluetooth, handlebar music control, call/SMS alerts</t>
  </si>
  <si>
    <t xml:space="preserve">Hill-hold, all-metal body, 35L boot</t>
  </si>
  <si>
    <t xml:space="preserve">Chetak 35 series</t>
  </si>
  <si>
    <t xml:space="preserve">Best range-per-rupee in the Chetak ladder</t>
  </si>
  <si>
    <t xml:space="preserve">chetak.com/series-35/chetak-c3503</t>
  </si>
  <si>
    <t xml:space="preserve">Autocar India (Jul-2026)</t>
  </si>
  <si>
    <t xml:space="preserve">Top speed cited variously as 63 and 70 km/h — Bajaj site says 70 km/h.</t>
  </si>
  <si>
    <t xml:space="preserve">S019</t>
  </si>
  <si>
    <t xml:space="preserve">3502</t>
  </si>
  <si>
    <t xml:space="preserve">TFT with app connectivity</t>
  </si>
  <si>
    <t xml:space="preserve">Bluetooth + TecPac (overspeed alert, guide-me-home, immobiliser, music)</t>
  </si>
  <si>
    <t xml:space="preserve">Front disc; TFT dash</t>
  </si>
  <si>
    <t xml:space="preserve">Feature step-up variant</t>
  </si>
  <si>
    <t xml:space="preserve">chetak.com/series-35/chetak-c3502</t>
  </si>
  <si>
    <t xml:space="preserve">Chetak.com quotes 80 km/h top speed for 3502 vs Autocar's 73 km/h — verify.</t>
  </si>
  <si>
    <t xml:space="preserve">S020</t>
  </si>
  <si>
    <t xml:space="preserve">3501</t>
  </si>
  <si>
    <t xml:space="preserve">Upper-mass flagship</t>
  </si>
  <si>
    <t xml:space="preserve">3h00m (0-80%)</t>
  </si>
  <si>
    <t xml:space="preserve">TFT touchscreen</t>
  </si>
  <si>
    <t xml:space="preserve">Bluetooth, TecPac, sequential indicators</t>
  </si>
  <si>
    <t xml:space="preserve">Keyless ignition, sequential indicators, fastest-charging Chetak</t>
  </si>
  <si>
    <t xml:space="preserve">Chetak flagship; all-metal body remains the brand's structural differentiator</t>
  </si>
  <si>
    <t xml:space="preserve">Bajaj FY26: 289,349 units, #2 in India.</t>
  </si>
  <si>
    <t xml:space="preserve">S021</t>
  </si>
  <si>
    <t xml:space="preserve">Ola Electric (listed: OLAELEC)</t>
  </si>
  <si>
    <t xml:space="preserve">Ola Electric</t>
  </si>
  <si>
    <t xml:space="preserve">S1 X</t>
  </si>
  <si>
    <t xml:space="preserve">2 kWh Gen 3</t>
  </si>
  <si>
    <t xml:space="preserve">Li-ion (4680 cylindrical on select trims)</t>
  </si>
  <si>
    <t xml:space="preserve">Ola in-house 4680 Bharat Cell (Krishnagiri) + imported</t>
  </si>
  <si>
    <t xml:space="preserve">Mid-drive IPM</t>
  </si>
  <si>
    <t xml:space="preserve">Ola Hypercharger network</t>
  </si>
  <si>
    <t xml:space="preserve">MoveOS, Bluetooth</t>
  </si>
  <si>
    <t xml:space="preserve">MoveOS OTA platform</t>
  </si>
  <si>
    <t xml:space="preserve">Gen 3</t>
  </si>
  <si>
    <t xml:space="preserve">In-house cell + motor (ferrite, rare-earth-free on newer trims)</t>
  </si>
  <si>
    <t xml:space="preserve">Lowest sticker price among the top-5 OEMs</t>
  </si>
  <si>
    <t xml:space="preserve">Ola Electric price list / BikeDekho (Aug-2026)</t>
  </si>
  <si>
    <t xml:space="preserve">Ola FY26 volumes fell 52% to 164,295. Treat all Ola pricing as promotional and volatile.</t>
  </si>
  <si>
    <t xml:space="preserve">S022</t>
  </si>
  <si>
    <t xml:space="preserve">3 kWh Gen 3</t>
  </si>
  <si>
    <t xml:space="preserve">Ola Hypercharger</t>
  </si>
  <si>
    <t xml:space="preserve">MoveOS</t>
  </si>
  <si>
    <t xml:space="preserve">Volume entry variant</t>
  </si>
  <si>
    <t xml:space="preserve">BikeDekho / aggregator listings (Aug-2026)</t>
  </si>
  <si>
    <t xml:space="preserve">Spec disclosure inconsistent across sources.</t>
  </si>
  <si>
    <t xml:space="preserve">S023</t>
  </si>
  <si>
    <t xml:space="preserve">4 kWh Gen 3</t>
  </si>
  <si>
    <t xml:space="preserve">Mid</t>
  </si>
  <si>
    <t xml:space="preserve">Longest range at the sub-Rs1.2L price point on claimed figures</t>
  </si>
  <si>
    <t xml:space="preserve">Aggregator listings (Aug-2026)</t>
  </si>
  <si>
    <t xml:space="preserve">242 km IDC claim is an outlier; real-world expected c.55-60% of claim.</t>
  </si>
  <si>
    <t xml:space="preserve">S024</t>
  </si>
  <si>
    <t xml:space="preserve">S1 Pro</t>
  </si>
  <si>
    <t xml:space="preserve">Jan-2025</t>
  </si>
  <si>
    <t xml:space="preserve">Premium</t>
  </si>
  <si>
    <t xml:space="preserve">7h15m (0-80%, std charger)</t>
  </si>
  <si>
    <t xml:space="preserve">12-inch (90/90-12)</t>
  </si>
  <si>
    <t xml:space="preserve">MoveOS, 4G, nav, OTA</t>
  </si>
  <si>
    <t xml:space="preserve">Cruise control, traction control, reverse, hill hold</t>
  </si>
  <si>
    <t xml:space="preserve">In-house motor and (on some trims) 4680 cell</t>
  </si>
  <si>
    <t xml:space="preserve">Highest claimed top speed among mass e-scooters</t>
  </si>
  <si>
    <t xml:space="preserve">BikeDekho (Aug-2026)</t>
  </si>
  <si>
    <t xml:space="preserve">ZigWheels (updated 31-Jul-2026)</t>
  </si>
  <si>
    <t xml:space="preserve">Charging time (7h15m) is the weakest in the premium set — a real competitive liability.</t>
  </si>
  <si>
    <t xml:space="preserve">S025</t>
  </si>
  <si>
    <t xml:space="preserve">~6h30m</t>
  </si>
  <si>
    <t xml:space="preserve">Dual ABS on some trims</t>
  </si>
  <si>
    <t xml:space="preserve">Cruise control, traction control, hill hold</t>
  </si>
  <si>
    <t xml:space="preserve">Spec-sheet leader on power and claimed range</t>
  </si>
  <si>
    <t xml:space="preserve">BikeWale (Apr-2026)</t>
  </si>
  <si>
    <t xml:space="preserve">S026</t>
  </si>
  <si>
    <t xml:space="preserve">S1 Pro+</t>
  </si>
  <si>
    <t xml:space="preserve">4 kWh</t>
  </si>
  <si>
    <t xml:space="preserve">Premium+</t>
  </si>
  <si>
    <t xml:space="preserve">7-inch TFT</t>
  </si>
  <si>
    <t xml:space="preserve">MoveOS 5</t>
  </si>
  <si>
    <t xml:space="preserve">Brake-by-wire on select trims</t>
  </si>
  <si>
    <t xml:space="preserve">Performance flagship scooter</t>
  </si>
  <si>
    <t xml:space="preserve">S027</t>
  </si>
  <si>
    <t xml:space="preserve">5.2 kWh</t>
  </si>
  <si>
    <t xml:space="preserve">2025 (repriced Sankalp 2025)</t>
  </si>
  <si>
    <t xml:space="preserve">Premium+ flagship</t>
  </si>
  <si>
    <t xml:space="preserve">Li-ion 4680 cylindrical</t>
  </si>
  <si>
    <t xml:space="preserve">Ola in-house 4680 Bharat Cell (mass deliveries from Nov-2025)</t>
  </si>
  <si>
    <t xml:space="preserve">Mid-drive IPM (ferrite, rare-earth-free)</t>
  </si>
  <si>
    <t xml:space="preserve">MoveOS 5, 4G, nav</t>
  </si>
  <si>
    <t xml:space="preserve">4680 Bharat Cell; ferrite motor hedges rare-earth risk</t>
  </si>
  <si>
    <t xml:space="preserve">Deepest vertical integration in Indian e-2W (cells + motor in-house)</t>
  </si>
  <si>
    <t xml:space="preserve">The clearest test of whether cell vertical integration creates a moat</t>
  </si>
  <si>
    <t xml:space="preserve">Ola Sankalp 2025 announcements</t>
  </si>
  <si>
    <t xml:space="preserve">thebikejunction / BikeWale (Aug-2026)</t>
  </si>
  <si>
    <t xml:space="preserve">THESIS-CRITICAL: Ola integrated deepest and lost the most share. Vertical integration did not protect it.</t>
  </si>
  <si>
    <t xml:space="preserve">S028</t>
  </si>
  <si>
    <t xml:space="preserve">Hero MotoCorp (listed: HEROMOTOCO)</t>
  </si>
  <si>
    <t xml:space="preserve">Vida</t>
  </si>
  <si>
    <t xml:space="preserve">VX2</t>
  </si>
  <si>
    <t xml:space="preserve">Go 2.2 kWh</t>
  </si>
  <si>
    <t xml:space="preserve">Jul-2025</t>
  </si>
  <si>
    <t xml:space="preserve">From Rs59,490 (BaaS)</t>
  </si>
  <si>
    <t xml:space="preserve">Removable (1 pack)</t>
  </si>
  <si>
    <t xml:space="preserve">3h07m (0-80%); 1h41m with 1,000W RQ charger</t>
  </si>
  <si>
    <t xml:space="preserve">5,900+ public fast-charging points (Vida network)</t>
  </si>
  <si>
    <t xml:space="preserve">Bluetooth, keyless</t>
  </si>
  <si>
    <t xml:space="preserve">Removable IP67 batteries — key differentiator for apartment dwellers</t>
  </si>
  <si>
    <t xml:space="preserve">VX2 platform</t>
  </si>
  <si>
    <t xml:space="preserve">Removable-battery convenience + Hero's ~6,000-touchpoint ICE network</t>
  </si>
  <si>
    <t xml:space="preserve">vidaworld.com/compare.html</t>
  </si>
  <si>
    <t xml:space="preserve">Autocar India variant explainer (Jul-2026)</t>
  </si>
  <si>
    <t xml:space="preserve">Vida FY26 grew 196% to 144,330 — fastest scaler among incumbents.</t>
  </si>
  <si>
    <t xml:space="preserve">S029</t>
  </si>
  <si>
    <t xml:space="preserve">Hero MotoCorp</t>
  </si>
  <si>
    <t xml:space="preserve">Go 2.2 RQ</t>
  </si>
  <si>
    <t xml:space="preserve">Removable</t>
  </si>
  <si>
    <t xml:space="preserve">1h41m (0-80%)</t>
  </si>
  <si>
    <t xml:space="preserve">Bluetooth</t>
  </si>
  <si>
    <t xml:space="preserve">Mechanically identical to Go 2.2; bundled 1,000W fast charger</t>
  </si>
  <si>
    <t xml:space="preserve">Charger-bundle SKU — a low-cost way to sell 'fast charging'</t>
  </si>
  <si>
    <t xml:space="preserve">S030</t>
  </si>
  <si>
    <t xml:space="preserve">Go 3.1 kWh</t>
  </si>
  <si>
    <t xml:space="preserve">2026</t>
  </si>
  <si>
    <t xml:space="preserve">Removable packs</t>
  </si>
  <si>
    <t xml:space="preserve">Range step-up in the Go family</t>
  </si>
  <si>
    <t xml:space="preserve">vidaworld.com/compare.html (Aug-2026)</t>
  </si>
  <si>
    <t xml:space="preserve">Vida site quotes 127 and 128 km on different pages.</t>
  </si>
  <si>
    <t xml:space="preserve">S031</t>
  </si>
  <si>
    <t xml:space="preserve">Go FB 3.1 kWh (fixed battery)</t>
  </si>
  <si>
    <t xml:space="preserve">65 min (0-80%)</t>
  </si>
  <si>
    <t xml:space="preserve">First Vida with a NON-removable pack — a deliberate cost-down move</t>
  </si>
  <si>
    <t xml:space="preserve">Signals Hero trading its removable-battery USP for price competitiveness</t>
  </si>
  <si>
    <t xml:space="preserve">BikeDekho news (01-Aug-2026)</t>
  </si>
  <si>
    <t xml:space="preserve">BikeWale (Jul-2026)</t>
  </si>
  <si>
    <t xml:space="preserve">Strategically notable: incumbents are now competing on price, not features.</t>
  </si>
  <si>
    <t xml:space="preserve">S032</t>
  </si>
  <si>
    <t xml:space="preserve">Go 3.4 kWh</t>
  </si>
  <si>
    <t xml:space="preserve">Removable (2 packs)</t>
  </si>
  <si>
    <t xml:space="preserve">62 min (0-80%) on public fast charge</t>
  </si>
  <si>
    <t xml:space="preserve">Two removable 1.7 kWh packs</t>
  </si>
  <si>
    <t xml:space="preserve">S033</t>
  </si>
  <si>
    <t xml:space="preserve">Plus 3.4 kWh</t>
  </si>
  <si>
    <t xml:space="preserve">BaaS available</t>
  </si>
  <si>
    <t xml:space="preserve">62 min (0-80%)</t>
  </si>
  <si>
    <t xml:space="preserve">Yes — 5,900+ points</t>
  </si>
  <si>
    <t xml:space="preserve">TFT</t>
  </si>
  <si>
    <t xml:space="preserve">Bluetooth, 3 ride modes, keyless</t>
  </si>
  <si>
    <t xml:space="preserve">TFT dash, disc brake, 3 modes</t>
  </si>
  <si>
    <t xml:space="preserve">Volume workhorse of the Vida line</t>
  </si>
  <si>
    <t xml:space="preserve">vidaworld.com</t>
  </si>
  <si>
    <t xml:space="preserve">Autocar reader feedback flags AUX/app glitches and switchgear quality — a service-cost watch item.</t>
  </si>
  <si>
    <t xml:space="preserve">S034</t>
  </si>
  <si>
    <t xml:space="preserve">Plus 4.4 kWh</t>
  </si>
  <si>
    <t xml:space="preserve">Jul-2026</t>
  </si>
  <si>
    <t xml:space="preserve">Removable (2 x 2.2 kWh)</t>
  </si>
  <si>
    <t xml:space="preserve">Bluetooth, nav, 3 modes</t>
  </si>
  <si>
    <t xml:space="preserve">Largest removable-battery pack in India; ~140 km real-world Eco per brochure</t>
  </si>
  <si>
    <t xml:space="preserve">Longest-range removable-battery scooter — a genuine functional niche</t>
  </si>
  <si>
    <t xml:space="preserve">Autopunditz (11-Jul-2026)</t>
  </si>
  <si>
    <t xml:space="preserve">vidaworld.com/vx2-plus-electric-scooter.html</t>
  </si>
  <si>
    <t xml:space="preserve">Rs1,43,990 was the 'effective' launch price inclusive of incentives; incentives lapsed 31-Jul-2026.</t>
  </si>
  <si>
    <t xml:space="preserve">S035</t>
  </si>
  <si>
    <t xml:space="preserve">V2</t>
  </si>
  <si>
    <t xml:space="preserve">Plus / Pro</t>
  </si>
  <si>
    <t xml:space="preserve">On sale (being phased down)</t>
  </si>
  <si>
    <t xml:space="preserve">Mid-premium</t>
  </si>
  <si>
    <t xml:space="preserve">Older-generation Vida flagship</t>
  </si>
  <si>
    <t xml:space="preserve">V2 platform</t>
  </si>
  <si>
    <t xml:space="preserve">Superseded by VX2 range; verify current availability.</t>
  </si>
  <si>
    <t xml:space="preserve">S036</t>
  </si>
  <si>
    <t xml:space="preserve">Honda Motor (HMSI)</t>
  </si>
  <si>
    <t xml:space="preserve">Honda</t>
  </si>
  <si>
    <t xml:space="preserve">Activa e:</t>
  </si>
  <si>
    <t xml:space="preserve">Standard</t>
  </si>
  <si>
    <t xml:space="preserve">Feb-2025</t>
  </si>
  <si>
    <t xml:space="preserve">Mass (swap-only)</t>
  </si>
  <si>
    <t xml:space="preserve">Swap subscription via Honda e:Swap</t>
  </si>
  <si>
    <t xml:space="preserve">Swappable (2 x 1.5 kWh Honda Mobile Power Pack e:)</t>
  </si>
  <si>
    <t xml:space="preserve">Honda Power Pack Energy India</t>
  </si>
  <si>
    <t xml:space="preserve">Swap only — no home charging</t>
  </si>
  <si>
    <t xml:space="preserve">Honda e:Swap stations (Bengaluru, Delhi, Mumbai)</t>
  </si>
  <si>
    <t xml:space="preserve">5-inch LCD</t>
  </si>
  <si>
    <t xml:space="preserve">Battery-swap-only architecture; based on Honda CUV e: global platform</t>
  </si>
  <si>
    <t xml:space="preserve">Covered under swap subscription</t>
  </si>
  <si>
    <t xml:space="preserve">Honda global e: platform</t>
  </si>
  <si>
    <t xml:space="preserve">Assembled in India</t>
  </si>
  <si>
    <t xml:space="preserve">Only major OEM committed to a pure swap model for personal scooters</t>
  </si>
  <si>
    <t xml:space="preserve">Autocar India Activa e: page (Aug-2026)</t>
  </si>
  <si>
    <t xml:space="preserve">Swap-only limits geography: launched only in Mumbai, Delhi, Bengaluru phase 1. Key constraint on Honda's share.</t>
  </si>
  <si>
    <t xml:space="preserve">S037</t>
  </si>
  <si>
    <t xml:space="preserve">RoadSync Duo</t>
  </si>
  <si>
    <t xml:space="preserve">Swap subscription</t>
  </si>
  <si>
    <t xml:space="preserve">Swappable (2 x 1.5 kWh)</t>
  </si>
  <si>
    <t xml:space="preserve">Swap only</t>
  </si>
  <si>
    <t xml:space="preserve">Honda e:Swap</t>
  </si>
  <si>
    <t xml:space="preserve">Honda RoadSync Duo app, nav, call/SMS</t>
  </si>
  <si>
    <t xml:space="preserve">Large TFT with turn-by-turn navigation</t>
  </si>
  <si>
    <t xml:space="preserve">Under subscription</t>
  </si>
  <si>
    <t xml:space="preserve">Honda's premium connected trim</t>
  </si>
  <si>
    <t xml:space="preserve">S038</t>
  </si>
  <si>
    <t xml:space="preserve">QC1</t>
  </si>
  <si>
    <t xml:space="preserve">In-wheel hub</t>
  </si>
  <si>
    <t xml:space="preserve">~6h50m (0-100%)</t>
  </si>
  <si>
    <t xml:space="preserve">12-inch front / 10-inch rear</t>
  </si>
  <si>
    <t xml:space="preserve">Basic</t>
  </si>
  <si>
    <t xml:space="preserve">Cheapest Japanese-OEM EV in India; fixed pack, home charging</t>
  </si>
  <si>
    <t xml:space="preserve">Honda entry EV platform</t>
  </si>
  <si>
    <t xml:space="preserve">Honda's price-point entry — low speed, low spec, brand-led</t>
  </si>
  <si>
    <t xml:space="preserve">Honda India / Autocar India</t>
  </si>
  <si>
    <t xml:space="preserve">50 km/h top speed makes it a genuinely different product class from mainstream e-scooters.</t>
  </si>
  <si>
    <t xml:space="preserve">S039</t>
  </si>
  <si>
    <t xml:space="preserve">Suzuki Motorcycle India</t>
  </si>
  <si>
    <t xml:space="preserve">Suzuki</t>
  </si>
  <si>
    <t xml:space="preserve">e-Access</t>
  </si>
  <si>
    <t xml:space="preserve">3.07 kWh</t>
  </si>
  <si>
    <t xml:space="preserve">Li-ion (LFP reported)</t>
  </si>
  <si>
    <t xml:space="preserve">~2h12m (0-80%, fast charger); ~6h22m normal</t>
  </si>
  <si>
    <t xml:space="preserve">Optional fast charger</t>
  </si>
  <si>
    <t xml:space="preserve">12-inch (90/90 R12 front, 100/80 R12 rear)</t>
  </si>
  <si>
    <t xml:space="preserve">4.2-inch LCD</t>
  </si>
  <si>
    <t xml:space="preserve">Suzuki Ride Connect-e, Bluetooth, call/SMS alerts</t>
  </si>
  <si>
    <t xml:space="preserve">Access nameplate equity; conventional scooter ergonomics</t>
  </si>
  <si>
    <t xml:space="preserve">Suzuki e-platform</t>
  </si>
  <si>
    <t xml:space="preserve">Made in India (Kherki Dhaula)</t>
  </si>
  <si>
    <t xml:space="preserve">Leverages the Access 125 brand — India's best-selling 125cc scooter</t>
  </si>
  <si>
    <t xml:space="preserve">91wheels specs (Aug-2026)</t>
  </si>
  <si>
    <t xml:space="preserve">Autocar India comparison (Jul-2026)</t>
  </si>
  <si>
    <t xml:space="preserve">PRICE FLAG: Rs1.88L is the aggregator-listed figure and looks high vs its 3 kWh / 95 km spec. Verify with Suzuki India before use.</t>
  </si>
  <si>
    <t xml:space="preserve">S040</t>
  </si>
  <si>
    <t xml:space="preserve">Yamaha Motor India</t>
  </si>
  <si>
    <t xml:space="preserve">Yamaha</t>
  </si>
  <si>
    <t xml:space="preserve">EC-06</t>
  </si>
  <si>
    <t xml:space="preserve">Assembled by River Mobility at Hoskote for Yamaha</t>
  </si>
  <si>
    <t xml:space="preserve">River Indie-derived</t>
  </si>
  <si>
    <t xml:space="preserve">Contract-manufactured in India</t>
  </si>
  <si>
    <t xml:space="preserve">CONTRACT-MANUFACTURING PRECEDENT: a global OEM using an Indian startup's line — direct evidence that EV 2W manufacturing is outsourceable</t>
  </si>
  <si>
    <t xml:space="preserve">THESIS-CRITICAL: proves the powertrain/assembly barrier is low enough that Yamaha can buy rather than build.</t>
  </si>
  <si>
    <t xml:space="preserve">S041</t>
  </si>
  <si>
    <t xml:space="preserve">River Mobility (private)</t>
  </si>
  <si>
    <t xml:space="preserve">River</t>
  </si>
  <si>
    <t xml:space="preserve">Indie</t>
  </si>
  <si>
    <t xml:space="preserve">Utility premium</t>
  </si>
  <si>
    <t xml:space="preserve">Imported cells</t>
  </si>
  <si>
    <t xml:space="preserve">~5h (0-80%)</t>
  </si>
  <si>
    <t xml:space="preserve">14-inch front / 12-inch rear</t>
  </si>
  <si>
    <t xml:space="preserve">43L boot expandable to 55L; metal panniers; 14-inch front wheel; 'SUV of scooters'</t>
  </si>
  <si>
    <t xml:space="preserve">5 yr</t>
  </si>
  <si>
    <t xml:space="preserve">River platform</t>
  </si>
  <si>
    <t xml:space="preserve">Assembled at Hoskote, Karnataka</t>
  </si>
  <si>
    <t xml:space="preserve">Purest utility-niche play in the market — cargo/practicality rather than range or speed</t>
  </si>
  <si>
    <t xml:space="preserve">ZigWheels electric scooters list (Aug-2026)</t>
  </si>
  <si>
    <t xml:space="preserve">NICHE EXHIBIT: c.28,000 units CY2025; best-performing new entrant. Series C USD120m Nov-2025.</t>
  </si>
  <si>
    <t xml:space="preserve">S042</t>
  </si>
  <si>
    <t xml:space="preserve">Simple Energy (private)</t>
  </si>
  <si>
    <t xml:space="preserve">Simple Energy</t>
  </si>
  <si>
    <t xml:space="preserve">One</t>
  </si>
  <si>
    <t xml:space="preserve">Long-range premium</t>
  </si>
  <si>
    <t xml:space="preserve">Fixed (3.7 fixed + 1.3 removable)</t>
  </si>
  <si>
    <t xml:space="preserve">Mid-drive</t>
  </si>
  <si>
    <t xml:space="preserve">7-inch touchscreen</t>
  </si>
  <si>
    <t xml:space="preserve">Hybrid fixed + removable battery architecture</t>
  </si>
  <si>
    <t xml:space="preserve">8 yr</t>
  </si>
  <si>
    <t xml:space="preserve">Simple platform</t>
  </si>
  <si>
    <t xml:space="preserve">Chamarajanagar, Karnataka</t>
  </si>
  <si>
    <t xml:space="preserve">Long-range specialist</t>
  </si>
  <si>
    <t xml:space="preserve">Company site</t>
  </si>
  <si>
    <t xml:space="preserve">NICHE COUNTER-EXHIBIT: only c.4,806 cumulative units to Apr-2026 despite class-leading range. Spec differentiation without distribution does not scale.</t>
  </si>
  <si>
    <t xml:space="preserve">S043</t>
  </si>
  <si>
    <t xml:space="preserve">Ultra / Dot One</t>
  </si>
  <si>
    <t xml:space="preserve">2025-26</t>
  </si>
  <si>
    <t xml:space="preserve">Long-range flagship / entry</t>
  </si>
  <si>
    <t xml:space="preserve">Fixed + removable</t>
  </si>
  <si>
    <t xml:space="preserve">IDC (400 km marketing claim)</t>
  </si>
  <si>
    <t xml:space="preserve">4G, nav</t>
  </si>
  <si>
    <t xml:space="preserve">Highest claimed range of any Indian e-scooter</t>
  </si>
  <si>
    <t xml:space="preserve">Range halo — the clearest example of a spec claim not converting to volume</t>
  </si>
  <si>
    <t xml:space="preserve">ZigWheels / company claims</t>
  </si>
  <si>
    <t xml:space="preserve">Research compilation</t>
  </si>
  <si>
    <t xml:space="preserve">400 km figure is a marketing claim, not a certified cycle number. Treat with caution.</t>
  </si>
  <si>
    <t xml:space="preserve">S044</t>
  </si>
  <si>
    <t xml:space="preserve">Greaves Electric Mobility (Greaves Cotton, listed: GREAVESCOT)</t>
  </si>
  <si>
    <t xml:space="preserve">Ampere</t>
  </si>
  <si>
    <t xml:space="preserve">Nexus</t>
  </si>
  <si>
    <t xml:space="preserve">Standard / Pro</t>
  </si>
  <si>
    <t xml:space="preserve">Li-ion LFP</t>
  </si>
  <si>
    <t xml:space="preserve">Bluetooth, nav</t>
  </si>
  <si>
    <t xml:space="preserve">LFP chemistry for cycle life; IP67</t>
  </si>
  <si>
    <t xml:space="preserve">Nexus platform</t>
  </si>
  <si>
    <t xml:space="preserve">Ranipet, Tamil Nadu</t>
  </si>
  <si>
    <t xml:space="preserve">Value-mass challenger with LFP durability pitch</t>
  </si>
  <si>
    <t xml:space="preserve">Greaves Electric Mobility / aggregator listings</t>
  </si>
  <si>
    <t xml:space="preserve">FY26 61,563 units (+53%). Recovering from FAME-II subsidy clawback damage.</t>
  </si>
  <si>
    <t xml:space="preserve">S045</t>
  </si>
  <si>
    <t xml:space="preserve">Greaves Electric Mobility</t>
  </si>
  <si>
    <t xml:space="preserve">Magnus EX / Magnus Neo</t>
  </si>
  <si>
    <t xml:space="preserve">2022</t>
  </si>
  <si>
    <t xml:space="preserve">Value entry</t>
  </si>
  <si>
    <t xml:space="preserve">Claimed</t>
  </si>
  <si>
    <t xml:space="preserve">~5h</t>
  </si>
  <si>
    <t xml:space="preserve">Low-speed value commuter</t>
  </si>
  <si>
    <t xml:space="preserve">Magnus platform</t>
  </si>
  <si>
    <t xml:space="preserve">Ranipet</t>
  </si>
  <si>
    <t xml:space="preserve">Price-first value entry</t>
  </si>
  <si>
    <t xml:space="preserve">Legacy first-generation product; verify current availability.</t>
  </si>
  <si>
    <t xml:space="preserve">S046</t>
  </si>
  <si>
    <t xml:space="preserve">Kinetic Green (Firodia group, private)</t>
  </si>
  <si>
    <t xml:space="preserve">Kinetic Green</t>
  </si>
  <si>
    <t xml:space="preserve">DX / DX+</t>
  </si>
  <si>
    <t xml:space="preserve">Mass (heritage revival)</t>
  </si>
  <si>
    <t xml:space="preserve">Revival of the Kinetic Honda DX nameplate; 37L boot</t>
  </si>
  <si>
    <t xml:space="preserve">DX platform</t>
  </si>
  <si>
    <t xml:space="preserve">Ahmednagar, Maharashtra</t>
  </si>
  <si>
    <t xml:space="preserve">Nostalgia/heritage niche — the same brand-equity play as RE Flying Flea, at the value end</t>
  </si>
  <si>
    <t xml:space="preserve">Kinetic Green launch materials</t>
  </si>
  <si>
    <t xml:space="preserve">NICHE EXHIBIT: tests whether heritage brand equity alone can win share without a service network.</t>
  </si>
  <si>
    <t xml:space="preserve">S047</t>
  </si>
  <si>
    <t xml:space="preserve">BGauss (RR Global, private)</t>
  </si>
  <si>
    <t xml:space="preserve">BGauss</t>
  </si>
  <si>
    <t xml:space="preserve">RUV350 / RUV350i</t>
  </si>
  <si>
    <t xml:space="preserve">Rugged 'urban utility vehicle' styling</t>
  </si>
  <si>
    <t xml:space="preserve">RUV platform</t>
  </si>
  <si>
    <t xml:space="preserve">Chakan, Maharashtra</t>
  </si>
  <si>
    <t xml:space="preserve">Regional value challenger</t>
  </si>
  <si>
    <t xml:space="preserve">Sub-scale; structurally disadvantaged vs top-4 distribution.</t>
  </si>
  <si>
    <t xml:space="preserve">S048</t>
  </si>
  <si>
    <t xml:space="preserve">C12i MAX</t>
  </si>
  <si>
    <t xml:space="preserve">Value</t>
  </si>
  <si>
    <t xml:space="preserve">C-series</t>
  </si>
  <si>
    <t xml:space="preserve">Chakan</t>
  </si>
  <si>
    <t xml:space="preserve">S049</t>
  </si>
  <si>
    <t xml:space="preserve">SAR Group (private)</t>
  </si>
  <si>
    <t xml:space="preserve">Lectrix</t>
  </si>
  <si>
    <t xml:space="preserve">SX25 / LXS 2.0</t>
  </si>
  <si>
    <t xml:space="preserve">Low-speed entry</t>
  </si>
  <si>
    <t xml:space="preserve">10-inch</t>
  </si>
  <si>
    <t xml:space="preserve">Sub-250W / 25 km-h class: no licence or registration required</t>
  </si>
  <si>
    <t xml:space="preserve">2 yr</t>
  </si>
  <si>
    <t xml:space="preserve">Hyderabad</t>
  </si>
  <si>
    <t xml:space="preserve">Licence-free low-speed segment — a genuinely separate market from mainstream e-2W</t>
  </si>
  <si>
    <t xml:space="preserve">BikeWale (cited as India's most affordable e-scooter, Aug-2026)</t>
  </si>
  <si>
    <t xml:space="preserve">Low-speed sub-250W vehicles are NOT captured in Vahan registration data — a persistent gap in industry volume tracking.</t>
  </si>
  <si>
    <t xml:space="preserve">S050</t>
  </si>
  <si>
    <t xml:space="preserve">Bounce (private)</t>
  </si>
  <si>
    <t xml:space="preserve">Bounce</t>
  </si>
  <si>
    <t xml:space="preserve">Infinity E1 / E1+</t>
  </si>
  <si>
    <t xml:space="preserve">On sale (limited)</t>
  </si>
  <si>
    <t xml:space="preserve">Value / swap</t>
  </si>
  <si>
    <t xml:space="preserve">Battery-as-a-Service from Rs36,000 + swap fee</t>
  </si>
  <si>
    <t xml:space="preserve">Swappable</t>
  </si>
  <si>
    <t xml:space="preserve">Bounce swap network</t>
  </si>
  <si>
    <t xml:space="preserve">Pioneered BaaS pricing in India</t>
  </si>
  <si>
    <t xml:space="preserve">Under BaaS</t>
  </si>
  <si>
    <t xml:space="preserve">Bhiwadi, Rajasthan</t>
  </si>
  <si>
    <t xml:space="preserve">BaaS pioneer — the pricing model has now been adopted by TVS and Hero</t>
  </si>
  <si>
    <t xml:space="preserve">Aggregator listings / research compilation</t>
  </si>
  <si>
    <t xml:space="preserve">Largely faded; its BaaS model was the durable contribution, not the product.</t>
  </si>
  <si>
    <t xml:space="preserve">S051</t>
  </si>
  <si>
    <t xml:space="preserve">PURE EV (private)</t>
  </si>
  <si>
    <t xml:space="preserve">PURE EV</t>
  </si>
  <si>
    <t xml:space="preserve">ePluto 7G Max</t>
  </si>
  <si>
    <t xml:space="preserve">IIT-Hyderabad incubated; in-house BMS</t>
  </si>
  <si>
    <t xml:space="preserve">First-generation startup, now sub-scale</t>
  </si>
  <si>
    <t xml:space="preserve">Share collapsed post-FAME-II era; battery fire incidents damaged brand.</t>
  </si>
  <si>
    <t xml:space="preserve">S052</t>
  </si>
  <si>
    <t xml:space="preserve">Okinawa Autotech (private)</t>
  </si>
  <si>
    <t xml:space="preserve">Okinawa</t>
  </si>
  <si>
    <t xml:space="preserve">Praise Pro / Dual100 / Okhi-90</t>
  </si>
  <si>
    <t xml:space="preserve">On sale (much reduced)</t>
  </si>
  <si>
    <t xml:space="preserve">2019-2023</t>
  </si>
  <si>
    <t xml:space="preserve">FAILED-PLAYER CASE STUDY: peak-era share evaporated after FAME-II clawback and fire incidents</t>
  </si>
  <si>
    <t xml:space="preserve">Research compilation / MHI FAME-II proceedings</t>
  </si>
  <si>
    <t xml:space="preserve">MHI committee gave a 'clean chit' Apr-2024, but commercial damage was terminal. Read across to today's sub-scale players.</t>
  </si>
  <si>
    <t xml:space="preserve">S053</t>
  </si>
  <si>
    <t xml:space="preserve">Hero Electric (private, unrelated to Hero MotoCorp)</t>
  </si>
  <si>
    <t xml:space="preserve">Hero Electric</t>
  </si>
  <si>
    <t xml:space="preserve">Optima / Photon / NYX</t>
  </si>
  <si>
    <t xml:space="preserve">Effectively exited</t>
  </si>
  <si>
    <t xml:space="preserve">2018-2022</t>
  </si>
  <si>
    <t xml:space="preserve">n.a.</t>
  </si>
  <si>
    <t xml:space="preserve">Ludhiana</t>
  </si>
  <si>
    <t xml:space="preserve">FAILED-PLAYER CASE STUDY: India's #1 e-2W maker in 2021-22, now effectively gone</t>
  </si>
  <si>
    <t xml:space="preserve">MHI FAME-II show-cause proceedings (May-2023)</t>
  </si>
  <si>
    <t xml:space="preserve">Inc42 / Business Today reporting</t>
  </si>
  <si>
    <t xml:space="preserve">THESIS-CRITICAL: low entry barriers cut both ways — easy entry also means easy exit. &gt;80% staff laid off post-clawback.</t>
  </si>
  <si>
    <t xml:space="preserve">S054</t>
  </si>
  <si>
    <t xml:space="preserve">Wardwizard Innovations (listed: WARDWIZARD)</t>
  </si>
  <si>
    <t xml:space="preserve">Joy e-bike</t>
  </si>
  <si>
    <t xml:space="preserve">Mihos / Wolf+ / Gen Nxt Nanu+</t>
  </si>
  <si>
    <t xml:space="preserve">2021-2024</t>
  </si>
  <si>
    <t xml:space="preserve">Vadodara, Gujarat</t>
  </si>
  <si>
    <t xml:space="preserve">Listed micro-cap value player</t>
  </si>
  <si>
    <t xml:space="preserve">Only listed pure-play e-2W micro-cap besides Ola and Ather.</t>
  </si>
  <si>
    <t xml:space="preserve">S055</t>
  </si>
  <si>
    <t xml:space="preserve">Odysse Electric (private)</t>
  </si>
  <si>
    <t xml:space="preserve">Odysse</t>
  </si>
  <si>
    <t xml:space="preserve">E2Go / Vader / Snap</t>
  </si>
  <si>
    <t xml:space="preserve">Mumbai</t>
  </si>
  <si>
    <t xml:space="preserve">S056</t>
  </si>
  <si>
    <t xml:space="preserve">Quantum Energy / Battre / Zelio (private, various)</t>
  </si>
  <si>
    <t xml:space="preserve">Multiple</t>
  </si>
  <si>
    <t xml:space="preserve">Plasma / LOEV / Gracy (representative)</t>
  </si>
  <si>
    <t xml:space="preserve">Low-speed value</t>
  </si>
  <si>
    <t xml:space="preserve">Li-ion / lead-acid variants</t>
  </si>
  <si>
    <t xml:space="preserve">10/12-inch</t>
  </si>
  <si>
    <t xml:space="preserve">Representative row for the fragmented regional low-speed tail</t>
  </si>
  <si>
    <t xml:space="preserve">1-3 yr</t>
  </si>
  <si>
    <t xml:space="preserve">Various (Hyderabad, Gurugram, Hisar)</t>
  </si>
  <si>
    <t xml:space="preserve">LONG-TAIL EXHIBIT: dozens of sub-scale brands exist because entry barriers are near-zero — and none has scaled</t>
  </si>
  <si>
    <t xml:space="preserve">Aggregator listings / industry compilation</t>
  </si>
  <si>
    <t xml:space="preserve">THESIS SUPPORT: the sheer number of these brands is the strongest evidence for low entry barriers; their collective irrelevance is the strongest evidence that distribution is the real moat.</t>
  </si>
  <si>
    <t xml:space="preserve">S057</t>
  </si>
  <si>
    <t xml:space="preserve">Ultraviolette (private)</t>
  </si>
  <si>
    <t xml:space="preserve">Ultraviolette</t>
  </si>
  <si>
    <t xml:space="preserve">Tesseract</t>
  </si>
  <si>
    <t xml:space="preserve">Standard (pre-book)</t>
  </si>
  <si>
    <t xml:space="preserve">Pre-launch (bookings open)</t>
  </si>
  <si>
    <t xml:space="preserve">Deliveries Q1-2027 (guided)</t>
  </si>
  <si>
    <t xml:space="preserve">Premium maxi-scooter</t>
  </si>
  <si>
    <t xml:space="preserve">In-house SRB pack</t>
  </si>
  <si>
    <t xml:space="preserve">14-inch</t>
  </si>
  <si>
    <t xml:space="preserve">Touchscreen</t>
  </si>
  <si>
    <t xml:space="preserve">100V architecture; radar-based blind-spot detection and forward-collision warning (segment first)</t>
  </si>
  <si>
    <t xml:space="preserve">5 yr / 100,000 km</t>
  </si>
  <si>
    <t xml:space="preserve">UV 100V platform</t>
  </si>
  <si>
    <t xml:space="preserve">Bengaluru</t>
  </si>
  <si>
    <t xml:space="preserve">Radar/ADAS-style features on a scooter — a genuine technology differentiation attempt</t>
  </si>
  <si>
    <t xml:space="preserve">ultraviolette.com (Q1 2027 shown)</t>
  </si>
  <si>
    <t xml:space="preserve">Autocar India (Jun-2026)</t>
  </si>
  <si>
    <t xml:space="preserve">Timing has ALREADY SLIPPED from Q1-2026 to Q1-2027. &gt;70,000 pre-bookings reported. Do not model volumes before FY28.</t>
  </si>
  <si>
    <t xml:space="preserve">S058</t>
  </si>
  <si>
    <t xml:space="preserve">BMW Motorrad (import)</t>
  </si>
  <si>
    <t xml:space="preserve">BMW</t>
  </si>
  <si>
    <t xml:space="preserve">CE 04</t>
  </si>
  <si>
    <t xml:space="preserve">On sale (CBU import)</t>
  </si>
  <si>
    <t xml:space="preserve">Ultra-premium import</t>
  </si>
  <si>
    <t xml:space="preserve">Liquid-cooled PMSM</t>
  </si>
  <si>
    <t xml:space="preserve">WMTC</t>
  </si>
  <si>
    <t xml:space="preserve">~1h40m (fast charge 0-80%)</t>
  </si>
  <si>
    <t xml:space="preserve">15/14-inch</t>
  </si>
  <si>
    <t xml:space="preserve">Dual-channel ABS</t>
  </si>
  <si>
    <t xml:space="preserve">10.25-inch TFT</t>
  </si>
  <si>
    <t xml:space="preserve">Connected, nav</t>
  </si>
  <si>
    <t xml:space="preserve">Halo import; defines the ceiling of the Indian e-scooter price ladder</t>
  </si>
  <si>
    <t xml:space="preserve">BMW CE platform</t>
  </si>
  <si>
    <t xml:space="preserve">CBU import</t>
  </si>
  <si>
    <t xml:space="preserve">Price-ceiling reference point — shows how empty the &gt;Rs3L scooter band is</t>
  </si>
  <si>
    <t xml:space="preserve">BMW Motorrad India</t>
  </si>
  <si>
    <t xml:space="preserve">Negligible volume. Included as a price-band anchor, not as a competitor.</t>
  </si>
  <si>
    <t xml:space="preserve">ELECTRIC MOTORCYCLES — INDIA MODEL MASTER (VARIANT LEVEL)</t>
  </si>
  <si>
    <t xml:space="preserve">29 variants, 14 brands. E-motorcycles are under 5 per cent of e-2W volume — this is a niche market, not a mass one. Data as of 25-Aug-2026.</t>
  </si>
  <si>
    <t xml:space="preserve">Transmission</t>
  </si>
  <si>
    <t xml:space="preserve">M001</t>
  </si>
  <si>
    <t xml:space="preserve">Ultraviolette Automotive (private)</t>
  </si>
  <si>
    <t xml:space="preserve">F77 Mach 2 / SuperStreet</t>
  </si>
  <si>
    <t xml:space="preserve">Original 7.1 kWh</t>
  </si>
  <si>
    <t xml:space="preserve">2024 (Mach 2 update)</t>
  </si>
  <si>
    <t xml:space="preserve">Performance flagship</t>
  </si>
  <si>
    <t xml:space="preserve">Li-ion NMC cylindrical</t>
  </si>
  <si>
    <t xml:space="preserve">In-house SRB-10 pack; imported cells</t>
  </si>
  <si>
    <t xml:space="preserve">PMSM, chain drive</t>
  </si>
  <si>
    <t xml:space="preserve">~1h30m (fast); ~5h (std)</t>
  </si>
  <si>
    <t xml:space="preserve">UV Supernova DC fast-charging network</t>
  </si>
  <si>
    <t xml:space="preserve">Manual (single speed)</t>
  </si>
  <si>
    <t xml:space="preserve">17-inch alloy</t>
  </si>
  <si>
    <t xml:space="preserve">TFT with 4G</t>
  </si>
  <si>
    <t xml:space="preserve">4G, nav, OTA, telemetry</t>
  </si>
  <si>
    <t xml:space="preserve">10 levels regen, 4-level traction control, ballistic ride modes, aviation-derived drivetrain</t>
  </si>
  <si>
    <t xml:space="preserve">F77 platform</t>
  </si>
  <si>
    <t xml:space="preserve">Bengaluru; exports to Central Europe</t>
  </si>
  <si>
    <t xml:space="preserve">India's most credible performance-EV brand; genuine premium price realisation</t>
  </si>
  <si>
    <t xml:space="preserve">ultraviolette.com/f77 (Aug-2026)</t>
  </si>
  <si>
    <t xml:space="preserve">BikeDekho / ZigWheels (Aug-2026)</t>
  </si>
  <si>
    <t xml:space="preserve">NICHE EXHIBIT #1: sustains a Rs3L+ ASP. Raised USD45m Series E (Zoho, Lingotto) Dec-2025.</t>
  </si>
  <si>
    <t xml:space="preserve">M002</t>
  </si>
  <si>
    <t xml:space="preserve">Recon 10.3 kWh</t>
  </si>
  <si>
    <t xml:space="preserve">In-house SRB-10 pack</t>
  </si>
  <si>
    <t xml:space="preserve">IDC (WMTC 231 km)</t>
  </si>
  <si>
    <t xml:space="preserve">~1h30m (fast)</t>
  </si>
  <si>
    <t xml:space="preserve">UV Supernova network</t>
  </si>
  <si>
    <t xml:space="preserve">Largest battery in any Indian e-motorcycle; 800,000 km battery-warranty marketing claim</t>
  </si>
  <si>
    <t xml:space="preserve">Longest-range electric motorcycle sold in India</t>
  </si>
  <si>
    <t xml:space="preserve">ultraviolette.com</t>
  </si>
  <si>
    <t xml:space="preserve">WMTC 231 km is the credible number; 323 km is IDC. Use WMTC for range comparisons vs global peers.</t>
  </si>
  <si>
    <t xml:space="preserve">M003</t>
  </si>
  <si>
    <t xml:space="preserve">X47 Crossover</t>
  </si>
  <si>
    <t xml:space="preserve">UV Supernova</t>
  </si>
  <si>
    <t xml:space="preserve">17-inch</t>
  </si>
  <si>
    <t xml:space="preserve">Crossover ergonomics on the F77 powertrain — platform reuse to widen TAM</t>
  </si>
  <si>
    <t xml:space="preserve">Platform leverage: same powertrain, new body style, new price point</t>
  </si>
  <si>
    <t xml:space="preserve">M004</t>
  </si>
  <si>
    <t xml:space="preserve">Roadster X</t>
  </si>
  <si>
    <t xml:space="preserve">2.5 kWh</t>
  </si>
  <si>
    <t xml:space="preserve">Entry commuter</t>
  </si>
  <si>
    <t xml:space="preserve">Mid-drive IPM, chain</t>
  </si>
  <si>
    <t xml:space="preserve">Single speed</t>
  </si>
  <si>
    <t xml:space="preserve">4.3-inch LCD</t>
  </si>
  <si>
    <t xml:space="preserve">Cheapest electric motorcycle from a top-5 OEM</t>
  </si>
  <si>
    <t xml:space="preserve">Roadster platform</t>
  </si>
  <si>
    <t xml:space="preserve">Krishnagiri, Tamil Nadu</t>
  </si>
  <si>
    <t xml:space="preserve">Aggressive price anchor for the e-motorcycle segment</t>
  </si>
  <si>
    <t xml:space="preserve">Ola Electric price list (Aug-2026)</t>
  </si>
  <si>
    <t xml:space="preserve">Ola claims c.50% of India's e-motorcycle segment — but the segment itself is &lt;5% of e-2W volume.</t>
  </si>
  <si>
    <t xml:space="preserve">M005</t>
  </si>
  <si>
    <t xml:space="preserve">Entry-mid commuter</t>
  </si>
  <si>
    <t xml:space="preserve">Krishnagiri</t>
  </si>
  <si>
    <t xml:space="preserve">M006</t>
  </si>
  <si>
    <t xml:space="preserve">4.5 kWh</t>
  </si>
  <si>
    <t xml:space="preserve">Mid commuter</t>
  </si>
  <si>
    <t xml:space="preserve">M007</t>
  </si>
  <si>
    <t xml:space="preserve">Roadster X+</t>
  </si>
  <si>
    <t xml:space="preserve">Premium commuter</t>
  </si>
  <si>
    <t xml:space="preserve">6.8-inch TFT touchscreen</t>
  </si>
  <si>
    <t xml:space="preserve">Touchscreen TFT, cruise control</t>
  </si>
  <si>
    <t xml:space="preserve">M008</t>
  </si>
  <si>
    <t xml:space="preserve">9.1 kWh (4680 Bharat Cell)</t>
  </si>
  <si>
    <t xml:space="preserve">2025 (repriced at Sankalp 2025)</t>
  </si>
  <si>
    <t xml:space="preserve">Ola in-house 4680 Bharat Cell</t>
  </si>
  <si>
    <t xml:space="preserve">Mid-drive IPM (ferrite, rare-earth-free), chain</t>
  </si>
  <si>
    <t xml:space="preserve">MoveOS 5, 4G, nav, OTA</t>
  </si>
  <si>
    <t xml:space="preserve">First mass-produced Indian vehicle on an indigenously-made 4680 cell</t>
  </si>
  <si>
    <t xml:space="preserve">Krishnagiri gigafactory (c.2.5 GWh operational)</t>
  </si>
  <si>
    <t xml:space="preserve">Ola's showcase for vertical integration — cell, motor and vehicle all in-house</t>
  </si>
  <si>
    <t xml:space="preserve">Ola Sankalp 2025</t>
  </si>
  <si>
    <t xml:space="preserve">THESIS-CRITICAL: the most vertically-integrated product in India, from the OEM losing the most share.</t>
  </si>
  <si>
    <t xml:space="preserve">M009</t>
  </si>
  <si>
    <t xml:space="preserve">Roadster / Roadster Pro</t>
  </si>
  <si>
    <t xml:space="preserve">Announced range</t>
  </si>
  <si>
    <t xml:space="preserve">Announced, limited availability</t>
  </si>
  <si>
    <t xml:space="preserve">Performance</t>
  </si>
  <si>
    <t xml:space="preserve">IDC (claim)</t>
  </si>
  <si>
    <t xml:space="preserve">Halo/concept-grade claims; treat volumes as zero until deliveries are verified</t>
  </si>
  <si>
    <t xml:space="preserve">Ola announcements (2024-25)</t>
  </si>
  <si>
    <t xml:space="preserve">SPECULATIVE: repeatedly delayed. Do not model. 579 km claim is not a certified figure.</t>
  </si>
  <si>
    <t xml:space="preserve">M010</t>
  </si>
  <si>
    <t xml:space="preserve">Revolt Motors (RattanIndia Enterprises, listed: RTNINDIA)</t>
  </si>
  <si>
    <t xml:space="preserve">Revolt</t>
  </si>
  <si>
    <t xml:space="preserve">RV400</t>
  </si>
  <si>
    <t xml:space="preserve">2019 (updates through 2025)</t>
  </si>
  <si>
    <t xml:space="preserve">Commuter</t>
  </si>
  <si>
    <t xml:space="preserve">Mid-drive, belt</t>
  </si>
  <si>
    <t xml:space="preserve">~4h30m (0-80%)</t>
  </si>
  <si>
    <t xml:space="preserve">4G, app connectivity, geofencing</t>
  </si>
  <si>
    <t xml:space="preserve">Artificial exhaust sound (4 selectable); removable battery; India's first e-motorcycle at scale</t>
  </si>
  <si>
    <t xml:space="preserve">5 yr / 75,000 km</t>
  </si>
  <si>
    <t xml:space="preserve">RV platform</t>
  </si>
  <si>
    <t xml:space="preserve">Manesar, Haryana</t>
  </si>
  <si>
    <t xml:space="preserve">First-mover in Indian e-motorcycles; commuter positioning</t>
  </si>
  <si>
    <t xml:space="preserve">91wheels comparison (Aug-2026)</t>
  </si>
  <si>
    <t xml:space="preserve">Was named in the MHI FAME-II localisation show-cause notices (May-2023).</t>
  </si>
  <si>
    <t xml:space="preserve">M011</t>
  </si>
  <si>
    <t xml:space="preserve">Revolt Motors</t>
  </si>
  <si>
    <t xml:space="preserve">RV400 BRZ</t>
  </si>
  <si>
    <t xml:space="preserve">Commuter value</t>
  </si>
  <si>
    <t xml:space="preserve">4G, app</t>
  </si>
  <si>
    <t xml:space="preserve">De-contented RV400 for price</t>
  </si>
  <si>
    <t xml:space="preserve">Manesar</t>
  </si>
  <si>
    <t xml:space="preserve">ZigWheels / BikeDekho (Aug-2026)</t>
  </si>
  <si>
    <t xml:space="preserve">M012</t>
  </si>
  <si>
    <t xml:space="preserve">RVX / RVX Pro</t>
  </si>
  <si>
    <t xml:space="preserve">4G, nav, app</t>
  </si>
  <si>
    <t xml:space="preserve">Refreshed platform with TFT</t>
  </si>
  <si>
    <t xml:space="preserve">Research compilation / launch reporting (2025)</t>
  </si>
  <si>
    <t xml:space="preserve">M013</t>
  </si>
  <si>
    <t xml:space="preserve">RV1</t>
  </si>
  <si>
    <t xml:space="preserve">~3h30m</t>
  </si>
  <si>
    <t xml:space="preserve">Sub-Rs1L electric motorcycle</t>
  </si>
  <si>
    <t xml:space="preserve">RV1 platform</t>
  </si>
  <si>
    <t xml:space="preserve">Price-led attack on the 100-125cc ICE commuter segment</t>
  </si>
  <si>
    <t xml:space="preserve">BikeDekho (Jul-2026)</t>
  </si>
  <si>
    <t xml:space="preserve">The RV1/RV1+ and Oben Rorr EZ at c.Rs1L are the only credible ICE-commuter price competitors today.</t>
  </si>
  <si>
    <t xml:space="preserve">M014</t>
  </si>
  <si>
    <t xml:space="preserve">RV1+</t>
  </si>
  <si>
    <t xml:space="preserve">M015</t>
  </si>
  <si>
    <t xml:space="preserve">Oben Electric (private)</t>
  </si>
  <si>
    <t xml:space="preserve">Oben</t>
  </si>
  <si>
    <t xml:space="preserve">Rorr</t>
  </si>
  <si>
    <t xml:space="preserve">Value performance</t>
  </si>
  <si>
    <t xml:space="preserve">LFP (in-house cell-to-pack)</t>
  </si>
  <si>
    <t xml:space="preserve">In-house LFP pack</t>
  </si>
  <si>
    <t xml:space="preserve">Mid-drive, chain</t>
  </si>
  <si>
    <t xml:space="preserve">~2h (0-80%)</t>
  </si>
  <si>
    <t xml:space="preserve">Bluetooth, app</t>
  </si>
  <si>
    <t xml:space="preserve">LFP chemistry (safety/cycle life); 220 mm ground clearance</t>
  </si>
  <si>
    <t xml:space="preserve">8 yr / 100,000 km (LFP)</t>
  </si>
  <si>
    <t xml:space="preserve">Rorr platform</t>
  </si>
  <si>
    <t xml:space="preserve">LFP-based safety and cycle-life positioning at a value price</t>
  </si>
  <si>
    <t xml:space="preserve">ZigWheels comparison (Aug-2026)</t>
  </si>
  <si>
    <t xml:space="preserve">LFP is a genuine differentiator: no thermal-runaway history, longer cycle life, lower cell cost.</t>
  </si>
  <si>
    <t xml:space="preserve">M016</t>
  </si>
  <si>
    <t xml:space="preserve">Oben Electric</t>
  </si>
  <si>
    <t xml:space="preserve">Rorr EZ</t>
  </si>
  <si>
    <t xml:space="preserve">2.6 / 3.4 / 4.4 kWh</t>
  </si>
  <si>
    <t xml:space="preserve">Value commuter</t>
  </si>
  <si>
    <t xml:space="preserve">LFP</t>
  </si>
  <si>
    <t xml:space="preserve">Modular battery ladder within one body; sub-Rs1L entry</t>
  </si>
  <si>
    <t xml:space="preserve">8 yr / 100,000 km</t>
  </si>
  <si>
    <t xml:space="preserve">One chassis, three battery sizes — the cheapest way to build a product ladder</t>
  </si>
  <si>
    <t xml:space="preserve">Battery-size laddering on a single chassis is now standard across the industry — further evidence of low differentiation cost.</t>
  </si>
  <si>
    <t xml:space="preserve">M017</t>
  </si>
  <si>
    <t xml:space="preserve">Rorr EZ Sigma</t>
  </si>
  <si>
    <t xml:space="preserve">Value sporty commuter</t>
  </si>
  <si>
    <t xml:space="preserve">In-house</t>
  </si>
  <si>
    <t xml:space="preserve">~2h</t>
  </si>
  <si>
    <t xml:space="preserve">Positioned against 150cc ICE sport-commuters</t>
  </si>
  <si>
    <t xml:space="preserve">Explicitly benchmarked against 150cc ICE on price and performance</t>
  </si>
  <si>
    <t xml:space="preserve">BikeDekho review reference (2026)</t>
  </si>
  <si>
    <t xml:space="preserve">M018</t>
  </si>
  <si>
    <t xml:space="preserve">Matter Motor Works (private)</t>
  </si>
  <si>
    <t xml:space="preserve">Matter</t>
  </si>
  <si>
    <t xml:space="preserve">Aera 5000</t>
  </si>
  <si>
    <t xml:space="preserve">Mar-2023 (deliveries 2024-25)</t>
  </si>
  <si>
    <t xml:space="preserve">Premium differentiated</t>
  </si>
  <si>
    <t xml:space="preserve">Fixed, liquid-cooled</t>
  </si>
  <si>
    <t xml:space="preserve">Imported cells; in-house liquid-cooled pack</t>
  </si>
  <si>
    <t xml:space="preserve">4-speed manual (HyperShift geared transmission)</t>
  </si>
  <si>
    <t xml:space="preserve">INDIA'S ONLY GEARED ELECTRIC MOTORCYCLE; liquid-cooled battery pack</t>
  </si>
  <si>
    <t xml:space="preserve">LIFETIME battery warranty (announced 2025)</t>
  </si>
  <si>
    <t xml:space="preserve">Aera platform</t>
  </si>
  <si>
    <t xml:space="preserve">Ahmedabad, Gujarat</t>
  </si>
  <si>
    <t xml:space="preserve">The single most product-differentiated e-motorcycle in India — manual gearbox preserves the ICE riding ritual</t>
  </si>
  <si>
    <t xml:space="preserve">BikeWale / BikeDekho (Aug-2026)</t>
  </si>
  <si>
    <t xml:space="preserve">Autocar Professional / Wikipedia (Matter Electric)</t>
  </si>
  <si>
    <t xml:space="preserve">NICHE EXHIBIT #2: strong differentiation, negligible volume. Tests whether product novelty alone builds a business.</t>
  </si>
  <si>
    <t xml:space="preserve">M019</t>
  </si>
  <si>
    <t xml:space="preserve">Matter Motor Works</t>
  </si>
  <si>
    <t xml:space="preserve">Aera 5000+</t>
  </si>
  <si>
    <t xml:space="preserve">In-house liquid-cooled pack</t>
  </si>
  <si>
    <t xml:space="preserve">4-speed manual (HyperShift)</t>
  </si>
  <si>
    <t xml:space="preserve">4G, nav, OTA, ride analytics</t>
  </si>
  <si>
    <t xml:space="preserve">Geared transmission + liquid cooling; lifetime battery warranty</t>
  </si>
  <si>
    <t xml:space="preserve">LIFETIME battery warranty</t>
  </si>
  <si>
    <t xml:space="preserve">Ahmedabad</t>
  </si>
  <si>
    <t xml:space="preserve">Top-spec geared e-motorcycle</t>
  </si>
  <si>
    <t xml:space="preserve">Autocar Professional (Rs1.93 lakh Delhi launch)</t>
  </si>
  <si>
    <t xml:space="preserve">ETAuto lifetime battery warranty (2025)</t>
  </si>
  <si>
    <t xml:space="preserve">Scaling from c.7 to c.150 dealers; stated 50,000-unit 2026 target is aspirational, not guidance.</t>
  </si>
  <si>
    <t xml:space="preserve">M020</t>
  </si>
  <si>
    <t xml:space="preserve">Raptee.HV (private)</t>
  </si>
  <si>
    <t xml:space="preserve">Raptee.HV</t>
  </si>
  <si>
    <t xml:space="preserve">T30</t>
  </si>
  <si>
    <t xml:space="preserve">STD</t>
  </si>
  <si>
    <t xml:space="preserve">Deliveries from early 2026</t>
  </si>
  <si>
    <t xml:space="preserve">Premium technology</t>
  </si>
  <si>
    <t xml:space="preserve">Imported cells; in-house HV pack</t>
  </si>
  <si>
    <t xml:space="preserve">IDC (150 km real-world claimed)</t>
  </si>
  <si>
    <t xml:space="preserve">~50 min (0-80%) on CCS2 DC</t>
  </si>
  <si>
    <t xml:space="preserve">YES — CCS2, uses car fast-charging infrastructure</t>
  </si>
  <si>
    <t xml:space="preserve">320 mm disc / 230 mm disc</t>
  </si>
  <si>
    <t xml:space="preserve">INDIA'S FIRST HIGH-VOLTAGE (c.350-400V) E-MOTORCYCLE; CCS2 compatible</t>
  </si>
  <si>
    <t xml:space="preserve">HV platform</t>
  </si>
  <si>
    <t xml:space="preserve">Chennai (SIPCOT Cheyyar land secured)</t>
  </si>
  <si>
    <t xml:space="preserve">High-voltage architecture lets it charge on the existing car DC network — solves the charging-infrastructure problem structurally</t>
  </si>
  <si>
    <t xml:space="preserve">NICHE EXHIBIT #3: the most technically interesting architecture bet. Raised c.USD12m+; raising USD15-20m Series A.</t>
  </si>
  <si>
    <t xml:space="preserve">M021</t>
  </si>
  <si>
    <t xml:space="preserve">Sport</t>
  </si>
  <si>
    <t xml:space="preserve">In-house HV pack</t>
  </si>
  <si>
    <t xml:space="preserve">~50 min (0-80%) CCS2</t>
  </si>
  <si>
    <t xml:space="preserve">Yes — CCS2</t>
  </si>
  <si>
    <t xml:space="preserve">Chennai</t>
  </si>
  <si>
    <t xml:space="preserve">Variant pricing not consistently disclosed; verify.</t>
  </si>
  <si>
    <t xml:space="preserve">M022</t>
  </si>
  <si>
    <t xml:space="preserve">Eicher Motors / Royal Enfield (listed: EICHERMOT)</t>
  </si>
  <si>
    <t xml:space="preserve">Flying Flea (Royal Enfield)</t>
  </si>
  <si>
    <t xml:space="preserve">Flying Flea C6</t>
  </si>
  <si>
    <t xml:space="preserve">Apr-2026</t>
  </si>
  <si>
    <t xml:space="preserve">Premium heritage urban</t>
  </si>
  <si>
    <t xml:space="preserve">Rs1,99,000 with Battery-as-a-Service</t>
  </si>
  <si>
    <t xml:space="preserve">65 min (20-80%); c.2h full</t>
  </si>
  <si>
    <t xml:space="preserve">19-inch front / 18-inch rear</t>
  </si>
  <si>
    <t xml:space="preserve">3.5-inch circular touchscreen TFT</t>
  </si>
  <si>
    <t xml:space="preserve">4G, map navigation, call alerts, music control</t>
  </si>
  <si>
    <t xml:space="preserve">Forged aluminium/magnesium frame; GIRDER front suspension; keyless ignition; wireless phone charger; adjustable foot pegs; regen braking</t>
  </si>
  <si>
    <t xml:space="preserve">Purpose-built Flying Flea EV platform</t>
  </si>
  <si>
    <t xml:space="preserve">Chennai; RE global network</t>
  </si>
  <si>
    <t xml:space="preserve">The strongest brand equity of any electric motorcycle in India, at the lightest weight (124 kg)</t>
  </si>
  <si>
    <t xml:space="preserve">Electrek launch report (10-Apr-2026)</t>
  </si>
  <si>
    <t xml:space="preserve">NICHE EXHIBIT #4 — the highest-probability niche winner. Note: Electrek publicly questions whether 154 km IDC from 3.91 kWh is credible; expect c.90-100 km real-world.</t>
  </si>
  <si>
    <t xml:space="preserve">M023</t>
  </si>
  <si>
    <t xml:space="preserve">Tork Motors (private, Bharat Forge-backed)</t>
  </si>
  <si>
    <t xml:space="preserve">Tork</t>
  </si>
  <si>
    <t xml:space="preserve">Kratos R</t>
  </si>
  <si>
    <t xml:space="preserve">Performance commuter</t>
  </si>
  <si>
    <t xml:space="preserve">Axial flux mid-drive, chain</t>
  </si>
  <si>
    <t xml:space="preserve">~1h (0-80%, fast charge)</t>
  </si>
  <si>
    <t xml:space="preserve">4G, TIROS OS, nav, geofencing</t>
  </si>
  <si>
    <t xml:space="preserve">In-house axial flux motor and TIROS operating system</t>
  </si>
  <si>
    <t xml:space="preserve">Kratos platform</t>
  </si>
  <si>
    <t xml:space="preserve">Pune, Maharashtra</t>
  </si>
  <si>
    <t xml:space="preserve">In-house axial-flux motor — one of very few genuinely proprietary powertrain claims</t>
  </si>
  <si>
    <t xml:space="preserve">Research compilation / aggregator listings</t>
  </si>
  <si>
    <t xml:space="preserve">Axial flux motor design is one of the few components that is NOT easily outsourced — worth tracking.</t>
  </si>
  <si>
    <t xml:space="preserve">M024</t>
  </si>
  <si>
    <t xml:space="preserve">Tork Motors</t>
  </si>
  <si>
    <t xml:space="preserve">Kratos X</t>
  </si>
  <si>
    <t xml:space="preserve">Axial flux mid-drive</t>
  </si>
  <si>
    <t xml:space="preserve">~1h</t>
  </si>
  <si>
    <t xml:space="preserve">TIROS OS, 4G</t>
  </si>
  <si>
    <t xml:space="preserve">Pune</t>
  </si>
  <si>
    <t xml:space="preserve">M025</t>
  </si>
  <si>
    <t xml:space="preserve">Orxa Energies (private)</t>
  </si>
  <si>
    <t xml:space="preserve">Orxa</t>
  </si>
  <si>
    <t xml:space="preserve">Mantis</t>
  </si>
  <si>
    <t xml:space="preserve">Performance niche</t>
  </si>
  <si>
    <t xml:space="preserve">~1h30m fast</t>
  </si>
  <si>
    <t xml:space="preserve">Low-volume performance streetfighter</t>
  </si>
  <si>
    <t xml:space="preserve">Mantis platform</t>
  </si>
  <si>
    <t xml:space="preserve">Boutique performance — negligible volume</t>
  </si>
  <si>
    <t xml:space="preserve">Very low volume; included for completeness of the &gt;Rs3L band.</t>
  </si>
  <si>
    <t xml:space="preserve">M026</t>
  </si>
  <si>
    <t xml:space="preserve">Kabira Mobility (private)</t>
  </si>
  <si>
    <t xml:space="preserve">Kabira</t>
  </si>
  <si>
    <t xml:space="preserve">KM3000 Mark II / KM4000 Mark II</t>
  </si>
  <si>
    <t xml:space="preserve">2021-2023</t>
  </si>
  <si>
    <t xml:space="preserve">Performance value</t>
  </si>
  <si>
    <t xml:space="preserve">~50 min fast charge</t>
  </si>
  <si>
    <t xml:space="preserve">Removable battery performance bike</t>
  </si>
  <si>
    <t xml:space="preserve">Goa</t>
  </si>
  <si>
    <t xml:space="preserve">Availability inconsistent; verify before modelling.</t>
  </si>
  <si>
    <t xml:space="preserve">M027</t>
  </si>
  <si>
    <t xml:space="preserve">HOP Electric (private)</t>
  </si>
  <si>
    <t xml:space="preserve">HOP</t>
  </si>
  <si>
    <t xml:space="preserve">OXO / OXO X</t>
  </si>
  <si>
    <t xml:space="preserve">OXO platform</t>
  </si>
  <si>
    <t xml:space="preserve">Jaipur, Rajasthan</t>
  </si>
  <si>
    <t xml:space="preserve">M028</t>
  </si>
  <si>
    <t xml:space="preserve">Srivaru Motors (private)</t>
  </si>
  <si>
    <t xml:space="preserve">Srivaru</t>
  </si>
  <si>
    <t xml:space="preserve">Prana</t>
  </si>
  <si>
    <t xml:space="preserve">Standard / Grand</t>
  </si>
  <si>
    <t xml:space="preserve">Niche premium</t>
  </si>
  <si>
    <t xml:space="preserve">Coimbatore, Tamil Nadu</t>
  </si>
  <si>
    <t xml:space="preserve">Very low volume; status uncertain.</t>
  </si>
  <si>
    <t xml:space="preserve">M029</t>
  </si>
  <si>
    <t xml:space="preserve">Komaki / LML / Others (private, various)</t>
  </si>
  <si>
    <t xml:space="preserve">Ranger / Venice / Star (representative)</t>
  </si>
  <si>
    <t xml:space="preserve">On sale (fragmented)</t>
  </si>
  <si>
    <t xml:space="preserve">Li-ion / LFP</t>
  </si>
  <si>
    <t xml:space="preserve">Hub or mid-drive</t>
  </si>
  <si>
    <t xml:space="preserve">Representative row for the fragmented low-volume e-motorcycle tail</t>
  </si>
  <si>
    <t xml:space="preserve">Various</t>
  </si>
  <si>
    <t xml:space="preserve">LONG-TAIL EXHIBIT: many brands, negligible aggregate share</t>
  </si>
  <si>
    <t xml:space="preserve">Industry compilation</t>
  </si>
  <si>
    <t xml:space="preserve">Claimed range figures from this cohort are frequently uncertified — do not use for competitive analysis.</t>
  </si>
  <si>
    <t xml:space="preserve">PIPELINE — UPCOMING AND ANNOUNCED PRODUCTS</t>
  </si>
  <si>
    <t xml:space="preserve">Read the CONFIRMATION LEVEL column before modelling anything. Only COMPANY-CONFIRMED and COMPANY-GUIDED entries belong in a volume forecast.</t>
  </si>
  <si>
    <t xml:space="preserve">Body type</t>
  </si>
  <si>
    <t xml:space="preserve">Segment</t>
  </si>
  <si>
    <t xml:space="preserve">Expected launch</t>
  </si>
  <si>
    <t xml:space="preserve">CONFIRMATION LEVEL</t>
  </si>
  <si>
    <t xml:space="preserve">Expected price</t>
  </si>
  <si>
    <t xml:space="preserve">Expected battery (kWh)</t>
  </si>
  <si>
    <t xml:space="preserve">Expected range</t>
  </si>
  <si>
    <t xml:space="preserve">Expected power</t>
  </si>
  <si>
    <t xml:space="preserve">Known specs / what was shown</t>
  </si>
  <si>
    <t xml:space="preserve">Strategic rationale</t>
  </si>
  <si>
    <t xml:space="preserve">Source</t>
  </si>
  <si>
    <t xml:space="preserve">Source date</t>
  </si>
  <si>
    <t xml:space="preserve">Risk flag / how to model</t>
  </si>
  <si>
    <t xml:space="preserve">P001</t>
  </si>
  <si>
    <t xml:space="preserve">EL platform (EL01)</t>
  </si>
  <si>
    <t xml:space="preserve">Scooter</t>
  </si>
  <si>
    <t xml:space="preserve">Mass-market</t>
  </si>
  <si>
    <t xml:space="preserve">Reveal 29-Aug-2026; volumes FY27</t>
  </si>
  <si>
    <t xml:space="preserve">COMPANY-SIGNALLED (reveal date announced)</t>
  </si>
  <si>
    <t xml:space="preserve">Rs1.00-1.25 lakh (expected)</t>
  </si>
  <si>
    <t xml:space="preserve">EL (new steel-chassis mass platform)</t>
  </si>
  <si>
    <t xml:space="preserve">Steel chassis to cut cost vs the aluminium-intensive 450/Rizta; targeted at the sub-Rs1.2L volume core</t>
  </si>
  <si>
    <t xml:space="preserve">Ather has no true entry product; EL is its answer to TVS Orbiter and Vida VX2 Go. Critical to Ather's volume trajectory.</t>
  </si>
  <si>
    <t xml:space="preserve">MeraEV / company reveal calendar</t>
  </si>
  <si>
    <t xml:space="preserve">Price band is an estimate, not company guidance. Do NOT model volumes before H2 FY27.</t>
  </si>
  <si>
    <t xml:space="preserve">P002</t>
  </si>
  <si>
    <t xml:space="preserve">Zenith motorcycle platform</t>
  </si>
  <si>
    <t xml:space="preserve">Motorcycle</t>
  </si>
  <si>
    <t xml:space="preserve">125-300cc equivalent</t>
  </si>
  <si>
    <t xml:space="preserve">FY27+</t>
  </si>
  <si>
    <t xml:space="preserve">COMPANY-CONFIRMED (platform), TIMING UNGUIDED</t>
  </si>
  <si>
    <t xml:space="preserve">Zenith (LFP-certified motorcycle platform)</t>
  </si>
  <si>
    <t xml:space="preserve">LFP chemistry certified; to be built at the new Maharashtra (Aurangabad) plant</t>
  </si>
  <si>
    <t xml:space="preserve">Ather's entry into e-motorcycles; extends the software/brand moat into a segment with no incumbent</t>
  </si>
  <si>
    <t xml:space="preserve">Business Standard</t>
  </si>
  <si>
    <t xml:space="preserve">No product, price or date announced. Treat as optionality only.</t>
  </si>
  <si>
    <t xml:space="preserve">P003</t>
  </si>
  <si>
    <t xml:space="preserve">Shockwave</t>
  </si>
  <si>
    <t xml:space="preserve">Funduro / entry-performance</t>
  </si>
  <si>
    <t xml:space="preserve">c.Sep-2026 (site shows Q1 2026 — SLIPPED)</t>
  </si>
  <si>
    <t xml:space="preserve">COMPANY-ANNOUNCED, TIMING SLIPPED</t>
  </si>
  <si>
    <t xml:space="preserve">Rs1.75 lakh (listed)</t>
  </si>
  <si>
    <t xml:space="preserve">c.4.2 kWh (reported)</t>
  </si>
  <si>
    <t xml:space="preserve">165 km (listed)</t>
  </si>
  <si>
    <t xml:space="preserve">10.8 kW (listed)</t>
  </si>
  <si>
    <t xml:space="preserve">UV compact platform</t>
  </si>
  <si>
    <t xml:space="preserve">Off-road-flavoured 'funduro'; pre-bookings open</t>
  </si>
  <si>
    <t xml:space="preserve">Takes UV down-market from Rs3L to Rs1.75L — the volume test for its brand</t>
  </si>
  <si>
    <t xml:space="preserve">ultraviolette.com; thebikejunction listing</t>
  </si>
  <si>
    <t xml:space="preserve">Timing has already slipped once. Treat Sep-2026 as best case.</t>
  </si>
  <si>
    <t xml:space="preserve">P004</t>
  </si>
  <si>
    <t xml:space="preserve">Q1 2027 (company site)</t>
  </si>
  <si>
    <t xml:space="preserve">Rs1.20 lakh (introductory, extended)</t>
  </si>
  <si>
    <t xml:space="preserve">6.0 kWh</t>
  </si>
  <si>
    <t xml:space="preserve">261 km IDC (claimed)</t>
  </si>
  <si>
    <t xml:space="preserve">14 kW</t>
  </si>
  <si>
    <t xml:space="preserve">Radar-based blind-spot detection and forward-collision warning; &gt;70,000 pre-bookings reported</t>
  </si>
  <si>
    <t xml:space="preserve">First scooter from a motorcycle brand; ADAS-style tech as the differentiator</t>
  </si>
  <si>
    <t xml:space="preserve">ultraviolette.com (Q1 2027); Autocar India</t>
  </si>
  <si>
    <t xml:space="preserve">Jun-2026</t>
  </si>
  <si>
    <t xml:space="preserve">SLIPPED from Q1-2026 to Q1-2027. Pre-bookings are not orders.</t>
  </si>
  <si>
    <t xml:space="preserve">P005</t>
  </si>
  <si>
    <t xml:space="preserve">F99</t>
  </si>
  <si>
    <t xml:space="preserve">Track / halo</t>
  </si>
  <si>
    <t xml:space="preserve">Not confirmed</t>
  </si>
  <si>
    <t xml:space="preserve">ANNOUNCED, NO DATE</t>
  </si>
  <si>
    <t xml:space="preserve">Not announced</t>
  </si>
  <si>
    <t xml:space="preserve">F99 platform</t>
  </si>
  <si>
    <t xml:space="preserve">Track-focused halo machine</t>
  </si>
  <si>
    <t xml:space="preserve">Brand halo, not volume</t>
  </si>
  <si>
    <t xml:space="preserve">Halo project. Model zero volume.</t>
  </si>
  <si>
    <t xml:space="preserve">P006</t>
  </si>
  <si>
    <t xml:space="preserve">Eicher Motors / Royal Enfield</t>
  </si>
  <si>
    <t xml:space="preserve">Flying Flea</t>
  </si>
  <si>
    <t xml:space="preserve">Flying Flea S6</t>
  </si>
  <si>
    <t xml:space="preserve">Premium scrambler</t>
  </si>
  <si>
    <t xml:space="preserve">FY27 (post-C6)</t>
  </si>
  <si>
    <t xml:space="preserve">COMPANY-CONFIRMED PRODUCT, TIMING UNGUIDED</t>
  </si>
  <si>
    <t xml:space="preserve">Expected c.Rs2.8-3.2 lakh (estimate)</t>
  </si>
  <si>
    <t xml:space="preserve">c.3.91 kWh (C6-derived)</t>
  </si>
  <si>
    <t xml:space="preserve">c.15 kW (C6-derived)</t>
  </si>
  <si>
    <t xml:space="preserve">Flying Flea EV platform</t>
  </si>
  <si>
    <t xml:space="preserve">Scrambler bodystyle on the C6 platform; shown at Motoverse 2025</t>
  </si>
  <si>
    <t xml:space="preserve">Platform leverage across two bodystyles; extends RE's heritage moat into EV</t>
  </si>
  <si>
    <t xml:space="preserve">Royal Enfield Motoverse 2025</t>
  </si>
  <si>
    <t xml:space="preserve">Nov-2025</t>
  </si>
  <si>
    <t xml:space="preserve">Price is an ESTIMATE. No launch date announced.</t>
  </si>
  <si>
    <t xml:space="preserve">P007</t>
  </si>
  <si>
    <t xml:space="preserve">Diamondhead</t>
  </si>
  <si>
    <t xml:space="preserve">CY2027</t>
  </si>
  <si>
    <t xml:space="preserve">COMPANY-ANNOUNCED (Sankalp 2025)</t>
  </si>
  <si>
    <t xml:space="preserve">&lt;Rs5 lakh (company statement)</t>
  </si>
  <si>
    <t xml:space="preserve">New performance platform</t>
  </si>
  <si>
    <t xml:space="preserve">Hub-centre steering; custom in-house silicon</t>
  </si>
  <si>
    <t xml:space="preserve">Technology halo intended to rebuild Ola's brand credibility</t>
  </si>
  <si>
    <t xml:space="preserve">Ola has a track record of announcing and delaying. Model zero volume.</t>
  </si>
  <si>
    <t xml:space="preserve">P008</t>
  </si>
  <si>
    <t xml:space="preserve">Gen-4 platform</t>
  </si>
  <si>
    <t xml:space="preserve">Scooter + Motorcycle</t>
  </si>
  <si>
    <t xml:space="preserve">Across range</t>
  </si>
  <si>
    <t xml:space="preserve">FY27-FY28</t>
  </si>
  <si>
    <t xml:space="preserve">Gen-4</t>
  </si>
  <si>
    <t xml:space="preserve">Further BOM reduction on the 4680 Bharat Cell and in-house ferrite motor</t>
  </si>
  <si>
    <t xml:space="preserve">Ola cut its auto-EBITDA breakeven from 50,000 to &lt;25,000 units/month on Gen-3 BOM work; Gen-4 extends this</t>
  </si>
  <si>
    <t xml:space="preserve">Ola disclosures / research compilation</t>
  </si>
  <si>
    <t xml:space="preserve">Breakeven claims are company statements, not audited.</t>
  </si>
  <si>
    <t xml:space="preserve">P009</t>
  </si>
  <si>
    <t xml:space="preserve">VXZ (adventure)</t>
  </si>
  <si>
    <t xml:space="preserve">Adventure</t>
  </si>
  <si>
    <t xml:space="preserve">c.Feb-2027</t>
  </si>
  <si>
    <t xml:space="preserve">MEDIA-REPORTED (patent leak)</t>
  </si>
  <si>
    <t xml:space="preserve">Zero Motorcycles-linked platform</t>
  </si>
  <si>
    <t xml:space="preserve">Adventure bodystyle; leverages Hero's equity investment in Zero Motorcycles</t>
  </si>
  <si>
    <t xml:space="preserve">Hero buying rather than building its e-motorcycle powertrain — direct evidence of outsourceability</t>
  </si>
  <si>
    <t xml:space="preserve">ZigWheels patent-filing report</t>
  </si>
  <si>
    <t xml:space="preserve">SPECULATIVE. Patent filings are not launch commitments.</t>
  </si>
  <si>
    <t xml:space="preserve">P010</t>
  </si>
  <si>
    <t xml:space="preserve">UBEX</t>
  </si>
  <si>
    <t xml:space="preserve">Street naked</t>
  </si>
  <si>
    <t xml:space="preserve">CONCEPT / SHOWN</t>
  </si>
  <si>
    <t xml:space="preserve">Street-naked concept</t>
  </si>
  <si>
    <t xml:space="preserve">Segment-filling concept</t>
  </si>
  <si>
    <t xml:space="preserve">ZigWheels / show coverage</t>
  </si>
  <si>
    <t xml:space="preserve">Concept only.</t>
  </si>
  <si>
    <t xml:space="preserve">P011</t>
  </si>
  <si>
    <t xml:space="preserve">Z-series / next platform</t>
  </si>
  <si>
    <t xml:space="preserve">FY27</t>
  </si>
  <si>
    <t xml:space="preserve">New Vida platform</t>
  </si>
  <si>
    <t xml:space="preserve">Premium step-up above VX2</t>
  </si>
  <si>
    <t xml:space="preserve">Hero targets scaling Vida from c.15,000 to c.45,000 units/month (Chittoor plant); &gt;Rs1,500 cr FY27 EV capex</t>
  </si>
  <si>
    <t xml:space="preserve">MeraEV / Motilal Oswal / company commentary</t>
  </si>
  <si>
    <t xml:space="preserve">Volume target is management aspiration, not guidance.</t>
  </si>
  <si>
    <t xml:space="preserve">P012</t>
  </si>
  <si>
    <t xml:space="preserve">Electric motorcycle (reported 'EFX 30')</t>
  </si>
  <si>
    <t xml:space="preserve">Commuter-performance</t>
  </si>
  <si>
    <t xml:space="preserve">SPECULATIVE (patents / media)</t>
  </si>
  <si>
    <t xml:space="preserve">Reported via patent filings</t>
  </si>
  <si>
    <t xml:space="preserve">TVS is the volume leader in e-scooters but has NO electric motorcycle — the largest single gap in the market leader's portfolio</t>
  </si>
  <si>
    <t xml:space="preserve">MeraEV / patent reports</t>
  </si>
  <si>
    <t xml:space="preserve">SPECULATIVE. No official confirmation.</t>
  </si>
  <si>
    <t xml:space="preserve">P013</t>
  </si>
  <si>
    <t xml:space="preserve">Premium e-scooter / TVS-BMW electric collaboration</t>
  </si>
  <si>
    <t xml:space="preserve">BMW Motorrad partnership extension into EV reported</t>
  </si>
  <si>
    <t xml:space="preserve">Would give TVS a credible premium/export product</t>
  </si>
  <si>
    <t xml:space="preserve">Media reports</t>
  </si>
  <si>
    <t xml:space="preserve">SPECULATIVE.</t>
  </si>
  <si>
    <t xml:space="preserve">P014</t>
  </si>
  <si>
    <t xml:space="preserve">CUV e: and further India EV models</t>
  </si>
  <si>
    <t xml:space="preserve">Mass to premium</t>
  </si>
  <si>
    <t xml:space="preserve">Through 2030</t>
  </si>
  <si>
    <t xml:space="preserve">COMPANY-CONFIRMED TARGET (30 EV models globally by 2030)</t>
  </si>
  <si>
    <t xml:space="preserve">Activa e: and QC1 were models 12 and 13 of Honda's global 30-by-2030 EV plan</t>
  </si>
  <si>
    <t xml:space="preserve">Honda has the deepest ICE scooter network in India but the weakest EV share — the largest latent competitive threat in the market</t>
  </si>
  <si>
    <t xml:space="preserve">Honda Global press release</t>
  </si>
  <si>
    <t xml:space="preserve">Nov-2024</t>
  </si>
  <si>
    <t xml:space="preserve">Global target confirmed; India model-by-model plan is NOT disclosed.</t>
  </si>
  <si>
    <t xml:space="preserve">P015</t>
  </si>
  <si>
    <t xml:space="preserve">e-Access national rollout + follow-on models</t>
  </si>
  <si>
    <t xml:space="preserve">Ongoing from Jan-2026</t>
  </si>
  <si>
    <t xml:space="preserve">COMPANY-CONFIRMED (rollout)</t>
  </si>
  <si>
    <t xml:space="preserve">Phased geographic expansion of the e-Access</t>
  </si>
  <si>
    <t xml:space="preserve">Suzuki is the last major Japanese incumbent to enter; watch whether Access brand equity converts</t>
  </si>
  <si>
    <t xml:space="preserve">Autocar Professional</t>
  </si>
  <si>
    <t xml:space="preserve">P016</t>
  </si>
  <si>
    <t xml:space="preserve">EC-06 expansion / next model</t>
  </si>
  <si>
    <t xml:space="preserve">Ongoing</t>
  </si>
  <si>
    <t xml:space="preserve">COMPANY-CONFIRMED (EC-06 on sale)</t>
  </si>
  <si>
    <t xml:space="preserve">River-derived</t>
  </si>
  <si>
    <t xml:space="preserve">Yamaha contract-manufactures with River at Hoskote</t>
  </si>
  <si>
    <t xml:space="preserve">THESIS-CRITICAL: a global OEM choosing to buy an Indian startup's platform rather than build its own is the single clearest proof that EV 2W entry barriers are low</t>
  </si>
  <si>
    <t xml:space="preserve">Autocar India / BikeWale</t>
  </si>
  <si>
    <t xml:space="preserve">P017</t>
  </si>
  <si>
    <t xml:space="preserve">Chetak line extensions + electric motorcycle</t>
  </si>
  <si>
    <t xml:space="preserve">Both</t>
  </si>
  <si>
    <t xml:space="preserve">MEDIA-REPORTED / MANAGEMENT COMMENTARY</t>
  </si>
  <si>
    <t xml:space="preserve">Chetak platform + new</t>
  </si>
  <si>
    <t xml:space="preserve">Bajaj targets e-2W leadership via Chetak capacity and variant expansion</t>
  </si>
  <si>
    <t xml:space="preserve">Bajaj has the KTM/Husqvarna/Triumph relationships that could seed a premium e-motorcycle</t>
  </si>
  <si>
    <t xml:space="preserve">Company commentary / media</t>
  </si>
  <si>
    <t xml:space="preserve">No confirmed electric motorcycle product.</t>
  </si>
  <si>
    <t xml:space="preserve">P018</t>
  </si>
  <si>
    <t xml:space="preserve">Aera 4000 / 6000 / 6000+</t>
  </si>
  <si>
    <t xml:space="preserve">Value to premium</t>
  </si>
  <si>
    <t xml:space="preserve">2026-27</t>
  </si>
  <si>
    <t xml:space="preserve">Battery-size laddering on the geared Aera platform</t>
  </si>
  <si>
    <t xml:space="preserve">Broadens the geared-EV niche to lower price points</t>
  </si>
  <si>
    <t xml:space="preserve">Company statements / media</t>
  </si>
  <si>
    <t xml:space="preserve">Aspirational. FY26 actual volumes were negligible.</t>
  </si>
  <si>
    <t xml:space="preserve">P019</t>
  </si>
  <si>
    <t xml:space="preserve">City expansion + follow-on models</t>
  </si>
  <si>
    <t xml:space="preserve">Deliveries began Chennai and Bengaluru (Apr-2026); SIPCOT Cheyyar land secured for scale-up</t>
  </si>
  <si>
    <t xml:space="preserve">Watch whether CCS2 compatibility converts into real customer advantage</t>
  </si>
  <si>
    <t xml:space="preserve">Company / media</t>
  </si>
  <si>
    <t xml:space="preserve">Funding-dependent: raising USD15-20m Series A.</t>
  </si>
  <si>
    <t xml:space="preserve">P020</t>
  </si>
  <si>
    <t xml:space="preserve">River Mobility</t>
  </si>
  <si>
    <t xml:space="preserve">Second product (premium utility scooter)</t>
  </si>
  <si>
    <t xml:space="preserve">Premium utility</t>
  </si>
  <si>
    <t xml:space="preserve">Mid-2027 (targeted)</t>
  </si>
  <si>
    <t xml:space="preserve">New River platform</t>
  </si>
  <si>
    <t xml:space="preserve">Funded by the USD120m (c.Rs1,141 cr) Series C led by Elev8 and Claypond Capital (Nov-2025)</t>
  </si>
  <si>
    <t xml:space="preserve">Tests whether the utility niche can support a product family</t>
  </si>
  <si>
    <t xml:space="preserve">Mercom / Autocar India / EVreporter</t>
  </si>
  <si>
    <t xml:space="preserve">Timing is a company target, not a commitment.</t>
  </si>
  <si>
    <t xml:space="preserve">P021</t>
  </si>
  <si>
    <t xml:space="preserve">Dot One</t>
  </si>
  <si>
    <t xml:space="preserve">COMPANY-ANNOUNCED</t>
  </si>
  <si>
    <t xml:space="preserve">c.Rs1.10 lakh (reported)</t>
  </si>
  <si>
    <t xml:space="preserve">Lower-priced entry beneath the Simple One</t>
  </si>
  <si>
    <t xml:space="preserve">Attempt to convert range-halo brand awareness into volume; targets IPO H2 FY28</t>
  </si>
  <si>
    <t xml:space="preserve">Inc42 / Tracxn / company</t>
  </si>
  <si>
    <t xml:space="preserve">Simple has c.4,806 cumulative units to Apr-2026. Execution risk is very high.</t>
  </si>
  <si>
    <t xml:space="preserve">P022</t>
  </si>
  <si>
    <t xml:space="preserve">DX line extensions</t>
  </si>
  <si>
    <t xml:space="preserve">Heritage-brand revival extension</t>
  </si>
  <si>
    <t xml:space="preserve">Tests heritage brand equity without a legacy service network</t>
  </si>
  <si>
    <t xml:space="preserve">P023</t>
  </si>
  <si>
    <t xml:space="preserve">New Nexus-platform products</t>
  </si>
  <si>
    <t xml:space="preserve">Portfolio refresh post-FAME-II recovery</t>
  </si>
  <si>
    <t xml:space="preserve">Greaves grew 53% in FY26 off a low base; watch whether that persists post-subsidy</t>
  </si>
  <si>
    <t xml:space="preserve">P024</t>
  </si>
  <si>
    <t xml:space="preserve">Chinese OEMs (Niu, Yadea, Segway/Ninebot)</t>
  </si>
  <si>
    <t xml:space="preserve">India entry / licensing</t>
  </si>
  <si>
    <t xml:space="preserve">No confirmed India manufacturing plans</t>
  </si>
  <si>
    <t xml:space="preserve">The largest unmodelled competitive risk: Chinese e-2W OEMs have global scale and cost advantage</t>
  </si>
  <si>
    <t xml:space="preserve">WATCH ITEM: India-China trade and FDI policy is the binding constraint, not capability</t>
  </si>
  <si>
    <t xml:space="preserve">SPECULATIVE. No confirmed entry. Monitor FDI/Press Note 3 policy changes.</t>
  </si>
  <si>
    <t xml:space="preserve">PRICE-BAND MAP — WHERE THE MARKET IS CROWDED AND WHERE IT IS EMPTY</t>
  </si>
  <si>
    <t xml:space="preserve">Live counts driven by the calculated price-band column on the two model-master sheets. Add a model there and these numbers move.</t>
  </si>
  <si>
    <t xml:space="preserve">Price band (ex-showroom)</t>
  </si>
  <si>
    <t xml:space="preserve">Scooter variants</t>
  </si>
  <si>
    <t xml:space="preserve">Motorcycle variants</t>
  </si>
  <si>
    <t xml:space="preserve">Total</t>
  </si>
  <si>
    <t xml:space="preserve">Competitive read</t>
  </si>
  <si>
    <t xml:space="preserve">1. &lt;Rs70k</t>
  </si>
  <si>
    <t xml:space="preserve">Licence-free low-speed and BaaS-only offers. Invisible to Vahan. Not a real retail band yet.</t>
  </si>
  <si>
    <t xml:space="preserve">2. Rs70k-1L</t>
  </si>
  <si>
    <t xml:space="preserve">THE NEW BATTLEGROUND. Entry variants from all four leaders now sit here. Expect the sharpest margin compression.</t>
  </si>
  <si>
    <t xml:space="preserve">3. Rs1-1.5L</t>
  </si>
  <si>
    <t xml:space="preserve">MOST CROWDED BAND. Every major OEM competes here. This is where the mass-market commoditisation thesis plays out.</t>
  </si>
  <si>
    <t xml:space="preserve">4. Rs1.5-2L</t>
  </si>
  <si>
    <t xml:space="preserve">Thinning. Buyers trade up only for genuine range or brand. Suzuki, Ather 450X, iQube ST, Vida Plus 4.4.</t>
  </si>
  <si>
    <t xml:space="preserve">5. Rs2-3L</t>
  </si>
  <si>
    <t xml:space="preserve">Emerging premium niche. Almost entirely motorcycles — Raptee, UV X47, RE Flying Flea.</t>
  </si>
  <si>
    <t xml:space="preserve">6. &gt;Rs3L</t>
  </si>
  <si>
    <t xml:space="preserve">Sparse. UV F77 and imports only. The clearest structural white space in the market.</t>
  </si>
  <si>
    <t xml:space="preserve">TOTAL PRICED VARIANTS</t>
  </si>
  <si>
    <t xml:space="preserve">AVERAGE PRICE AND SPEC BY BODY TYPE</t>
  </si>
  <si>
    <t xml:space="preserve">Metric</t>
  </si>
  <si>
    <t xml:space="preserve">Scooters</t>
  </si>
  <si>
    <t xml:space="preserve">Motorcycles</t>
  </si>
  <si>
    <t xml:space="preserve">Average latest price (Rs, ex-showroom)</t>
  </si>
  <si>
    <t xml:space="preserve">Average battery (kWh)</t>
  </si>
  <si>
    <t xml:space="preserve">Average claimed range (km)</t>
  </si>
  <si>
    <t xml:space="preserve">Average peak power (kW)</t>
  </si>
  <si>
    <t xml:space="preserve">Average Rs per kWh</t>
  </si>
  <si>
    <t xml:space="preserve">Note: averages are unweighted across variants, not volume-weighted, and exclude any variant priced above Rs5 lakh (i.e. the imported BMW CE 04) so the mean is not distorted. They describe the shape of the product landscape, not the market.</t>
  </si>
  <si>
    <t xml:space="preserve">COMPANY PROFILES — OWNERSHIP, FINANCIALS, CAPACITY, NETWORK AND MOAT</t>
  </si>
  <si>
    <t xml:space="preserve">The 'identified moat' column is the analytical output: what actually protects each player, as distinct from what they claim.</t>
  </si>
  <si>
    <t xml:space="preserve">Company</t>
  </si>
  <si>
    <t xml:space="preserve">Type</t>
  </si>
  <si>
    <t xml:space="preserve">Ticker</t>
  </si>
  <si>
    <t xml:space="preserve">Market cap / valuation</t>
  </si>
  <si>
    <t xml:space="preserve">Listing status</t>
  </si>
  <si>
    <t xml:space="preserve">Backers / funding history</t>
  </si>
  <si>
    <t xml:space="preserve">Latest revenue</t>
  </si>
  <si>
    <t xml:space="preserve">Profitability</t>
  </si>
  <si>
    <t xml:space="preserve">FY26 e-2W volume (Vahan unless noted)</t>
  </si>
  <si>
    <t xml:space="preserve">Manufacturing</t>
  </si>
  <si>
    <t xml:space="preserve">Capex</t>
  </si>
  <si>
    <t xml:space="preserve">Distribution network</t>
  </si>
  <si>
    <t xml:space="preserve">Charging / swapping</t>
  </si>
  <si>
    <t xml:space="preserve">Cell and powertrain strategy</t>
  </si>
  <si>
    <t xml:space="preserve">Stated targets and guidance</t>
  </si>
  <si>
    <t xml:space="preserve">IDENTIFIED MOAT</t>
  </si>
  <si>
    <t xml:space="preserve">Confidence</t>
  </si>
  <si>
    <t xml:space="preserve">Listed ICE incumbent</t>
  </si>
  <si>
    <t xml:space="preserve">TVSMOTOR (NSE/BSE)</t>
  </si>
  <si>
    <t xml:space="preserve">Large-cap (see Bloomberg TVSL IN)</t>
  </si>
  <si>
    <t xml:space="preserve">Long listed</t>
  </si>
  <si>
    <t xml:space="preserve">Self-funded from ICE profits</t>
  </si>
  <si>
    <t xml:space="preserve">Not disclosed separately for EV</t>
  </si>
  <si>
    <t xml:space="preserve">EV segment loss-making but cross-subsidised</t>
  </si>
  <si>
    <t xml:space="preserve">341,513 (FY26 e-2W, +43.5%)</t>
  </si>
  <si>
    <t xml:space="preserve">Hosur, Tamil Nadu</t>
  </si>
  <si>
    <t xml:space="preserve">c.Rs3,500 cr fresh EV investment (announced)</t>
  </si>
  <si>
    <t xml:space="preserve">India's deepest 2W dealer + service network (shared with ICE)</t>
  </si>
  <si>
    <t xml:space="preserve">Jio-bp partnership for AC and DC public charging</t>
  </si>
  <si>
    <t xml:space="preserve">Outsourced cells; in-house pack assembly</t>
  </si>
  <si>
    <t xml:space="preserve">40,000-50,000 e-2W/month through FY27; &gt;10 lakh e-scooters already on road</t>
  </si>
  <si>
    <t xml:space="preserve">DISTRIBUTION + SERVICE NETWORK + BRAND. Not powertrain.</t>
  </si>
  <si>
    <t xml:space="preserve">Vahan / company commentary / Motilal Oswal (2026)</t>
  </si>
  <si>
    <t xml:space="preserve">BAJAJ-AUTO (NSE/BSE)</t>
  </si>
  <si>
    <t xml:space="preserve">Large-cap (BJAUT IN)</t>
  </si>
  <si>
    <t xml:space="preserve">Self-funded</t>
  </si>
  <si>
    <t xml:space="preserve">Not disclosed separately</t>
  </si>
  <si>
    <t xml:space="preserve">EV cross-subsidised by ICE</t>
  </si>
  <si>
    <t xml:space="preserve">289,349 (FY26 e-2W, +25.7%)</t>
  </si>
  <si>
    <t xml:space="preserve">Akurdi / Chakan, Maharashtra</t>
  </si>
  <si>
    <t xml:space="preserve">Not separately disclosed</t>
  </si>
  <si>
    <t xml:space="preserve">Chetak dealer network + Bajaj/Piaggio touchpoints</t>
  </si>
  <si>
    <t xml:space="preserve">Chetak charging partnerships</t>
  </si>
  <si>
    <t xml:space="preserve">Outsourced cells</t>
  </si>
  <si>
    <t xml:space="preserve">Targeting e-2W leadership via Chetak expansion</t>
  </si>
  <si>
    <t xml:space="preserve">ALL-METAL BODY (durability differentiation) + DISTRIBUTION + BRAND</t>
  </si>
  <si>
    <t xml:space="preserve">Vahan / company disclosures</t>
  </si>
  <si>
    <t xml:space="preserve">Listed EV pure-play</t>
  </si>
  <si>
    <t xml:space="preserve">ATHERENERG (NSE/BSE)</t>
  </si>
  <si>
    <t xml:space="preserve">c.Rs57,000-58,000 cr (Aug-2026; +c.250% in 12 months)</t>
  </si>
  <si>
    <t xml:space="preserve">IPO 06-May-2025: Rs2,980.76 cr (fresh Rs2,626 cr + OFS Rs354.76 cr) at Rs321</t>
  </si>
  <si>
    <t xml:space="preserve">Hero MotoCorp largest holder c.37%; approved c.Rs1,200 cr preferential issue (Hero Rs960 cr, India-Japan Fund Rs200 cr)</t>
  </si>
  <si>
    <t xml:space="preserve">Rs3,671 cr (FY26, +66%)</t>
  </si>
  <si>
    <t xml:space="preserve">Net loss Rs517 cr (FY26); first positive operating cash flow</t>
  </si>
  <si>
    <t xml:space="preserve">c.263,000 (FY26 company deliveries, +69%); 239,178 Vahan</t>
  </si>
  <si>
    <t xml:space="preserve">Hosur F1+F2 = 420,000/yr; Maharashtra (Aurangabad) Phase 1 c.500,000/yr planned</t>
  </si>
  <si>
    <t xml:space="preserve">c.Rs2,000 cr Maharashtra plant</t>
  </si>
  <si>
    <t xml:space="preserve">c.400 Ather Spaces / experience centres</t>
  </si>
  <si>
    <t xml:space="preserve">Ather Grid: &gt;5,000-6,100 fast-charge points across 370-395 cities (3,675 own + c.1,400 partner)</t>
  </si>
  <si>
    <t xml:space="preserve">Outsourced cells; in-house pack, BMS, motor and full software stack (AtherStack)</t>
  </si>
  <si>
    <t xml:space="preserve">Q1 FY27: revenue Rs1,259.65 cr, net loss Rs51.09 cr, EBITDA margin -2.73%, 88,655 vehicles</t>
  </si>
  <si>
    <t xml:space="preserve">SOFTWARE (AtherStack, Pro Pack subscriptions) + CHARGING NETWORK + PREMIUM BRAND + Hero backing</t>
  </si>
  <si>
    <t xml:space="preserve">NSE filings / Business Standard / Entrackr (2026)</t>
  </si>
  <si>
    <t xml:space="preserve">OLAELEC (NSE/BSE)</t>
  </si>
  <si>
    <t xml:space="preserve">c.Rs17,000-19,000 cr (Aug-2026), down heavily from peak</t>
  </si>
  <si>
    <t xml:space="preserve">IPO Aug-2024 at Rs76; raised Rs6,146 cr</t>
  </si>
  <si>
    <t xml:space="preserve">SoftBank, Temasek and others pre-IPO</t>
  </si>
  <si>
    <t xml:space="preserve">Rs2,253 cr revenue from operations (FY26, c.-50%)</t>
  </si>
  <si>
    <t xml:space="preserve">Net loss c.Rs2,276 cr (FY26)</t>
  </si>
  <si>
    <t xml:space="preserve">173,794 company deliveries (FY26) vs 325-375k guidance; 164,295 Vahan (-52.3%)</t>
  </si>
  <si>
    <t xml:space="preserve">Krishnagiri, Tamil Nadu (Futurefactory) + gigafactory c.2.5 GWh operational of c.6 GWh installed</t>
  </si>
  <si>
    <t xml:space="preserve">c.Rs5,300 cr cumulative manufacturing / battery / R&amp;D capex</t>
  </si>
  <si>
    <t xml:space="preserve">Direct-to-consumer + own stores (service quality issues; CCPA intervention)</t>
  </si>
  <si>
    <t xml:space="preserve">FULLY VERTICALLY INTEGRATED: in-house 4680 Bharat Cell (mass deliveries Nov-2025) + in-house ferrite (rare-earth-free) motor</t>
  </si>
  <si>
    <t xml:space="preserve">Auto gross margin 30.6% FY26 (Q4 38.5%); Q4 FY26 first CFO-positive quarter (Rs91 cr); breakeven cut from 50,000 to &lt;25,000 units/month</t>
  </si>
  <si>
    <t xml:space="preserve">CLAIMED: vertical integration. OBSERVED: no moat — share fell 30% to c.12% in one year.</t>
  </si>
  <si>
    <t xml:space="preserve">Company disclosures / Business Standard / Vahan (2026)</t>
  </si>
  <si>
    <t xml:space="preserve">Hero MotoCorp (Vida)</t>
  </si>
  <si>
    <t xml:space="preserve">HEROMOTOCO (NSE/BSE)</t>
  </si>
  <si>
    <t xml:space="preserve">Large-cap (HMCL IN)</t>
  </si>
  <si>
    <t xml:space="preserve">Self-funded; also c.37% owner of Ather and investor in Zero Motorcycles (US)</t>
  </si>
  <si>
    <t xml:space="preserve">EV cross-subsidised</t>
  </si>
  <si>
    <t xml:space="preserve">144,330 (FY26 e-2W, +196% — fastest growth among incumbents)</t>
  </si>
  <si>
    <t xml:space="preserve">Chittoor, Andhra Pradesh</t>
  </si>
  <si>
    <t xml:space="preserve">&gt;Rs1,500 cr FY27 EV capex</t>
  </si>
  <si>
    <t xml:space="preserve">c.6,000+ ICE touchpoints being converted to Vida sales/service</t>
  </si>
  <si>
    <t xml:space="preserve">5,900+ public fast-charging points cited by Vida</t>
  </si>
  <si>
    <t xml:space="preserve">Outsourced cells; removable-pack architecture; Zero Motorcycles tie-up for e-motorcycle tech</t>
  </si>
  <si>
    <t xml:space="preserve">Scaling Vida from c.15,000 to c.45,000 units/month</t>
  </si>
  <si>
    <t xml:space="preserve">LARGEST DISTRIBUTION NETWORK IN INDIA + dual exposure via the Ather stake</t>
  </si>
  <si>
    <t xml:space="preserve">Vahan / vidaworld.com / company commentary</t>
  </si>
  <si>
    <t xml:space="preserve">Honda Motorcycle &amp; Scooter India (HMSI)</t>
  </si>
  <si>
    <t xml:space="preserve">Unlisted subsidiary of Honda Motor</t>
  </si>
  <si>
    <t xml:space="preserve">n.a. (parent 7267 JP)</t>
  </si>
  <si>
    <t xml:space="preserve">Parent-funded</t>
  </si>
  <si>
    <t xml:space="preserve">Not disclosed</t>
  </si>
  <si>
    <t xml:space="preserve">Small (Activa e: + QC1 only)</t>
  </si>
  <si>
    <t xml:space="preserve">Narsapura, Karnataka</t>
  </si>
  <si>
    <t xml:space="preserve">India's largest scooter dealer network (Activa franchise)</t>
  </si>
  <si>
    <t xml:space="preserve">Honda e:Swap swapping stations (Bengaluru, Delhi, Mumbai) via Honda Power Pack Energy India</t>
  </si>
  <si>
    <t xml:space="preserve">Honda Mobile Power Pack e: swappable architecture</t>
  </si>
  <si>
    <t xml:space="preserve">30 EV models globally by 2030 (Activa e: and QC1 were #12 and #13)</t>
  </si>
  <si>
    <t xml:space="preserve">THE ACTIVA BRAND + the deepest scooter service network. Currently unconverted into EV share.</t>
  </si>
  <si>
    <t xml:space="preserve">Honda Global (Nov-2024) / Autocar India</t>
  </si>
  <si>
    <t xml:space="preserve">Eicher Motors (Royal Enfield / Flying Flea)</t>
  </si>
  <si>
    <t xml:space="preserve">EICHERMOT (NSE/BSE)</t>
  </si>
  <si>
    <t xml:space="preserve">Large-cap (EIM IN)</t>
  </si>
  <si>
    <t xml:space="preserve">Not disclosed for EV</t>
  </si>
  <si>
    <t xml:space="preserve">EV loss-making, immaterial to group</t>
  </si>
  <si>
    <t xml:space="preserve">Small (Flying Flea C6 launched Apr-2026)</t>
  </si>
  <si>
    <t xml:space="preserve">RE's global premium dealer network + dedicated Flying Flea retail (Bengaluru expansion)</t>
  </si>
  <si>
    <t xml:space="preserve">Partnerships</t>
  </si>
  <si>
    <t xml:space="preserve">Outsourced cells; purpose-built EV platform</t>
  </si>
  <si>
    <t xml:space="preserve">Flying Flea as a distinct EV sub-brand; S6 to follow C6</t>
  </si>
  <si>
    <t xml:space="preserve">GLOBAL HERITAGE BRAND EQUITY — unmatched by any EV-native player</t>
  </si>
  <si>
    <t xml:space="preserve">BikeWale / Electrek (Apr-2026)</t>
  </si>
  <si>
    <t xml:space="preserve">Unlisted subsidiary</t>
  </si>
  <si>
    <t xml:space="preserve">n.a. (parent 7269 JP)</t>
  </si>
  <si>
    <t xml:space="preserve">Small (e-Access from Jan-2026)</t>
  </si>
  <si>
    <t xml:space="preserve">Kherki Dhaula, Haryana</t>
  </si>
  <si>
    <t xml:space="preserve">Suzuki 2W dealer network</t>
  </si>
  <si>
    <t xml:space="preserve">Phased e-Access rollout</t>
  </si>
  <si>
    <t xml:space="preserve">THE ACCESS 125 NAMEPLATE (India's best-selling 125cc scooter)</t>
  </si>
  <si>
    <t xml:space="preserve">Autocar Professional / 91wheels</t>
  </si>
  <si>
    <t xml:space="preserve">n.a. (parent 7272 JP)</t>
  </si>
  <si>
    <t xml:space="preserve">Parent-funded; also a Series B investor in River Mobility (Feb-2024)</t>
  </si>
  <si>
    <t xml:space="preserve">Very small (EC-06)</t>
  </si>
  <si>
    <t xml:space="preserve">CONTRACT-MANUFACTURED BY RIVER at Hoskote, Karnataka</t>
  </si>
  <si>
    <t xml:space="preserve">Minimal — capex avoided via contract manufacturing</t>
  </si>
  <si>
    <t xml:space="preserve">Yamaha 2W network</t>
  </si>
  <si>
    <t xml:space="preserve">Buys the platform rather than building it</t>
  </si>
  <si>
    <t xml:space="preserve">NONE SPECIFIC TO EV — Yamaha has explicitly chosen to buy rather than build</t>
  </si>
  <si>
    <t xml:space="preserve">Autocar India / BikeWale (Jul-2026)</t>
  </si>
  <si>
    <t xml:space="preserve">Greaves Electric Mobility (Greaves Cotton)</t>
  </si>
  <si>
    <t xml:space="preserve">Listed parent</t>
  </si>
  <si>
    <t xml:space="preserve">GREAVESCOT (NSE/BSE)</t>
  </si>
  <si>
    <t xml:space="preserve">Mid-cap</t>
  </si>
  <si>
    <t xml:space="preserve">Parent listed</t>
  </si>
  <si>
    <t xml:space="preserve">Parent-funded; Abdul Latif Jameel investment</t>
  </si>
  <si>
    <t xml:space="preserve">Loss-making</t>
  </si>
  <si>
    <t xml:space="preserve">61,563 (FY26, +53.3%)</t>
  </si>
  <si>
    <t xml:space="preserve">Ampere dealer network</t>
  </si>
  <si>
    <t xml:space="preserve">Outsourced cells; LFP on Nexus</t>
  </si>
  <si>
    <t xml:space="preserve">Portfolio refresh</t>
  </si>
  <si>
    <t xml:space="preserve">RECOVERING FROM FAME-II CLAWBACK — subsidy-era damage still visible</t>
  </si>
  <si>
    <t xml:space="preserve">Private EV pure-play</t>
  </si>
  <si>
    <t xml:space="preserve">Private</t>
  </si>
  <si>
    <t xml:space="preserve">Series C USD120m (c.Rs1,141 cr, Nov-2025) led by Elev8 Venture Partners and Claypond Capital (Ranjan Pai family office); Series B USD40m (Feb-2024, led by Yamaha); Series A USD15m. Strategic backers: Yamaha, Al-Futtaim, Mitsui, Marubeni, Toyota Ventures, Lowercarbon</t>
  </si>
  <si>
    <t xml:space="preserve">c.Rs1bn FY25; 'quadrupled' in FY26 (company statement)</t>
  </si>
  <si>
    <t xml:space="preserve">c.28,000 units (CY2025); +426% in FY26 off a small base</t>
  </si>
  <si>
    <t xml:space="preserve">Hoskote, Karnataka</t>
  </si>
  <si>
    <t xml:space="preserve">Funded by Series C</t>
  </si>
  <si>
    <t xml:space="preserve">Growing own retail</t>
  </si>
  <si>
    <t xml:space="preserve">Second premium utility scooter targeted mid-2027</t>
  </si>
  <si>
    <t xml:space="preserve">UTILITY NICHE + contract-manufacturing revenue from Yamaha (a genuinely differentiated business model)</t>
  </si>
  <si>
    <t xml:space="preserve">Mercom / Autocar India / EVreporter (Nov-2025)</t>
  </si>
  <si>
    <t xml:space="preserve">Ultraviolette Automotive</t>
  </si>
  <si>
    <t xml:space="preserve">Private (TVS-backed)</t>
  </si>
  <si>
    <t xml:space="preserve">USD45m Series E from Zoho Corporation and Lingotto (Dec-2025); TVS Motor is a strategic investor</t>
  </si>
  <si>
    <t xml:space="preserve">Small (premium volumes)</t>
  </si>
  <si>
    <t xml:space="preserve">Own retail + exports to Central Europe (Hungary, Croatia and others)</t>
  </si>
  <si>
    <t xml:space="preserve">Outsourced cells; in-house SRB-10 pack</t>
  </si>
  <si>
    <t xml:space="preserve">Performance + export-led growth</t>
  </si>
  <si>
    <t xml:space="preserve">PERFORMANCE BRAND + genuine export traction + TVS backing</t>
  </si>
  <si>
    <t xml:space="preserve">thebikejunction (Dec-2025) / company</t>
  </si>
  <si>
    <t xml:space="preserve">Post-money c.USD230m (Series B)</t>
  </si>
  <si>
    <t xml:space="preserve">c.USD75m raised; Series B USD35m (Helena Special Investments, Capital 2B, Japan Airlines/Translink); earlier Rs82.6 cr and Rs290 cr rounds</t>
  </si>
  <si>
    <t xml:space="preserve">Very low (FY26)</t>
  </si>
  <si>
    <t xml:space="preserve">Scaling from c.7 to c.150 dealers</t>
  </si>
  <si>
    <t xml:space="preserve">Outsourced cells; in-house liquid-cooled pack and 4-speed HyperShift gearbox</t>
  </si>
  <si>
    <t xml:space="preserve">Aspirational 50,000 units in 2026 (NOT guidance)</t>
  </si>
  <si>
    <t xml:space="preserve">GEARED TRANSMISSION — the most genuinely proprietary product feature in Indian e-2W</t>
  </si>
  <si>
    <t xml:space="preserve">Business Standard / Wikipedia (Matter Electric) / ETAuto</t>
  </si>
  <si>
    <t xml:space="preserve">c.USD12m+ raised; raising USD15-20m Series A</t>
  </si>
  <si>
    <t xml:space="preserve">Very low (deliveries from early 2026)</t>
  </si>
  <si>
    <t xml:space="preserve">Chennai; SIPCOT Cheyyar land secured</t>
  </si>
  <si>
    <t xml:space="preserve">Chennai and Bengaluru (Apr-2026)</t>
  </si>
  <si>
    <t xml:space="preserve">Uses the existing CCS2 car DC network</t>
  </si>
  <si>
    <t xml:space="preserve">Outsourced cells; in-house high-voltage (c.350-400V) architecture</t>
  </si>
  <si>
    <t xml:space="preserve">City-by-city rollout</t>
  </si>
  <si>
    <t xml:space="preserve">HIGH-VOLTAGE ARCHITECTURE — sidesteps the 2W charging-infrastructure problem entirely</t>
  </si>
  <si>
    <t xml:space="preserve">Research compilation / company</t>
  </si>
  <si>
    <t xml:space="preserve">Private; targets IPO H2 FY28</t>
  </si>
  <si>
    <t xml:space="preserve">c.USD85m raised across 13 rounds</t>
  </si>
  <si>
    <t xml:space="preserve">Rs40 cr FY25 to c.Rs170 cr FY26</t>
  </si>
  <si>
    <t xml:space="preserve">c.4,806 cumulative units to Apr-2026 (peak 1,775 in Mar-2026)</t>
  </si>
  <si>
    <t xml:space="preserve">Limited</t>
  </si>
  <si>
    <t xml:space="preserve">IPO H2 FY28</t>
  </si>
  <si>
    <t xml:space="preserve">RANGE CLAIMS — which have NOT converted into volume</t>
  </si>
  <si>
    <t xml:space="preserve">Tracxn / Inc42 (2026)</t>
  </si>
  <si>
    <t xml:space="preserve">Wardwizard Innovations (Joy e-bike)</t>
  </si>
  <si>
    <t xml:space="preserve">Listed micro-cap</t>
  </si>
  <si>
    <t xml:space="preserve">WARDWIZARD (NSE/BSE)</t>
  </si>
  <si>
    <t xml:space="preserve">Micro-cap</t>
  </si>
  <si>
    <t xml:space="preserve">Listed</t>
  </si>
  <si>
    <t xml:space="preserve">Public markets</t>
  </si>
  <si>
    <t xml:space="preserve">Small</t>
  </si>
  <si>
    <t xml:space="preserve">Marginal</t>
  </si>
  <si>
    <t xml:space="preserve">Low</t>
  </si>
  <si>
    <t xml:space="preserve">Franchise network</t>
  </si>
  <si>
    <t xml:space="preserve">NONE IDENTIFIED</t>
  </si>
  <si>
    <t xml:space="preserve">Company filings / aggregator data</t>
  </si>
  <si>
    <t xml:space="preserve">Hero Electric / Okinawa / Benling / Amo (first generation)</t>
  </si>
  <si>
    <t xml:space="preserve">Private — effectively exited or sub-scale</t>
  </si>
  <si>
    <t xml:space="preserve">Historic</t>
  </si>
  <si>
    <t xml:space="preserve">Collapsed</t>
  </si>
  <si>
    <t xml:space="preserve">Collectively c.31% share in 2022, now negligible</t>
  </si>
  <si>
    <t xml:space="preserve">Ludhiana / Bhiwadi</t>
  </si>
  <si>
    <t xml:space="preserve">Imported kits (the cause of the FAME-II violations)</t>
  </si>
  <si>
    <t xml:space="preserve">NONE — the case study that proves easy entry also means easy exit</t>
  </si>
  <si>
    <t xml:space="preserve">MHI FAME-II show-cause (May-2023); SFIO alleged Rs297 cr fraud; Rs469 cr refund demanded, c.Rs1,200 cr withheld; &gt;80% staff laid off at Hero Electric and Benling. MHI committee gave Hero Electric and Okinawa a 'clean chit' Apr-2024.</t>
  </si>
  <si>
    <t xml:space="preserve">VAHAN REGISTRATIONS AND MARKET SHARE — e-2W BY OEM</t>
  </si>
  <si>
    <t xml:space="preserve">Vahan retail registrations. FY22-FY24 figures are rounded industry compilations; FY25, FY26 and Jul-26 are the reliable series. Share, YoY and CAGR are live formulas.</t>
  </si>
  <si>
    <t xml:space="preserve">OEM</t>
  </si>
  <si>
    <t xml:space="preserve">FY22</t>
  </si>
  <si>
    <t xml:space="preserve">FY23</t>
  </si>
  <si>
    <t xml:space="preserve">FY24</t>
  </si>
  <si>
    <t xml:space="preserve">FY25</t>
  </si>
  <si>
    <t xml:space="preserve">FY26</t>
  </si>
  <si>
    <t xml:space="preserve">Jul-26 (month)</t>
  </si>
  <si>
    <t xml:space="preserve">FY26 share %</t>
  </si>
  <si>
    <t xml:space="preserve">FY25 share %</t>
  </si>
  <si>
    <t xml:space="preserve">Share change (pp)</t>
  </si>
  <si>
    <t xml:space="preserve">FY26 YoY %</t>
  </si>
  <si>
    <t xml:space="preserve">FY22-FY26 CAGR %</t>
  </si>
  <si>
    <t xml:space="preserve">TVS Motor</t>
  </si>
  <si>
    <t xml:space="preserve">Greaves / Ampere</t>
  </si>
  <si>
    <t xml:space="preserve">Okinawa Autotech</t>
  </si>
  <si>
    <t xml:space="preserve">Others (River, Simple, Kinetic, BGauss, Bounce, Pure, Joy, regional tail)</t>
  </si>
  <si>
    <t xml:space="preserve">TOTAL INDUSTRY (Vahan)</t>
  </si>
  <si>
    <t xml:space="preserve">THE FY26 STORY IN ONE LINE: Ola fell 52 per cent while every incumbent grew. The four legacy players took roughly 80 per cent of the market.</t>
  </si>
  <si>
    <t xml:space="preserve">FADA H1 CY2026: 970,993 units, +53.3 per cent YoY. The top four (TVS, Bajaj, Hero, Ather) took 95.6 per cent of INCREMENTAL registrations. Ola registrations fell 44.1 per cent; share 6.8 per cent.</t>
  </si>
  <si>
    <t xml:space="preserve">Monthly milestones: Mar-26 c.190,941 (record at the time); Jun-26 194,300 (+75.5 per cent YoY); Jul-26 204,266 — the first month above 2 lakh. CY26 seven-month tally 11.7 lakh, +56 per cent YoY.</t>
  </si>
  <si>
    <t xml:space="preserve">Ola's monthly share fell as low as c.5.4 per cent in Mar-2026 (Whalesbook / Autocar Professional) before recovering to c.8 per cent by Jul-2026.</t>
  </si>
  <si>
    <t xml:space="preserve">Bengaluru was India's largest e-2W city in FY26 (98,892 units), ahead of Delhi (41,238).</t>
  </si>
  <si>
    <t xml:space="preserve">CAVEAT: FY22-FY24 OEM splits are rounded compilations from industry sources and should be treated as indicative. FY25 onward is reliable.</t>
  </si>
  <si>
    <t xml:space="preserve">INDUSTRY VOLUMES AND EV PENETRATION</t>
  </si>
  <si>
    <t xml:space="preserve">Penetration and YoY are live formulas. Total 2W figures for FY22-FY25 are industry estimates; FY26 is the reported base.</t>
  </si>
  <si>
    <t xml:space="preserve">Fiscal year</t>
  </si>
  <si>
    <t xml:space="preserve">e-2W registrations</t>
  </si>
  <si>
    <t xml:space="preserve">Total 2W registrations</t>
  </si>
  <si>
    <t xml:space="preserve">EV penetration %</t>
  </si>
  <si>
    <t xml:space="preserve">e-2W YoY %</t>
  </si>
  <si>
    <t xml:space="preserve">Commentary</t>
  </si>
  <si>
    <t xml:space="preserve">First real scale year; first-generation players (Hero Electric, Okinawa, Ampere) led</t>
  </si>
  <si>
    <t xml:space="preserve">FAME-II peak subsidy year; explosive growth</t>
  </si>
  <si>
    <t xml:space="preserve">FAME-II clawback year; first-generation players collapse</t>
  </si>
  <si>
    <t xml:space="preserve">Ola peaks at c.30% share</t>
  </si>
  <si>
    <t xml:space="preserve">Incumbents take over: top-4 c.80% share; Ola collapses; 6.54% penetration</t>
  </si>
  <si>
    <t xml:space="preserve">FY26 penetration of 6.54 per cent is the number that matters. It is far below NITI Aayog's targets.</t>
  </si>
  <si>
    <t xml:space="preserve">NITI Aayog's original 2019 target (with RMI) was 80 per cent of two- and three-wheelers electrified by 2030. The 2022 NITI-BCG revision cut this to 35-40 per cent. NITI's own September 2025 report noted EVs were only about 7.6 per cent of total vehicle sales in 2024.</t>
  </si>
  <si>
    <t xml:space="preserve">FY26 e-2W penetration is tracking c.6.5 per cent. Any model using the 30 per cent-plus 2030 penetration assumptions still circulating in sell-side research is anchored to a target that has already been abandoned twice.</t>
  </si>
  <si>
    <t xml:space="preserve">The demand test now under way: the PM E-DRIVE e-2W incentive lapsed 31-Jul-2026. If monthly volumes hold above c.1.7-2.0 lakh through Aug-Oct 2026, demand resilience is confirmed. A sharp drop would signal continued subsidy dependence.</t>
  </si>
  <si>
    <t xml:space="preserve">Scooters are roughly 95 per cent or more of e-2W volume. E-motorcycles remain under 5 per cent, held back by price, range on longer use-cases, weaker commuter TCO and, until 2026, almost no product availability.</t>
  </si>
  <si>
    <t xml:space="preserve">SUPPLY CHAIN AND ENTRY BARRIERS — WHAT CAN BE BOUGHT AND WHAT CANNOT</t>
  </si>
  <si>
    <t xml:space="preserve">The analytical core. Powertrain components are outsourceable, so they are not moats. Distribution, brand, software and charging are not outsourceable, so they are.</t>
  </si>
  <si>
    <t xml:space="preserve">Component / capability</t>
  </si>
  <si>
    <t xml:space="preserve">Suppliers</t>
  </si>
  <si>
    <t xml:space="preserve">Outsourceability</t>
  </si>
  <si>
    <t xml:space="preserve">Barrier height</t>
  </si>
  <si>
    <t xml:space="preserve">Detail</t>
  </si>
  <si>
    <t xml:space="preserve">India context / mitigants</t>
  </si>
  <si>
    <t xml:space="preserve">READ-ACROSS TO THE ENTRY-BARRIER THESIS</t>
  </si>
  <si>
    <t xml:space="preserve">Battery cells</t>
  </si>
  <si>
    <t xml:space="preserve">LG Chem, Samsung SDI, EVE, CATL, Gotion, Amara Raja, Exide, TDSG, Log9</t>
  </si>
  <si>
    <t xml:space="preserve">EASILY OUTSOURCED</t>
  </si>
  <si>
    <t xml:space="preserve">Largest single BOM line. Merchant market is deep and global. Ola is the only Indian e-2W OEM making its own cells (4680 Bharat Cell, Krishnagiri, c.2.5 GWh operational).</t>
  </si>
  <si>
    <t xml:space="preserve">Domestic gigafactories in build: Exide-SVOLT, Amara Raja-Gotion, Reliance, Tata Agratas, JSW.</t>
  </si>
  <si>
    <t xml:space="preserve">THESIS SUPPORT: a new entrant can buy world-class cells off the shelf. This is the core reason EV 2W entry barriers are lower than ICE.</t>
  </si>
  <si>
    <t xml:space="preserve">Hub / PMSM motors</t>
  </si>
  <si>
    <t xml:space="preserve">Bosch, Napino, Lucas TVS, numerous Chinese suppliers; in-house at Ather, Ola, Tork</t>
  </si>
  <si>
    <t xml:space="preserve">Hub motors are commoditised. Mid-drive and axial-flux designs (Tork) are harder.</t>
  </si>
  <si>
    <t xml:space="preserve">Sona Comstar developed a ferrite-assisted synchronous reluctance (rare-earth-free) motor for 2W/3W; magnet-less motor JVs with IRP Nexus (Israel) and Enedym (Canada). Sona's global differential-gear share reached c.8.7% in CY25 (from 4.5% in 2019).</t>
  </si>
  <si>
    <t xml:space="preserve">THESIS SUPPORT: motor supply is not a barrier. Ola's in-house ferrite motor is a rare-earth hedge, not a moat.</t>
  </si>
  <si>
    <t xml:space="preserve">Controllers / MCU / BMS</t>
  </si>
  <si>
    <t xml:space="preserve">Bosch, Napino, Varroc, Minda, Uno Minda, Sandhar; in-house at Ather, Ola, Ultraviolette</t>
  </si>
  <si>
    <t xml:space="preserve">OUTSOURCEABLE</t>
  </si>
  <si>
    <t xml:space="preserve">LOW-MEDIUM</t>
  </si>
  <si>
    <t xml:space="preserve">Merchant supply is adequate for mass products. In-house BMS matters for premium range/thermal claims.</t>
  </si>
  <si>
    <t xml:space="preserve">Partial differentiation possible but rarely decisive at the mass end.</t>
  </si>
  <si>
    <t xml:space="preserve">On-board / off-board chargers</t>
  </si>
  <si>
    <t xml:space="preserve">Delta, Exicom, Servotech, in-house</t>
  </si>
  <si>
    <t xml:space="preserve">Charger wattage is now a marketed spec (Vida's 580W vs 1,000W RQ variant is literally a charger-bundle SKU).</t>
  </si>
  <si>
    <t xml:space="preserve">Charging SPEED is becoming a differentiator; charger HARDWARE is not.</t>
  </si>
  <si>
    <t xml:space="preserve">Rare-earth permanent magnets (NdFeB)</t>
  </si>
  <si>
    <t xml:space="preserve">Overwhelmingly China-dependent</t>
  </si>
  <si>
    <t xml:space="preserve">CONSTRAINED</t>
  </si>
  <si>
    <t xml:space="preserve">HIGH (2025-26)</t>
  </si>
  <si>
    <t xml:space="preserve">China's April-2025 export controls cost Sona Comstar c.3 weeks of production.</t>
  </si>
  <si>
    <t xml:space="preserve">Mitigants: Rs7,280 cr Indian sintered-magnet scheme (Nov-2025, 6,000 MTPA); ferrite/SRM motor designs at Sona and Ola.</t>
  </si>
  <si>
    <t xml:space="preserve">KEY SWING FACTOR on FY27 output and margins. A renewed China squeeze is the main downside risk to e-2W production.</t>
  </si>
  <si>
    <t xml:space="preserve">Software stack / OS</t>
  </si>
  <si>
    <t xml:space="preserve">In-house only (AtherStack, Ola MoveOS, Tork TIROS, Vida, UV)</t>
  </si>
  <si>
    <t xml:space="preserve">NOT OUTSOURCEABLE</t>
  </si>
  <si>
    <t xml:space="preserve">Cannot be bought. Enables OTA, subscriptions (Ather Pro Pack Rs14,000-20,000), telematics and connected features.</t>
  </si>
  <si>
    <t xml:space="preserve">MOAT: one of the few genuinely defensible layers. Also the only recurring-revenue mechanism in the industry.</t>
  </si>
  <si>
    <t xml:space="preserve">Distribution and service network</t>
  </si>
  <si>
    <t xml:space="preserve">Owned</t>
  </si>
  <si>
    <t xml:space="preserve">VERY HIGH</t>
  </si>
  <si>
    <t xml:space="preserve">Hero has c.6,000+ ICE touchpoints; TVS, Bajaj and Honda comparably deep. Pure-plays must build from zero.</t>
  </si>
  <si>
    <t xml:space="preserve">Ather c.400 experience centres after 8 years.</t>
  </si>
  <si>
    <t xml:space="preserve">THE PRIMARY MOAT. It is what killed Ola (service failures, CCPA intervention) and what made TVS/Bajaj/Hero winners in FY26.</t>
  </si>
  <si>
    <t xml:space="preserve">Fast-charging network</t>
  </si>
  <si>
    <t xml:space="preserve">Owned or partnered</t>
  </si>
  <si>
    <t xml:space="preserve">NOT EASILY OUTSOURCEABLE</t>
  </si>
  <si>
    <t xml:space="preserve">MEDIUM-HIGH</t>
  </si>
  <si>
    <t xml:space="preserve">Ather Grid &gt;5,000-6,100 points in 370-395 cities; Vida cites 5,900+; Ola Hypercharger; UV Supernova; TVS via Jio-bp.</t>
  </si>
  <si>
    <t xml:space="preserve">Swapping: Sun Mobility, Battery Smart, Honda Power Pack Energy, Chargeup, Zypp.</t>
  </si>
  <si>
    <t xml:space="preserve">Capital-intensive and slow to build. Raptee's CCS2 high-voltage approach sidesteps it by using the car network.</t>
  </si>
  <si>
    <t xml:space="preserve">Brand and trust</t>
  </si>
  <si>
    <t xml:space="preserve">Decisive in Ola's fall and in RE Flying Flea's and Suzuki e-Access's launches.</t>
  </si>
  <si>
    <t xml:space="preserve">THE OTHER PRIMARY MOAT — and the one ICE incumbents already own outright.</t>
  </si>
  <si>
    <t xml:space="preserve">Vehicle dynamics, thermal management, NVH</t>
  </si>
  <si>
    <t xml:space="preserve">In-house engineering</t>
  </si>
  <si>
    <t xml:space="preserve">PARTIALLY OUTSOURCEABLE</t>
  </si>
  <si>
    <t xml:space="preserve">Matter's liquid-cooled pack and Ultraviolette's thermal work are genuine engineering differentiators.</t>
  </si>
  <si>
    <t xml:space="preserve">The residual engineering barrier — real, but far lower than designing and industrialising an ICE engine.</t>
  </si>
  <si>
    <t xml:space="preserve">Contract manufacturing</t>
  </si>
  <si>
    <t xml:space="preserve">River manufactures the Yamaha EC-06 at Hoskote</t>
  </si>
  <si>
    <t xml:space="preserve">FULLY OUTSOURCEABLE</t>
  </si>
  <si>
    <t xml:space="preserve">VERY LOW</t>
  </si>
  <si>
    <t xml:space="preserve">A global OEM chose to buy an Indian startup's platform rather than build its own.</t>
  </si>
  <si>
    <t xml:space="preserve">THESIS-CRITICAL EXHIBIT: the single clearest proof that EV 2W entry barriers are structurally low.</t>
  </si>
  <si>
    <t xml:space="preserve">Colour logic: GREEN = a high barrier, so a potential moat. RED = a low barrier, so not a moat. Every powertrain component is red. Every customer-facing capability is green. That asymmetry is the thesis.</t>
  </si>
  <si>
    <t xml:space="preserve">REGULATORY AND SUBSIDY LANDSCAPE</t>
  </si>
  <si>
    <t xml:space="preserve">The PM E-DRIVE e-2W demand incentive lapsed on 31 July 2026. This is the single most important near-term variable for the sector.</t>
  </si>
  <si>
    <t xml:space="preserve">Policy / regulation</t>
  </si>
  <si>
    <t xml:space="preserve">Current status</t>
  </si>
  <si>
    <t xml:space="preserve">Why it matters</t>
  </si>
  <si>
    <t xml:space="preserve">PM E-DRIVE — e-2W demand incentive</t>
  </si>
  <si>
    <t xml:space="preserve">Rs2,500/kWh from Apr-2025 (cap Rs5,000; 15% of ex-factory; max ex-factory Rs1.5 lakh). Was Rs5,000/kWh in FY25 (cap Rs10,000).</t>
  </si>
  <si>
    <t xml:space="preserve">LAPSED 31-Jul-2026 for e-2Ws</t>
  </si>
  <si>
    <t xml:space="preserve">CONFIRMED</t>
  </si>
  <si>
    <t xml:space="preserve">MHI / PM E-DRIVE portal; electrive; DriveSpark</t>
  </si>
  <si>
    <t xml:space="preserve">THE SINGLE MOST IMPORTANT NEAR-TERM VARIABLE. No central per-kWh incentive for e-2Ws registered from Aug-2026. Aug-Oct 2026 monthly volumes are the demand-resilience test.</t>
  </si>
  <si>
    <t xml:space="preserve">PM E-DRIVE — scheme envelope</t>
  </si>
  <si>
    <t xml:space="preserve">Rs10,900 cr total outlay. Aug-2026 amendment raised the e-2W cap to 4,579,120 units and extended the overall scheme (e-3W, bus, truck, charging) to 31-Mar-2028.</t>
  </si>
  <si>
    <t xml:space="preserve">Active for non-2W categories to Mar-2028</t>
  </si>
  <si>
    <t xml:space="preserve">MHI / PM E-DRIVE portal (Aug-2026)</t>
  </si>
  <si>
    <t xml:space="preserve">e-2W demand incentive is over even though the scheme continues.</t>
  </si>
  <si>
    <t xml:space="preserve">GST 2.0 (effective 22-Sep-2025)</t>
  </si>
  <si>
    <t xml:space="preserve">ICE 2W &lt;=350cc cut from 28% to 18%. ICE 2W &gt;350cc raised to c.40% (from c.31% effective). EVs UNCHANGED at 5%.</t>
  </si>
  <si>
    <t xml:space="preserve">In force</t>
  </si>
  <si>
    <t xml:space="preserve">GST Council</t>
  </si>
  <si>
    <t xml:space="preserve">Narrowed the EV/ICE price gap by c.Rs7,000-12,000 on commuters — yet e-2W volumes still grew through FY26. Bullish demand signal. The &gt;350cc 40% slab hits premium ICE (KTM, RE 440/450/650, Triumph, Harley) but not EVs.</t>
  </si>
  <si>
    <t xml:space="preserve">FAME-II localisation clawback</t>
  </si>
  <si>
    <t xml:space="preserve">MHI show-cause notices (May-2023) to Hero Electric, Okinawa, Ampere/Greaves, Benling, Revolt, Amo for PMP/localisation violations. Rs469 cr refund demanded; c.Rs1,200 cr subsidies withheld. SFIO alleged c.Rs297 cr (USD35m) fraud.</t>
  </si>
  <si>
    <t xml:space="preserve">Largely concluded; MHI committee gave Hero Electric and Okinawa a 'clean chit' Apr-2024</t>
  </si>
  <si>
    <t xml:space="preserve">CONFIRMED / REPORTED</t>
  </si>
  <si>
    <t xml:space="preserve">Inc42; Business Today; Deccan Herald; Reuters</t>
  </si>
  <si>
    <t xml:space="preserve">The event that destroyed the first generation of Indian e-2W players. Reputational and cash damage proved terminal even where the legal outcome was favourable.</t>
  </si>
  <si>
    <t xml:space="preserve">AIS-156 battery safety norms</t>
  </si>
  <si>
    <t xml:space="preserve">Mandatory battery safety, thermal propagation and cell-level testing standards following the 2022 fire incidents.</t>
  </si>
  <si>
    <t xml:space="preserve">MoRTH / ARAI</t>
  </si>
  <si>
    <t xml:space="preserve">Raised the compliance bar meaningfully — one of the few REAL barriers to entry created since 2022. Weeded out the cheapest imported-kit assemblers.</t>
  </si>
  <si>
    <t xml:space="preserve">Auto PLI and ACC PLI</t>
  </si>
  <si>
    <t xml:space="preserve">Auto PLI for advanced automotive technology products; ACC PLI for battery cell manufacturing.</t>
  </si>
  <si>
    <t xml:space="preserve">Active</t>
  </si>
  <si>
    <t xml:space="preserve">MHI</t>
  </si>
  <si>
    <t xml:space="preserve">Ather and others are PLI-certified. ACC PLI underwrites Ola's, Exide's and Amara Raja's cell ambitions.</t>
  </si>
  <si>
    <t xml:space="preserve">Sintered Rare Earth Permanent Magnet scheme</t>
  </si>
  <si>
    <t xml:space="preserve">Rs7,280 cr approved by Union Cabinet 26-Nov-2025 (Rs6,450 cr sales-linked incentives + Rs750 cr capital subsidy) for 6,000 MTPA across five beneficiaries. Supersedes an earlier Rs1,345 cr proposal.</t>
  </si>
  <si>
    <t xml:space="preserve">Approved; incentives from FY27</t>
  </si>
  <si>
    <t xml:space="preserve">PIB / pmindia.gov.in (26-Nov-2025)</t>
  </si>
  <si>
    <t xml:space="preserve">India's structural answer to China's April-2025 rare-earth export controls, which cost Sona Comstar c.3 weeks of production.</t>
  </si>
  <si>
    <t xml:space="preserve">State EV policies</t>
  </si>
  <si>
    <t xml:space="preserve">Delhi, Maharashtra, Karnataka, UP, Gujarat, Tamil Nadu, Rajasthan offer road-tax and registration exemptions plus, in some cases, per-kWh top-ups.</t>
  </si>
  <si>
    <t xml:space="preserve">Varies by state</t>
  </si>
  <si>
    <t xml:space="preserve">State transport departments</t>
  </si>
  <si>
    <t xml:space="preserve">With the central e-2W incentive gone, state policy becomes the marginal price lever. Bengaluru was India's largest e-2W city in FY26 (98,892 units) vs Delhi (41,238).</t>
  </si>
  <si>
    <t xml:space="preserve">Low-speed EV exemption (&lt;250W, &lt;25 km/h)</t>
  </si>
  <si>
    <t xml:space="preserve">No driving licence or registration required.</t>
  </si>
  <si>
    <t xml:space="preserve">CMVR</t>
  </si>
  <si>
    <t xml:space="preserve">IMPORTANT DATA CAVEAT: these vehicles do NOT appear in Vahan registration data, so all industry volume figures understate the true e-2W market.</t>
  </si>
  <si>
    <t xml:space="preserve">CELL AND PACK COST ECONOMICS</t>
  </si>
  <si>
    <t xml:space="preserve">Falling, outsourceable cell costs are the mechanism that lowers entry barriers. The FX cell is editable and drives every INR figure below.</t>
  </si>
  <si>
    <t xml:space="preserve">Item</t>
  </si>
  <si>
    <t xml:space="preserve">Unit</t>
  </si>
  <si>
    <t xml:space="preserve">Note</t>
  </si>
  <si>
    <t xml:space="preserve">Volume-weighted average battery PACK price (2025)</t>
  </si>
  <si>
    <t xml:space="preserve">USD/kWh</t>
  </si>
  <si>
    <t xml:space="preserve">BloombergNEF annual battery price survey, 09-Dec-2025</t>
  </si>
  <si>
    <t xml:space="preserve">Record low, -8% YoY</t>
  </si>
  <si>
    <t xml:space="preserve">BEV pack price (2025)</t>
  </si>
  <si>
    <t xml:space="preserve">BloombergNEF, Dec-2025</t>
  </si>
  <si>
    <t xml:space="preserve">First time below USD100/kWh</t>
  </si>
  <si>
    <t xml:space="preserve">LFP pack price (2025)</t>
  </si>
  <si>
    <t xml:space="preserve">LFP migration is what held pack prices down despite lithium's 2026 rebound</t>
  </si>
  <si>
    <t xml:space="preserve">NMC pack price (2025)</t>
  </si>
  <si>
    <t xml:space="preserve">Most Indian e-2Ws use NMC; Oben and Ampere use LFP</t>
  </si>
  <si>
    <t xml:space="preserve">Cell price (2025)</t>
  </si>
  <si>
    <t xml:space="preserve">Cell is c.70-75% of pack cost</t>
  </si>
  <si>
    <t xml:space="preserve">Cost of materials as % of total expenditure (Ather, Q1 FY27)</t>
  </si>
  <si>
    <t xml:space="preserve">% of total expenditure</t>
  </si>
  <si>
    <t xml:space="preserve">Ather Q1 FY27 disclosure</t>
  </si>
  <si>
    <t xml:space="preserve">Mainly cells — the single dominant BOM line</t>
  </si>
  <si>
    <t xml:space="preserve">Ather adjusted gross margin ex-incentives (Q3 FY26)</t>
  </si>
  <si>
    <t xml:space="preserve">%</t>
  </si>
  <si>
    <t xml:space="preserve">Ather disclosures</t>
  </si>
  <si>
    <t xml:space="preserve">Approaching ICE-2W gross-margin territory</t>
  </si>
  <si>
    <t xml:space="preserve">Ola auto gross margin (FY26)</t>
  </si>
  <si>
    <t xml:space="preserve">Ola FY26 disclosures</t>
  </si>
  <si>
    <t xml:space="preserve">Q4 FY26 reached 38.5%</t>
  </si>
  <si>
    <t xml:space="preserve">Ola auto-EBITDA breakeven volume (post Gen-3 BOM work)</t>
  </si>
  <si>
    <t xml:space="preserve">units/month</t>
  </si>
  <si>
    <t xml:space="preserve">Ola company statements</t>
  </si>
  <si>
    <t xml:space="preserve">Cut from 50,000/month — falling cell costs structurally lower the entry hurdle</t>
  </si>
  <si>
    <t xml:space="preserve">Lithium carbonate price move into 2026</t>
  </si>
  <si>
    <t xml:space="preserve">x YoY (early 2026)</t>
  </si>
  <si>
    <t xml:space="preserve">IEA</t>
  </si>
  <si>
    <t xml:space="preserve">Still c.70% below the 2022 peak; pack prices held via LFP migration and long-term contracts</t>
  </si>
  <si>
    <t xml:space="preserve">USD/INR assumption for BOM conversion</t>
  </si>
  <si>
    <t xml:space="preserve">INR/USD</t>
  </si>
  <si>
    <t xml:space="preserve">Analyst assumption — UPDATE THIS CELL</t>
  </si>
  <si>
    <t xml:space="preserve">BLUE = user input. All INR BOM maths keys off this cell.</t>
  </si>
  <si>
    <t xml:space="preserve">DERIVED PACK COST BY BATTERY SIZE (at 2025 BNEF benchmarks)</t>
  </si>
  <si>
    <t xml:space="preserve">Pack size (kWh)</t>
  </si>
  <si>
    <t xml:space="preserve">Pack cost at USD108/kWh (USD)</t>
  </si>
  <si>
    <t xml:space="preserve">Pack cost (Rs)</t>
  </si>
  <si>
    <t xml:space="preserve">Pack cost (Rs) if LFP at USD81/kWh</t>
  </si>
  <si>
    <t xml:space="preserve">Indicative pack cost as % of a Rs1.20 lakh scooter</t>
  </si>
  <si>
    <t xml:space="preserve">Read: an NMC pack for a 3.0 kWh mass-market scooter costs roughly a third of the vehicle's retail price at 2025 benchmarks. Every dollar off the cell price lowers the capital a new entrant needs and cuts breakeven volume — which is precisely why Ola was able to cut its stated auto-EBITDA breakeven from 50,000 to under 25,000 units a month. Lower breakeven means more entrants, not fewer. The Rs1.20 lakh denominator is an illustrative mass-market price point, not a specific model.</t>
  </si>
  <si>
    <t xml:space="preserve">MASTER SOURCE LIST</t>
  </si>
  <si>
    <t xml:space="preserve">Primary sources first. Aggregators are used only for specification and price fields where OEMs do not publish machine-readable data.</t>
  </si>
  <si>
    <t xml:space="preserve">Used for</t>
  </si>
  <si>
    <t xml:space="preserve">As-of / accessed</t>
  </si>
  <si>
    <t xml:space="preserve">Vahan / Parivahan dashboard (MoRTH)</t>
  </si>
  <si>
    <t xml:space="preserve">PRIMARY — government</t>
  </si>
  <si>
    <t xml:space="preserve">All registration volumes and market share</t>
  </si>
  <si>
    <t xml:space="preserve">FADA monthly and H1 CY2026 retail data</t>
  </si>
  <si>
    <t xml:space="preserve">PRIMARY — industry body</t>
  </si>
  <si>
    <t xml:space="preserve">Retail volumes, incremental share analysis</t>
  </si>
  <si>
    <t xml:space="preserve">atherenergy.com (Rizta and 450 spec sheets)</t>
  </si>
  <si>
    <t xml:space="preserve">PRIMARY — OEM</t>
  </si>
  <si>
    <t xml:space="preserve">Ather specifications, warranty, Ather Grid size</t>
  </si>
  <si>
    <t xml:space="preserve">tvsmotor.com (iQube variant pages)</t>
  </si>
  <si>
    <t xml:space="preserve">TVS iQube specifications, charging times, features</t>
  </si>
  <si>
    <t xml:space="preserve">chetak.com (series 25 / 30 / 35 pages)</t>
  </si>
  <si>
    <t xml:space="preserve">Bajaj Chetak specifications, boot space, warranty</t>
  </si>
  <si>
    <t xml:space="preserve">vidaworld.com (compare and variant pages)</t>
  </si>
  <si>
    <t xml:space="preserve">Vida VX2 full variant ladder, ranges, charge times</t>
  </si>
  <si>
    <t xml:space="preserve">F77 Mach 2, X47, Shockwave, Tesseract specs and timing</t>
  </si>
  <si>
    <t xml:space="preserve">Honda Global press release (30 EV models by 2030)</t>
  </si>
  <si>
    <t xml:space="preserve">Honda EV roadmap</t>
  </si>
  <si>
    <t xml:space="preserve">Ola Electric investor disclosures and Sankalp 2025</t>
  </si>
  <si>
    <t xml:space="preserve">FY26 financials, 4680 cell, Roadster and Diamondhead</t>
  </si>
  <si>
    <t xml:space="preserve">2025-2026</t>
  </si>
  <si>
    <t xml:space="preserve">Ather Energy NSE/BSE filings and IPO prospectus</t>
  </si>
  <si>
    <t xml:space="preserve">PRIMARY — regulatory</t>
  </si>
  <si>
    <t xml:space="preserve">IPO size, FY25/FY26/Q1 FY27 financials, capacity</t>
  </si>
  <si>
    <t xml:space="preserve">MHI / PM E-DRIVE scheme portal and notifications</t>
  </si>
  <si>
    <t xml:space="preserve">Subsidy rates, caps, terminal dates, scheme amendment</t>
  </si>
  <si>
    <t xml:space="preserve">GST Council notifications (GST 2.0, eff. 22-Sep-2025)</t>
  </si>
  <si>
    <t xml:space="preserve">ICE vs EV tax rates</t>
  </si>
  <si>
    <t xml:space="preserve">Sep-2025</t>
  </si>
  <si>
    <t xml:space="preserve">PIB / pmindia.gov.in — rare earth magnet scheme</t>
  </si>
  <si>
    <t xml:space="preserve">Rs7,280 cr sintered magnet scheme, 6,000 MTPA</t>
  </si>
  <si>
    <t xml:space="preserve">26-Nov-2025</t>
  </si>
  <si>
    <t xml:space="preserve">BloombergNEF annual battery price survey</t>
  </si>
  <si>
    <t xml:space="preserve">PRIMARY — research</t>
  </si>
  <si>
    <t xml:space="preserve">Pack and cell price benchmarks (USD108/kWh 2025)</t>
  </si>
  <si>
    <t xml:space="preserve">09-Dec-2025</t>
  </si>
  <si>
    <t xml:space="preserve">IEA (lithium price commentary)</t>
  </si>
  <si>
    <t xml:space="preserve">Lithium carbonate price trajectory into 2026</t>
  </si>
  <si>
    <t xml:space="preserve">Autocar India (variant explainers, spec pages, road tests)</t>
  </si>
  <si>
    <t xml:space="preserve">CREDIBLE MEDIA</t>
  </si>
  <si>
    <t xml:space="preserve">Variant ladders, prices, charging times, reader-reported issues</t>
  </si>
  <si>
    <t xml:space="preserve">Volumes, Sona Comstar, Matter launch pricing, Suzuki rollout</t>
  </si>
  <si>
    <t xml:space="preserve">Autopunditz</t>
  </si>
  <si>
    <t xml:space="preserve">Vida VX2 Plus 4.4 launch detail, monthly volume tracking</t>
  </si>
  <si>
    <t xml:space="preserve">Electrek</t>
  </si>
  <si>
    <t xml:space="preserve">RE Flying Flea C6 launch, independent scrutiny of its range claim</t>
  </si>
  <si>
    <t xml:space="preserve">10-Apr-2026</t>
  </si>
  <si>
    <t xml:space="preserve">Business Standard / Mint / Moneycontrol / ETAuto</t>
  </si>
  <si>
    <t xml:space="preserve">Company financials, capacity, strategy, NITI targets</t>
  </si>
  <si>
    <t xml:space="preserve">Mercom / EVreporter / Inc42 / Entrackr / Tracxn</t>
  </si>
  <si>
    <t xml:space="preserve">Startup funding rounds, valuations, cumulative volumes</t>
  </si>
  <si>
    <t xml:space="preserve">Reuters / Deccan Herald / Business Today</t>
  </si>
  <si>
    <t xml:space="preserve">FAME-II clawback, SFIO investigation, clean chit</t>
  </si>
  <si>
    <t xml:space="preserve">2023-2024</t>
  </si>
  <si>
    <t xml:space="preserve">BikeWale / BikeDekho / ZigWheels / 91wheels</t>
  </si>
  <si>
    <t xml:space="preserve">AGGREGATOR</t>
  </si>
  <si>
    <t xml:space="preserve">Variant-level prices and specifications where OEMs do not publish</t>
  </si>
  <si>
    <t xml:space="preserve">Aggregator caution: BikeWale, BikeDekho, ZigWheels and 91wheels frequently disagree on ex-showroom prices, particularly since the PM E-DRIVE incentive lapsed on 31 July 2026. Where they conflict materially, the conflict is flagged in the Analyst notes column of the relevant model sheet rather than silently resolved.</t>
  </si>
</sst>
</file>

<file path=xl/styles.xml><?xml version="1.0" encoding="utf-8"?>
<styleSheet xmlns="http://schemas.openxmlformats.org/spreadsheetml/2006/main">
  <numFmts count="10">
    <numFmt numFmtId="164" formatCode="General"/>
    <numFmt numFmtId="165" formatCode="#,##0;\(#,##0\);&quot;n/a&quot;"/>
    <numFmt numFmtId="166" formatCode="0.00"/>
    <numFmt numFmtId="167" formatCode="0.0"/>
    <numFmt numFmtId="168" formatCode="#,##0"/>
    <numFmt numFmtId="169" formatCode="0.0%"/>
    <numFmt numFmtId="170" formatCode="\+0.0;\-0.0;0.0"/>
    <numFmt numFmtId="171" formatCode="\+0.0%;\-0.0%;0.0%"/>
    <numFmt numFmtId="172" formatCode="0.00%"/>
    <numFmt numFmtId="173" formatCode="#,##0.0"/>
  </numFmts>
  <fonts count="13">
    <font>
      <sz val="11"/>
      <color theme="1"/>
      <name val="Calibri"/>
      <family val="2"/>
      <charset val="1"/>
    </font>
    <font>
      <sz val="10"/>
      <name val="Arial"/>
      <family val="0"/>
    </font>
    <font>
      <sz val="10"/>
      <name val="Arial"/>
      <family val="0"/>
    </font>
    <font>
      <sz val="10"/>
      <name val="Arial"/>
      <family val="0"/>
    </font>
    <font>
      <b val="true"/>
      <sz val="15"/>
      <color rgb="FF1F3050"/>
      <name val="Arial"/>
      <family val="0"/>
      <charset val="1"/>
    </font>
    <font>
      <i val="true"/>
      <sz val="9"/>
      <color rgb="FF6B7280"/>
      <name val="Arial"/>
      <family val="0"/>
      <charset val="1"/>
    </font>
    <font>
      <sz val="9"/>
      <name val="Arial"/>
      <family val="0"/>
      <charset val="1"/>
    </font>
    <font>
      <b val="true"/>
      <sz val="9"/>
      <name val="Arial"/>
      <family val="0"/>
      <charset val="1"/>
    </font>
    <font>
      <b val="true"/>
      <sz val="10"/>
      <color rgb="FF1F3050"/>
      <name val="Arial"/>
      <family val="0"/>
      <charset val="1"/>
    </font>
    <font>
      <b val="true"/>
      <sz val="9"/>
      <color rgb="FFFFFFFF"/>
      <name val="Arial"/>
      <family val="0"/>
      <charset val="1"/>
    </font>
    <font>
      <b val="true"/>
      <sz val="8"/>
      <name val="Arial"/>
      <family val="0"/>
      <charset val="1"/>
    </font>
    <font>
      <i val="true"/>
      <sz val="9"/>
      <color rgb="FF1F3050"/>
      <name val="Arial"/>
      <family val="0"/>
      <charset val="1"/>
    </font>
    <font>
      <sz val="9"/>
      <color rgb="FF0000FF"/>
      <name val="Arial"/>
      <family val="0"/>
      <charset val="1"/>
    </font>
  </fonts>
  <fills count="9">
    <fill>
      <patternFill patternType="none"/>
    </fill>
    <fill>
      <patternFill patternType="gray125"/>
    </fill>
    <fill>
      <patternFill patternType="solid">
        <fgColor rgb="FF1F3050"/>
        <bgColor rgb="FF003366"/>
      </patternFill>
    </fill>
    <fill>
      <patternFill patternType="solid">
        <fgColor rgb="FFF2F5F9"/>
        <bgColor rgb="FFFFFFFF"/>
      </patternFill>
    </fill>
    <fill>
      <patternFill patternType="solid">
        <fgColor rgb="FFD6EFD8"/>
        <bgColor rgb="FFE4E9F0"/>
      </patternFill>
    </fill>
    <fill>
      <patternFill patternType="solid">
        <fgColor rgb="FFFFF3CD"/>
        <bgColor rgb="FFF2F5F9"/>
      </patternFill>
    </fill>
    <fill>
      <patternFill patternType="solid">
        <fgColor rgb="FFFBD9D3"/>
        <bgColor rgb="FFE4E9F0"/>
      </patternFill>
    </fill>
    <fill>
      <patternFill patternType="solid">
        <fgColor rgb="FFE4E9F0"/>
        <bgColor rgb="FFD6EFD8"/>
      </patternFill>
    </fill>
    <fill>
      <patternFill patternType="solid">
        <fgColor rgb="FFFFFF00"/>
        <bgColor rgb="FFFFFF00"/>
      </patternFill>
    </fill>
  </fills>
  <borders count="2">
    <border diagonalUp="false" diagonalDown="false">
      <left/>
      <right/>
      <top/>
      <bottom/>
      <diagonal/>
    </border>
    <border diagonalUp="false" diagonalDown="false">
      <left style="thin">
        <color rgb="FFD5DBE3"/>
      </left>
      <right style="thin">
        <color rgb="FFD5DBE3"/>
      </right>
      <top style="thin">
        <color rgb="FFD5DBE3"/>
      </top>
      <bottom style="thin">
        <color rgb="FFD5DB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7" fontId="6" fillId="0" borderId="1" xfId="0" applyFont="true" applyBorder="true" applyAlignment="true" applyProtection="false">
      <alignment horizontal="right" vertical="top" textRotation="0" wrapText="false" indent="0" shrinkToFit="false"/>
      <protection locked="true" hidden="false"/>
    </xf>
    <xf numFmtId="168" fontId="6"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5" fontId="6" fillId="3" borderId="1" xfId="0" applyFont="true" applyBorder="true" applyAlignment="true" applyProtection="false">
      <alignment horizontal="right" vertical="top" textRotation="0" wrapText="false" indent="0" shrinkToFit="false"/>
      <protection locked="true" hidden="false"/>
    </xf>
    <xf numFmtId="166" fontId="6" fillId="3"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7" fontId="6" fillId="3" borderId="1" xfId="0" applyFont="true" applyBorder="true" applyAlignment="true" applyProtection="false">
      <alignment horizontal="right" vertical="top" textRotation="0" wrapText="false" indent="0" shrinkToFit="false"/>
      <protection locked="true" hidden="false"/>
    </xf>
    <xf numFmtId="168" fontId="6" fillId="3"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right" vertical="top" textRotation="0" wrapText="false" indent="0" shrinkToFit="false"/>
      <protection locked="true" hidden="false"/>
    </xf>
    <xf numFmtId="168" fontId="6" fillId="0" borderId="1" xfId="0" applyFont="true" applyBorder="true" applyAlignment="true" applyProtection="false">
      <alignment horizontal="left" vertical="top" textRotation="0" wrapText="false" indent="0" shrinkToFit="false"/>
      <protection locked="true" hidden="false"/>
    </xf>
    <xf numFmtId="168" fontId="6" fillId="3"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0" fillId="4" borderId="1" xfId="0" applyFont="true" applyBorder="true" applyAlignment="true" applyProtection="false">
      <alignment horizontal="left" vertical="top" textRotation="0" wrapText="false" indent="0" shrinkToFit="false"/>
      <protection locked="true" hidden="false"/>
    </xf>
    <xf numFmtId="164" fontId="10" fillId="3" borderId="1" xfId="0" applyFont="true" applyBorder="true" applyAlignment="true" applyProtection="false">
      <alignment horizontal="left" vertical="top" textRotation="0" wrapText="false" indent="0" shrinkToFit="false"/>
      <protection locked="true" hidden="false"/>
    </xf>
    <xf numFmtId="164" fontId="10" fillId="5" borderId="1" xfId="0" applyFont="true" applyBorder="true" applyAlignment="true" applyProtection="false">
      <alignment horizontal="left" vertical="top" textRotation="0" wrapText="false" indent="0" shrinkToFit="false"/>
      <protection locked="true" hidden="false"/>
    </xf>
    <xf numFmtId="164" fontId="10" fillId="6" borderId="1" xfId="0" applyFont="true" applyBorder="true" applyAlignment="true" applyProtection="false">
      <alignment horizontal="left"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left" vertical="top" textRotation="0" wrapText="false" indent="0" shrinkToFit="false"/>
      <protection locked="true" hidden="false"/>
    </xf>
    <xf numFmtId="166" fontId="6" fillId="3" borderId="1" xfId="0" applyFont="true" applyBorder="true" applyAlignment="true" applyProtection="false">
      <alignment horizontal="left" vertical="top" textRotation="0" wrapText="false" indent="0" shrinkToFit="false"/>
      <protection locked="true" hidden="false"/>
    </xf>
    <xf numFmtId="167" fontId="6" fillId="3" borderId="1" xfId="0" applyFont="true" applyBorder="tru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left" vertical="top" textRotation="0" wrapText="false" indent="0" shrinkToFit="false"/>
      <protection locked="true" hidden="false"/>
    </xf>
    <xf numFmtId="170" fontId="6" fillId="0" borderId="1" xfId="0" applyFont="true" applyBorder="true" applyAlignment="true" applyProtection="false">
      <alignment horizontal="left" vertical="top" textRotation="0" wrapText="false" indent="0" shrinkToFit="false"/>
      <protection locked="true" hidden="false"/>
    </xf>
    <xf numFmtId="171" fontId="6" fillId="0" borderId="1" xfId="0" applyFont="true" applyBorder="true" applyAlignment="true" applyProtection="false">
      <alignment horizontal="left" vertical="top" textRotation="0" wrapText="false" indent="0" shrinkToFit="false"/>
      <protection locked="true" hidden="false"/>
    </xf>
    <xf numFmtId="169" fontId="6" fillId="3" borderId="1" xfId="0" applyFont="true" applyBorder="true" applyAlignment="true" applyProtection="false">
      <alignment horizontal="left" vertical="top" textRotation="0" wrapText="false" indent="0" shrinkToFit="false"/>
      <protection locked="true" hidden="false"/>
    </xf>
    <xf numFmtId="170" fontId="6" fillId="3" borderId="1" xfId="0" applyFont="true" applyBorder="true" applyAlignment="true" applyProtection="false">
      <alignment horizontal="left" vertical="top" textRotation="0" wrapText="false" indent="0" shrinkToFit="false"/>
      <protection locked="true" hidden="false"/>
    </xf>
    <xf numFmtId="171" fontId="6" fillId="3" borderId="1" xfId="0" applyFont="true" applyBorder="true" applyAlignment="true" applyProtection="false">
      <alignment horizontal="left" vertical="top" textRotation="0" wrapText="false" indent="0" shrinkToFit="false"/>
      <protection locked="true" hidden="false"/>
    </xf>
    <xf numFmtId="165" fontId="6" fillId="3" borderId="1" xfId="0" applyFont="true" applyBorder="true" applyAlignment="true" applyProtection="false">
      <alignment horizontal="left" vertical="top" textRotation="0" wrapText="false" indent="0" shrinkToFit="false"/>
      <protection locked="true" hidden="false"/>
    </xf>
    <xf numFmtId="165" fontId="6" fillId="0" borderId="1" xfId="0" applyFont="true" applyBorder="true" applyAlignment="true" applyProtection="false">
      <alignment horizontal="left" vertical="top" textRotation="0" wrapText="false" indent="0" shrinkToFit="false"/>
      <protection locked="true" hidden="false"/>
    </xf>
    <xf numFmtId="169" fontId="7" fillId="3" borderId="1" xfId="0" applyFont="true" applyBorder="true" applyAlignment="true" applyProtection="false">
      <alignment horizontal="left" vertical="top" textRotation="0" wrapText="false" indent="0" shrinkToFit="false"/>
      <protection locked="true" hidden="false"/>
    </xf>
    <xf numFmtId="170" fontId="7" fillId="3" borderId="1" xfId="0" applyFont="true" applyBorder="true" applyAlignment="true" applyProtection="false">
      <alignment horizontal="left" vertical="top" textRotation="0" wrapText="false" indent="0" shrinkToFit="false"/>
      <protection locked="true" hidden="false"/>
    </xf>
    <xf numFmtId="171" fontId="7" fillId="3" borderId="1" xfId="0" applyFont="true" applyBorder="true" applyAlignment="true" applyProtection="false">
      <alignment horizontal="left"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2" fontId="6" fillId="0" borderId="1" xfId="0" applyFont="true" applyBorder="true" applyAlignment="true" applyProtection="false">
      <alignment horizontal="left" vertical="top" textRotation="0" wrapText="false" indent="0" shrinkToFit="false"/>
      <protection locked="true" hidden="false"/>
    </xf>
    <xf numFmtId="172" fontId="6" fillId="3" borderId="1" xfId="0" applyFont="true" applyBorder="true" applyAlignment="true" applyProtection="false">
      <alignment horizontal="left" vertical="top" textRotation="0" wrapText="false" indent="0" shrinkToFit="false"/>
      <protection locked="true" hidden="false"/>
    </xf>
    <xf numFmtId="164" fontId="7" fillId="6" borderId="1" xfId="0" applyFont="true" applyBorder="true" applyAlignment="true" applyProtection="false">
      <alignment horizontal="left" vertical="top" textRotation="0" wrapText="false" indent="0" shrinkToFit="false"/>
      <protection locked="true" hidden="false"/>
    </xf>
    <xf numFmtId="164" fontId="7" fillId="4" borderId="1" xfId="0" applyFont="true" applyBorder="true" applyAlignment="true" applyProtection="false">
      <alignment horizontal="left" vertical="top" textRotation="0" wrapText="false" indent="0" shrinkToFit="false"/>
      <protection locked="true" hidden="false"/>
    </xf>
    <xf numFmtId="164" fontId="7" fillId="5" borderId="1" xfId="0" applyFont="true" applyBorder="true" applyAlignment="true" applyProtection="false">
      <alignment horizontal="left" vertical="top"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true" applyProtection="false">
      <alignment horizontal="right" vertical="top" textRotation="0" wrapText="false" indent="0" shrinkToFit="false"/>
      <protection locked="true" hidden="false"/>
    </xf>
    <xf numFmtId="173" fontId="6" fillId="3" borderId="1" xfId="0" applyFont="true" applyBorder="true" applyAlignment="true" applyProtection="false">
      <alignment horizontal="right" vertical="top" textRotation="0" wrapText="false" indent="0" shrinkToFit="false"/>
      <protection locked="true" hidden="false"/>
    </xf>
    <xf numFmtId="169" fontId="6" fillId="3" borderId="1" xfId="0" applyFont="true" applyBorder="true" applyAlignment="true" applyProtection="false">
      <alignment horizontal="right" vertical="top" textRotation="0" wrapText="false" indent="0" shrinkToFit="false"/>
      <protection locked="true" hidden="false"/>
    </xf>
    <xf numFmtId="169" fontId="6" fillId="0" borderId="1" xfId="0" applyFont="true" applyBorder="true" applyAlignment="true" applyProtection="false">
      <alignment horizontal="right" vertical="top" textRotation="0" wrapText="false" indent="0" shrinkToFit="false"/>
      <protection locked="true" hidden="false"/>
    </xf>
    <xf numFmtId="173" fontId="12" fillId="8" borderId="1" xfId="0" applyFont="true" applyBorder="true" applyAlignment="true" applyProtection="false">
      <alignment horizontal="right"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050"/>
          <bgColor rgb="FF000000"/>
        </patternFill>
      </fill>
    </dxf>
    <dxf>
      <fill>
        <patternFill patternType="solid">
          <fgColor rgb="FFF2F5F9"/>
          <bgColor rgb="FF000000"/>
        </patternFill>
      </fill>
    </dxf>
    <dxf>
      <fill>
        <patternFill patternType="solid">
          <bgColor rgb="FF000000"/>
        </patternFill>
      </fill>
    </dxf>
    <dxf>
      <fill>
        <patternFill patternType="solid">
          <fgColor rgb="FFFFFFFF"/>
          <bgColor rgb="FF000000"/>
        </patternFill>
      </fill>
    </dxf>
    <dxf>
      <fill>
        <patternFill patternType="solid">
          <fgColor rgb="FFD6EFD8"/>
          <bgColor rgb="FF000000"/>
        </patternFill>
      </fill>
    </dxf>
    <dxf>
      <fill>
        <patternFill patternType="solid">
          <fgColor rgb="FFFBD9D3"/>
          <bgColor rgb="FF000000"/>
        </patternFill>
      </fill>
    </dxf>
    <dxf>
      <fill>
        <patternFill patternType="solid">
          <fgColor rgb="FFFFF3CD"/>
          <bgColor rgb="FF000000"/>
        </patternFill>
      </fill>
    </dxf>
    <dxf>
      <fill>
        <patternFill patternType="solid">
          <fgColor rgb="FF1B5E20"/>
          <bgColor rgb="FF000000"/>
        </patternFill>
      </fill>
    </dxf>
    <dxf>
      <fill>
        <patternFill patternType="solid">
          <fgColor rgb="FF7A5B00"/>
          <bgColor rgb="FF000000"/>
        </patternFill>
      </fill>
    </dxf>
    <dxf>
      <fill>
        <patternFill patternType="solid">
          <fgColor rgb="FF8B1A10"/>
          <bgColor rgb="FF000000"/>
        </patternFill>
      </fill>
    </dxf>
    <dxf>
      <font>
        <name val="Arial"/>
        <charset val="1"/>
        <family val="0"/>
        <color rgb="FF1B5E20"/>
        <sz val="9"/>
      </font>
      <fill>
        <patternFill>
          <bgColor rgb="FFD6EFD8"/>
        </patternFill>
      </fill>
    </dxf>
    <dxf>
      <font>
        <name val="Arial"/>
        <charset val="1"/>
        <family val="0"/>
        <color rgb="FF7A5B00"/>
        <sz val="9"/>
      </font>
      <fill>
        <patternFill>
          <bgColor rgb="FFFFF3CD"/>
        </patternFill>
      </fill>
    </dxf>
    <dxf>
      <font>
        <name val="Arial"/>
        <charset val="1"/>
        <family val="0"/>
        <color rgb="FF8B1A10"/>
        <sz val="9"/>
      </font>
      <fill>
        <patternFill>
          <bgColor rgb="FFFBD9D3"/>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7A5B00"/>
      <rgbColor rgb="FF800080"/>
      <rgbColor rgb="FF008080"/>
      <rgbColor rgb="FFC0C0C0"/>
      <rgbColor rgb="FF808080"/>
      <rgbColor rgb="FF9999FF"/>
      <rgbColor rgb="FF993366"/>
      <rgbColor rgb="FFFFF3CD"/>
      <rgbColor rgb="FFE4E9F0"/>
      <rgbColor rgb="FF660066"/>
      <rgbColor rgb="FFFF8080"/>
      <rgbColor rgb="FF0066CC"/>
      <rgbColor rgb="FFD5DBE3"/>
      <rgbColor rgb="FF000080"/>
      <rgbColor rgb="FFFF00FF"/>
      <rgbColor rgb="FFFFFF00"/>
      <rgbColor rgb="FF00FFFF"/>
      <rgbColor rgb="FF800080"/>
      <rgbColor rgb="FF800000"/>
      <rgbColor rgb="FF008080"/>
      <rgbColor rgb="FF0000FF"/>
      <rgbColor rgb="FF00CCFF"/>
      <rgbColor rgb="FFF2F5F9"/>
      <rgbColor rgb="FFD6EFD8"/>
      <rgbColor rgb="FFFFFF99"/>
      <rgbColor rgb="FF99CCFF"/>
      <rgbColor rgb="FFFF99CC"/>
      <rgbColor rgb="FFCC99FF"/>
      <rgbColor rgb="FFFBD9D3"/>
      <rgbColor rgb="FF3366FF"/>
      <rgbColor rgb="FF33CCCC"/>
      <rgbColor rgb="FF99CC00"/>
      <rgbColor rgb="FFFFCC00"/>
      <rgbColor rgb="FFFF9900"/>
      <rgbColor rgb="FFFF6600"/>
      <rgbColor rgb="FF6B7280"/>
      <rgbColor rgb="FF969696"/>
      <rgbColor rgb="FF003366"/>
      <rgbColor rgb="FF339966"/>
      <rgbColor rgb="FF003300"/>
      <rgbColor rgb="FF333300"/>
      <rgbColor rgb="FF8B1A10"/>
      <rgbColor rgb="FF993366"/>
      <rgbColor rgb="FF333399"/>
      <rgbColor rgb="FF1F3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21.75" hidden="false" customHeight="true" outlineLevel="0" collapsed="false">
      <c r="A1" s="1" t="s">
        <v>0</v>
      </c>
      <c r="B1" s="1"/>
      <c r="C1" s="1"/>
      <c r="D1" s="1"/>
      <c r="E1" s="1"/>
      <c r="F1" s="1"/>
    </row>
    <row r="2" customFormat="false" ht="13.5" hidden="false" customHeight="true" outlineLevel="0" collapsed="false">
      <c r="A2" s="2" t="s">
        <v>1</v>
      </c>
      <c r="B2" s="2"/>
      <c r="C2" s="2"/>
      <c r="D2" s="2"/>
      <c r="E2" s="2"/>
      <c r="F2" s="2"/>
    </row>
    <row r="4" customFormat="false" ht="13.5" hidden="false" customHeight="true" outlineLevel="0" collapsed="false">
      <c r="A4" s="3"/>
      <c r="B4" s="4"/>
    </row>
    <row r="5" customFormat="false" ht="25.5" hidden="false" customHeight="true" outlineLevel="0" collapsed="false">
      <c r="A5" s="5" t="s">
        <v>2</v>
      </c>
      <c r="B5" s="4" t="s">
        <v>3</v>
      </c>
    </row>
    <row r="6" customFormat="false" ht="13.5" hidden="false" customHeight="true" outlineLevel="0" collapsed="false">
      <c r="A6" s="3"/>
      <c r="B6" s="4"/>
    </row>
    <row r="7" customFormat="false" ht="13.5" hidden="false" customHeight="true" outlineLevel="0" collapsed="false">
      <c r="A7" s="6" t="s">
        <v>4</v>
      </c>
      <c r="B7" s="4"/>
    </row>
    <row r="8" customFormat="false" ht="25.5" hidden="false" customHeight="true" outlineLevel="0" collapsed="false">
      <c r="A8" s="5" t="s">
        <v>5</v>
      </c>
      <c r="B8" s="4" t="s">
        <v>6</v>
      </c>
    </row>
    <row r="9" customFormat="false" ht="13.5" hidden="false" customHeight="true" outlineLevel="0" collapsed="false">
      <c r="A9" s="5" t="s">
        <v>7</v>
      </c>
      <c r="B9" s="4" t="s">
        <v>8</v>
      </c>
    </row>
    <row r="10" customFormat="false" ht="25.5" hidden="false" customHeight="true" outlineLevel="0" collapsed="false">
      <c r="A10" s="5" t="s">
        <v>9</v>
      </c>
      <c r="B10" s="4" t="s">
        <v>10</v>
      </c>
    </row>
    <row r="11" customFormat="false" ht="25.5" hidden="false" customHeight="true" outlineLevel="0" collapsed="false">
      <c r="A11" s="5" t="s">
        <v>11</v>
      </c>
      <c r="B11" s="4" t="s">
        <v>12</v>
      </c>
    </row>
    <row r="12" customFormat="false" ht="25.5" hidden="false" customHeight="true" outlineLevel="0" collapsed="false">
      <c r="A12" s="5" t="s">
        <v>13</v>
      </c>
      <c r="B12" s="4" t="s">
        <v>14</v>
      </c>
    </row>
    <row r="13" customFormat="false" ht="13.5" hidden="false" customHeight="true" outlineLevel="0" collapsed="false">
      <c r="A13" s="5" t="s">
        <v>15</v>
      </c>
      <c r="B13" s="4" t="s">
        <v>16</v>
      </c>
    </row>
    <row r="14" customFormat="false" ht="13.5" hidden="false" customHeight="true" outlineLevel="0" collapsed="false">
      <c r="A14" s="5" t="s">
        <v>17</v>
      </c>
      <c r="B14" s="4" t="s">
        <v>18</v>
      </c>
    </row>
    <row r="15" customFormat="false" ht="25.5" hidden="false" customHeight="true" outlineLevel="0" collapsed="false">
      <c r="A15" s="5" t="s">
        <v>19</v>
      </c>
      <c r="B15" s="4" t="s">
        <v>20</v>
      </c>
    </row>
    <row r="16" customFormat="false" ht="25.5" hidden="false" customHeight="true" outlineLevel="0" collapsed="false">
      <c r="A16" s="5" t="s">
        <v>21</v>
      </c>
      <c r="B16" s="4" t="s">
        <v>22</v>
      </c>
    </row>
    <row r="17" customFormat="false" ht="13.5" hidden="false" customHeight="true" outlineLevel="0" collapsed="false">
      <c r="A17" s="5" t="s">
        <v>23</v>
      </c>
      <c r="B17" s="4" t="s">
        <v>24</v>
      </c>
    </row>
    <row r="18" customFormat="false" ht="13.5" hidden="false" customHeight="true" outlineLevel="0" collapsed="false">
      <c r="A18" s="5" t="s">
        <v>25</v>
      </c>
      <c r="B18" s="4" t="s">
        <v>26</v>
      </c>
    </row>
    <row r="19" customFormat="false" ht="13.5" hidden="false" customHeight="true" outlineLevel="0" collapsed="false">
      <c r="A19" s="3"/>
      <c r="B19" s="4"/>
    </row>
    <row r="20" customFormat="false" ht="13.5" hidden="false" customHeight="true" outlineLevel="0" collapsed="false">
      <c r="A20" s="6" t="s">
        <v>27</v>
      </c>
      <c r="B20" s="4"/>
    </row>
    <row r="21" customFormat="false" ht="25.5" hidden="false" customHeight="true" outlineLevel="0" collapsed="false">
      <c r="A21" s="5" t="s">
        <v>28</v>
      </c>
      <c r="B21" s="4" t="s">
        <v>29</v>
      </c>
    </row>
    <row r="22" customFormat="false" ht="25.5" hidden="false" customHeight="true" outlineLevel="0" collapsed="false">
      <c r="A22" s="5" t="s">
        <v>30</v>
      </c>
      <c r="B22" s="4" t="s">
        <v>31</v>
      </c>
    </row>
    <row r="23" customFormat="false" ht="25.5" hidden="false" customHeight="true" outlineLevel="0" collapsed="false">
      <c r="A23" s="5" t="s">
        <v>32</v>
      </c>
      <c r="B23" s="4" t="s">
        <v>33</v>
      </c>
    </row>
    <row r="24" customFormat="false" ht="13.5" hidden="false" customHeight="true" outlineLevel="0" collapsed="false">
      <c r="A24" s="3"/>
      <c r="B24" s="4"/>
    </row>
    <row r="25" customFormat="false" ht="13.5" hidden="false" customHeight="true" outlineLevel="0" collapsed="false">
      <c r="A25" s="6" t="s">
        <v>34</v>
      </c>
      <c r="B25" s="4"/>
    </row>
    <row r="26" customFormat="false" ht="13.5" hidden="false" customHeight="true" outlineLevel="0" collapsed="false">
      <c r="A26" s="5" t="s">
        <v>35</v>
      </c>
      <c r="B26" s="4" t="s">
        <v>36</v>
      </c>
    </row>
    <row r="27" customFormat="false" ht="13.5" hidden="false" customHeight="true" outlineLevel="0" collapsed="false">
      <c r="A27" s="5" t="s">
        <v>37</v>
      </c>
      <c r="B27" s="4" t="s">
        <v>38</v>
      </c>
    </row>
    <row r="28" customFormat="false" ht="13.5" hidden="false" customHeight="true" outlineLevel="0" collapsed="false">
      <c r="A28" s="5" t="s">
        <v>39</v>
      </c>
      <c r="B28" s="4" t="s">
        <v>40</v>
      </c>
    </row>
    <row r="29" customFormat="false" ht="13.5" hidden="false" customHeight="true" outlineLevel="0" collapsed="false">
      <c r="A29" s="5" t="s">
        <v>41</v>
      </c>
      <c r="B29" s="4" t="s">
        <v>42</v>
      </c>
    </row>
    <row r="30" customFormat="false" ht="13.5" hidden="false" customHeight="true" outlineLevel="0" collapsed="false">
      <c r="A30" s="5" t="s">
        <v>43</v>
      </c>
      <c r="B30" s="4" t="s">
        <v>44</v>
      </c>
    </row>
    <row r="31" customFormat="false" ht="13.5" hidden="false" customHeight="true" outlineLevel="0" collapsed="false">
      <c r="A31" s="3"/>
      <c r="B31" s="4"/>
    </row>
    <row r="32" customFormat="false" ht="13.5" hidden="false" customHeight="true" outlineLevel="0" collapsed="false">
      <c r="A32" s="6" t="s">
        <v>45</v>
      </c>
      <c r="B32" s="4"/>
    </row>
    <row r="33" customFormat="false" ht="25.5" hidden="false" customHeight="true" outlineLevel="0" collapsed="false">
      <c r="A33" s="5" t="s">
        <v>46</v>
      </c>
      <c r="B33" s="4" t="s">
        <v>47</v>
      </c>
    </row>
    <row r="34" customFormat="false" ht="25.5" hidden="false" customHeight="true" outlineLevel="0" collapsed="false">
      <c r="A34" s="5" t="s">
        <v>48</v>
      </c>
      <c r="B34" s="4" t="s">
        <v>49</v>
      </c>
    </row>
    <row r="35" customFormat="false" ht="25.5" hidden="false" customHeight="true" outlineLevel="0" collapsed="false">
      <c r="A35" s="5" t="s">
        <v>50</v>
      </c>
      <c r="B35" s="4" t="s">
        <v>51</v>
      </c>
    </row>
    <row r="36" customFormat="false" ht="25.5" hidden="false" customHeight="true" outlineLevel="0" collapsed="false">
      <c r="A36" s="5" t="s">
        <v>52</v>
      </c>
      <c r="B36" s="4" t="s">
        <v>53</v>
      </c>
    </row>
    <row r="37" customFormat="false" ht="25.5" hidden="false" customHeight="true" outlineLevel="0" collapsed="false">
      <c r="A37" s="5" t="s">
        <v>54</v>
      </c>
      <c r="B37" s="4" t="s">
        <v>55</v>
      </c>
    </row>
    <row r="38" customFormat="false" ht="25.5" hidden="false" customHeight="true" outlineLevel="0" collapsed="false">
      <c r="A38" s="5" t="s">
        <v>56</v>
      </c>
      <c r="B38" s="4" t="s">
        <v>57</v>
      </c>
    </row>
    <row r="39" customFormat="false" ht="13.5" hidden="false" customHeight="true" outlineLevel="0" collapsed="false">
      <c r="A39" s="3"/>
      <c r="B39" s="4"/>
    </row>
    <row r="40" customFormat="false" ht="13.5" hidden="false" customHeight="true" outlineLevel="0" collapsed="false">
      <c r="A40" s="6" t="s">
        <v>58</v>
      </c>
      <c r="B40" s="4"/>
    </row>
    <row r="41" customFormat="false" ht="25.5" hidden="false" customHeight="true" outlineLevel="0" collapsed="false">
      <c r="A41" s="5" t="s">
        <v>59</v>
      </c>
      <c r="B41" s="4" t="s">
        <v>60</v>
      </c>
    </row>
    <row r="42" customFormat="false" ht="25.5" hidden="false" customHeight="true" outlineLevel="0" collapsed="false">
      <c r="A42" s="5" t="s">
        <v>61</v>
      </c>
      <c r="B42" s="4" t="s">
        <v>62</v>
      </c>
    </row>
    <row r="43" customFormat="false" ht="25.5" hidden="false" customHeight="true" outlineLevel="0" collapsed="false">
      <c r="A43" s="5" t="s">
        <v>63</v>
      </c>
      <c r="B43" s="4" t="s">
        <v>64</v>
      </c>
    </row>
    <row r="44" customFormat="false" ht="13.5" hidden="false" customHeight="true" outlineLevel="0" collapsed="false">
      <c r="A44" s="3"/>
      <c r="B44" s="4"/>
    </row>
    <row r="45" customFormat="false" ht="25.5" hidden="false" customHeight="true" outlineLevel="0" collapsed="false">
      <c r="A45" s="5" t="s">
        <v>65</v>
      </c>
      <c r="B45" s="4" t="s">
        <v>66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B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4"/>
    <col collapsed="false" customWidth="true" hidden="false" outlineLevel="0" max="5" min="4" style="0" width="18"/>
    <col collapsed="false" customWidth="true" hidden="false" outlineLevel="0" max="7" min="6" style="0" width="13"/>
    <col collapsed="false" customWidth="true" hidden="false" outlineLevel="0" max="8" min="8"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2" min="12" style="0" width="20"/>
    <col collapsed="false" customWidth="true" hidden="false" outlineLevel="0" max="13" min="13" style="0" width="9"/>
    <col collapsed="false" customWidth="true" hidden="false" outlineLevel="0" max="14" min="14" style="0" width="14"/>
    <col collapsed="false" customWidth="true" hidden="false" outlineLevel="0" max="15" min="15" style="0" width="16"/>
    <col collapsed="false" customWidth="true" hidden="false" outlineLevel="0" max="16" min="16" style="0" width="26"/>
    <col collapsed="false" customWidth="true" hidden="false" outlineLevel="0" max="17" min="17" style="0" width="20"/>
    <col collapsed="false" customWidth="true" hidden="false" outlineLevel="0" max="19" min="18" style="0" width="9"/>
    <col collapsed="false" customWidth="true" hidden="false" outlineLevel="0" max="20" min="20" style="0" width="10"/>
    <col collapsed="false" customWidth="true" hidden="false" outlineLevel="0" max="21" min="21" style="0" width="9"/>
    <col collapsed="false" customWidth="true" hidden="false" outlineLevel="0" max="22" min="22" style="0" width="10"/>
    <col collapsed="false" customWidth="true" hidden="false" outlineLevel="0" max="23" min="23" style="0" width="14"/>
    <col collapsed="false" customWidth="true" hidden="false" outlineLevel="0" max="24" min="24" style="0" width="12"/>
    <col collapsed="false" customWidth="true" hidden="false" outlineLevel="0" max="25" min="25" style="0" width="9"/>
    <col collapsed="false" customWidth="true" hidden="false" outlineLevel="0" max="26" min="26" style="0" width="22"/>
    <col collapsed="false" customWidth="true" hidden="false" outlineLevel="0" max="27" min="27" style="0" width="24"/>
    <col collapsed="false" customWidth="true" hidden="false" outlineLevel="0" max="29" min="28" style="0" width="9"/>
    <col collapsed="false" customWidth="true" hidden="false" outlineLevel="0" max="31" min="30" style="0" width="8"/>
    <col collapsed="false" customWidth="true" hidden="false" outlineLevel="0" max="32" min="32" style="0" width="10"/>
    <col collapsed="false" customWidth="true" hidden="false" outlineLevel="0" max="33" min="33" style="0" width="11"/>
    <col collapsed="false" customWidth="true" hidden="false" outlineLevel="0" max="34" min="34" style="0" width="10"/>
    <col collapsed="false" customWidth="true" hidden="false" outlineLevel="0" max="36" min="35" style="0" width="16"/>
    <col collapsed="false" customWidth="true" hidden="false" outlineLevel="0" max="37" min="37" style="0" width="18"/>
    <col collapsed="false" customWidth="true" hidden="false" outlineLevel="0" max="38" min="38" style="0" width="13"/>
    <col collapsed="false" customWidth="true" hidden="false" outlineLevel="0" max="39" min="39" style="0" width="22"/>
    <col collapsed="false" customWidth="true" hidden="false" outlineLevel="0" max="40" min="40" style="0" width="26"/>
    <col collapsed="false" customWidth="true" hidden="false" outlineLevel="0" max="43" min="41" style="0" width="8"/>
    <col collapsed="false" customWidth="true" hidden="false" outlineLevel="0" max="44" min="44" style="0" width="40"/>
    <col collapsed="false" customWidth="true" hidden="false" outlineLevel="0" max="45" min="45" style="0" width="14"/>
    <col collapsed="false" customWidth="true" hidden="false" outlineLevel="0" max="46" min="46" style="0" width="16"/>
    <col collapsed="false" customWidth="true" hidden="false" outlineLevel="0" max="47" min="47" style="0" width="24"/>
    <col collapsed="false" customWidth="true" hidden="false" outlineLevel="0" max="48" min="48" style="0" width="20"/>
    <col collapsed="false" customWidth="true" hidden="false" outlineLevel="0" max="49" min="49" style="0" width="22"/>
    <col collapsed="false" customWidth="true" hidden="false" outlineLevel="0" max="50" min="50" style="0" width="42"/>
    <col collapsed="false" customWidth="true" hidden="false" outlineLevel="0" max="51" min="51" style="0" width="11"/>
    <col collapsed="false" customWidth="true" hidden="false" outlineLevel="0" max="52" min="52" style="0" width="10"/>
    <col collapsed="false" customWidth="true" hidden="false" outlineLevel="0" max="53" min="53" style="0" width="13"/>
    <col collapsed="false" customWidth="true" hidden="false" outlineLevel="0" max="54" min="54" style="0" width="11"/>
    <col collapsed="false" customWidth="true" hidden="false" outlineLevel="0" max="55" min="55" style="0" width="32"/>
    <col collapsed="false" customWidth="true" hidden="false" outlineLevel="0" max="56" min="56" style="0" width="30"/>
    <col collapsed="false" customWidth="true" hidden="false" outlineLevel="0" max="57" min="57" style="0" width="52"/>
  </cols>
  <sheetData>
    <row r="1" customFormat="false" ht="21.75" hidden="false" customHeight="true" outlineLevel="0" collapsed="false">
      <c r="A1" s="1" t="s">
        <v>67</v>
      </c>
      <c r="B1" s="1"/>
      <c r="C1" s="1"/>
      <c r="D1" s="1"/>
      <c r="E1" s="1"/>
      <c r="F1" s="1"/>
      <c r="G1" s="1"/>
      <c r="H1" s="1"/>
      <c r="I1" s="1"/>
      <c r="J1" s="1"/>
      <c r="K1" s="1"/>
      <c r="L1" s="1"/>
    </row>
    <row r="2" customFormat="false" ht="13.5" hidden="false" customHeight="true" outlineLevel="0" collapsed="false">
      <c r="A2" s="2" t="s">
        <v>68</v>
      </c>
      <c r="B2" s="2"/>
      <c r="C2" s="2"/>
      <c r="D2" s="2"/>
      <c r="E2" s="2"/>
      <c r="F2" s="2"/>
      <c r="G2" s="2"/>
      <c r="H2" s="2"/>
      <c r="I2" s="2"/>
      <c r="J2" s="2"/>
      <c r="K2" s="2"/>
      <c r="L2" s="2"/>
      <c r="M2" s="2"/>
      <c r="N2" s="2"/>
    </row>
    <row r="3" customFormat="false" ht="42" hidden="false" customHeight="true" outlineLevel="0" collapsed="false">
      <c r="A3" s="7" t="s">
        <v>69</v>
      </c>
      <c r="B3" s="7" t="s">
        <v>70</v>
      </c>
      <c r="C3" s="7" t="s">
        <v>71</v>
      </c>
      <c r="D3" s="7" t="s">
        <v>72</v>
      </c>
      <c r="E3" s="7" t="s">
        <v>73</v>
      </c>
      <c r="F3" s="7" t="s">
        <v>74</v>
      </c>
      <c r="G3" s="7" t="s">
        <v>75</v>
      </c>
      <c r="H3" s="7" t="s">
        <v>76</v>
      </c>
      <c r="I3" s="7" t="s">
        <v>77</v>
      </c>
      <c r="J3" s="7" t="s">
        <v>78</v>
      </c>
      <c r="K3" s="7" t="s">
        <v>79</v>
      </c>
      <c r="L3" s="7" t="s">
        <v>80</v>
      </c>
      <c r="M3" s="7" t="s">
        <v>81</v>
      </c>
      <c r="N3" s="7" t="s">
        <v>82</v>
      </c>
      <c r="O3" s="7" t="s">
        <v>83</v>
      </c>
      <c r="P3" s="7" t="s">
        <v>84</v>
      </c>
      <c r="Q3" s="7" t="s">
        <v>85</v>
      </c>
      <c r="R3" s="7" t="s">
        <v>86</v>
      </c>
      <c r="S3" s="7" t="s">
        <v>87</v>
      </c>
      <c r="T3" s="7" t="s">
        <v>88</v>
      </c>
      <c r="U3" s="7" t="s">
        <v>89</v>
      </c>
      <c r="V3" s="7" t="s">
        <v>90</v>
      </c>
      <c r="W3" s="7" t="s">
        <v>91</v>
      </c>
      <c r="X3" s="7" t="s">
        <v>92</v>
      </c>
      <c r="Y3" s="7" t="s">
        <v>93</v>
      </c>
      <c r="Z3" s="7" t="s">
        <v>94</v>
      </c>
      <c r="AA3" s="7" t="s">
        <v>95</v>
      </c>
      <c r="AB3" s="7" t="s">
        <v>96</v>
      </c>
      <c r="AC3" s="7" t="s">
        <v>97</v>
      </c>
      <c r="AD3" s="7" t="s">
        <v>98</v>
      </c>
      <c r="AE3" s="7" t="s">
        <v>99</v>
      </c>
      <c r="AF3" s="7" t="s">
        <v>100</v>
      </c>
      <c r="AG3" s="7" t="s">
        <v>101</v>
      </c>
      <c r="AH3" s="7" t="s">
        <v>102</v>
      </c>
      <c r="AI3" s="7" t="s">
        <v>103</v>
      </c>
      <c r="AJ3" s="7" t="s">
        <v>104</v>
      </c>
      <c r="AK3" s="7" t="s">
        <v>105</v>
      </c>
      <c r="AL3" s="7" t="s">
        <v>106</v>
      </c>
      <c r="AM3" s="7" t="s">
        <v>107</v>
      </c>
      <c r="AN3" s="7" t="s">
        <v>108</v>
      </c>
      <c r="AO3" s="7" t="s">
        <v>109</v>
      </c>
      <c r="AP3" s="7" t="s">
        <v>110</v>
      </c>
      <c r="AQ3" s="7" t="s">
        <v>111</v>
      </c>
      <c r="AR3" s="7" t="s">
        <v>112</v>
      </c>
      <c r="AS3" s="7" t="s">
        <v>113</v>
      </c>
      <c r="AT3" s="7" t="s">
        <v>114</v>
      </c>
      <c r="AU3" s="7" t="s">
        <v>115</v>
      </c>
      <c r="AV3" s="7" t="s">
        <v>116</v>
      </c>
      <c r="AW3" s="7" t="s">
        <v>117</v>
      </c>
      <c r="AX3" s="7" t="s">
        <v>118</v>
      </c>
      <c r="AY3" s="7" t="s">
        <v>119</v>
      </c>
      <c r="AZ3" s="7" t="s">
        <v>120</v>
      </c>
      <c r="BA3" s="7" t="s">
        <v>121</v>
      </c>
      <c r="BB3" s="7" t="s">
        <v>122</v>
      </c>
      <c r="BC3" s="7" t="s">
        <v>123</v>
      </c>
      <c r="BD3" s="7" t="s">
        <v>124</v>
      </c>
      <c r="BE3" s="7" t="s">
        <v>125</v>
      </c>
    </row>
    <row r="4" customFormat="false" ht="57.75" hidden="false" customHeight="true" outlineLevel="0" collapsed="false">
      <c r="A4" s="8" t="s">
        <v>126</v>
      </c>
      <c r="B4" s="8" t="s">
        <v>127</v>
      </c>
      <c r="C4" s="8" t="s">
        <v>128</v>
      </c>
      <c r="D4" s="8" t="s">
        <v>129</v>
      </c>
      <c r="E4" s="8" t="s">
        <v>130</v>
      </c>
      <c r="F4" s="8" t="s">
        <v>131</v>
      </c>
      <c r="G4" s="8" t="s">
        <v>132</v>
      </c>
      <c r="H4" s="8" t="s">
        <v>133</v>
      </c>
      <c r="I4" s="9" t="n">
        <v>109999</v>
      </c>
      <c r="J4" s="9" t="n">
        <v>114999</v>
      </c>
      <c r="K4" s="8" t="s">
        <v>134</v>
      </c>
      <c r="L4" s="8" t="s">
        <v>135</v>
      </c>
      <c r="M4" s="10" t="n">
        <v>2.9</v>
      </c>
      <c r="N4" s="8" t="s">
        <v>136</v>
      </c>
      <c r="O4" s="8" t="s">
        <v>137</v>
      </c>
      <c r="P4" s="11" t="s">
        <v>138</v>
      </c>
      <c r="Q4" s="8" t="s">
        <v>139</v>
      </c>
      <c r="R4" s="12" t="n">
        <v>4.3</v>
      </c>
      <c r="S4" s="13" t="n">
        <v>22</v>
      </c>
      <c r="T4" s="13" t="n">
        <v>80</v>
      </c>
      <c r="U4" s="12" t="s">
        <v>135</v>
      </c>
      <c r="V4" s="13" t="n">
        <v>123</v>
      </c>
      <c r="W4" s="8" t="s">
        <v>140</v>
      </c>
      <c r="X4" s="13" t="n">
        <v>85</v>
      </c>
      <c r="Y4" s="13" t="n">
        <v>350</v>
      </c>
      <c r="Z4" s="11" t="s">
        <v>141</v>
      </c>
      <c r="AA4" s="11" t="s">
        <v>142</v>
      </c>
      <c r="AB4" s="13" t="n">
        <v>119</v>
      </c>
      <c r="AC4" s="13" t="n">
        <v>1850</v>
      </c>
      <c r="AD4" s="13" t="n">
        <v>750</v>
      </c>
      <c r="AE4" s="13" t="n">
        <v>1140</v>
      </c>
      <c r="AF4" s="13" t="n">
        <v>1285</v>
      </c>
      <c r="AG4" s="13" t="n">
        <v>150</v>
      </c>
      <c r="AH4" s="13" t="n">
        <v>780</v>
      </c>
      <c r="AI4" s="14" t="n">
        <v>34</v>
      </c>
      <c r="AJ4" s="8" t="s">
        <v>143</v>
      </c>
      <c r="AK4" s="11" t="s">
        <v>144</v>
      </c>
      <c r="AL4" s="8" t="s">
        <v>145</v>
      </c>
      <c r="AM4" s="11" t="s">
        <v>146</v>
      </c>
      <c r="AN4" s="11" t="s">
        <v>147</v>
      </c>
      <c r="AO4" s="14" t="n">
        <v>2</v>
      </c>
      <c r="AP4" s="8" t="s">
        <v>148</v>
      </c>
      <c r="AQ4" s="8" t="s">
        <v>148</v>
      </c>
      <c r="AR4" s="11" t="s">
        <v>149</v>
      </c>
      <c r="AS4" s="11" t="s">
        <v>150</v>
      </c>
      <c r="AT4" s="11" t="s">
        <v>151</v>
      </c>
      <c r="AU4" s="11" t="s">
        <v>152</v>
      </c>
      <c r="AV4" s="11" t="s">
        <v>153</v>
      </c>
      <c r="AW4" s="11" t="s">
        <v>154</v>
      </c>
      <c r="AX4" s="11" t="s">
        <v>155</v>
      </c>
      <c r="AY4" s="13" t="n">
        <f aca="false">IF(AND(ISNUMBER($J4),ISNUMBER($M4)),$J4/$M4,"n/a")</f>
        <v>39654.8275862069</v>
      </c>
      <c r="AZ4" s="12" t="n">
        <f aca="false">IF(AND(ISNUMBER($V4),ISNUMBER($M4)),$V4/$M4,"n/a")</f>
        <v>42.4137931034483</v>
      </c>
      <c r="BA4" s="8" t="str">
        <f aca="false">IF(NOT(ISNUMBER($J4)),"n/a",IF($J4&lt;70000,"1. &lt;Rs70k",IF($J4&lt;100000,"2. Rs70k-1L",IF($J4&lt;150000,"3. Rs1-1.5L",IF($J4&lt;200000,"4. Rs1.5-2L",IF($J4&lt;300000,"5. Rs2-3L","6. &gt;Rs3L"))))))</f>
        <v>3. Rs1-1.5L</v>
      </c>
      <c r="BB4" s="8" t="s">
        <v>28</v>
      </c>
      <c r="BC4" s="8" t="s">
        <v>156</v>
      </c>
      <c r="BD4" s="11" t="s">
        <v>157</v>
      </c>
      <c r="BE4" s="11" t="s">
        <v>158</v>
      </c>
    </row>
    <row r="5" customFormat="false" ht="57.75" hidden="false" customHeight="true" outlineLevel="0" collapsed="false">
      <c r="A5" s="15" t="s">
        <v>159</v>
      </c>
      <c r="B5" s="15" t="s">
        <v>160</v>
      </c>
      <c r="C5" s="15" t="s">
        <v>128</v>
      </c>
      <c r="D5" s="15" t="s">
        <v>129</v>
      </c>
      <c r="E5" s="15" t="s">
        <v>161</v>
      </c>
      <c r="F5" s="15" t="s">
        <v>131</v>
      </c>
      <c r="G5" s="15" t="s">
        <v>132</v>
      </c>
      <c r="H5" s="15" t="s">
        <v>133</v>
      </c>
      <c r="I5" s="16" t="s">
        <v>135</v>
      </c>
      <c r="J5" s="16" t="n">
        <v>132000</v>
      </c>
      <c r="K5" s="15" t="s">
        <v>134</v>
      </c>
      <c r="L5" s="15" t="s">
        <v>135</v>
      </c>
      <c r="M5" s="17" t="n">
        <v>2.9</v>
      </c>
      <c r="N5" s="15" t="s">
        <v>136</v>
      </c>
      <c r="O5" s="15" t="s">
        <v>137</v>
      </c>
      <c r="P5" s="18" t="s">
        <v>162</v>
      </c>
      <c r="Q5" s="15" t="s">
        <v>139</v>
      </c>
      <c r="R5" s="19" t="n">
        <v>4.3</v>
      </c>
      <c r="S5" s="20" t="n">
        <v>22</v>
      </c>
      <c r="T5" s="20" t="n">
        <v>80</v>
      </c>
      <c r="U5" s="19" t="s">
        <v>135</v>
      </c>
      <c r="V5" s="20" t="n">
        <v>126</v>
      </c>
      <c r="W5" s="15" t="s">
        <v>140</v>
      </c>
      <c r="X5" s="20" t="n">
        <v>88</v>
      </c>
      <c r="Y5" s="20" t="n">
        <v>350</v>
      </c>
      <c r="Z5" s="18" t="s">
        <v>163</v>
      </c>
      <c r="AA5" s="18" t="s">
        <v>164</v>
      </c>
      <c r="AB5" s="20" t="n">
        <v>125</v>
      </c>
      <c r="AC5" s="20" t="n">
        <v>1850</v>
      </c>
      <c r="AD5" s="20" t="n">
        <v>750</v>
      </c>
      <c r="AE5" s="20" t="n">
        <v>1140</v>
      </c>
      <c r="AF5" s="20" t="n">
        <v>1285</v>
      </c>
      <c r="AG5" s="20" t="n">
        <v>150</v>
      </c>
      <c r="AH5" s="20" t="n">
        <v>780</v>
      </c>
      <c r="AI5" s="21" t="n">
        <v>34</v>
      </c>
      <c r="AJ5" s="15" t="s">
        <v>143</v>
      </c>
      <c r="AK5" s="18" t="s">
        <v>144</v>
      </c>
      <c r="AL5" s="15" t="s">
        <v>145</v>
      </c>
      <c r="AM5" s="18" t="s">
        <v>165</v>
      </c>
      <c r="AN5" s="18" t="s">
        <v>166</v>
      </c>
      <c r="AO5" s="21" t="n">
        <v>2</v>
      </c>
      <c r="AP5" s="15" t="s">
        <v>148</v>
      </c>
      <c r="AQ5" s="15" t="s">
        <v>148</v>
      </c>
      <c r="AR5" s="18" t="s">
        <v>167</v>
      </c>
      <c r="AS5" s="18" t="s">
        <v>168</v>
      </c>
      <c r="AT5" s="18" t="s">
        <v>151</v>
      </c>
      <c r="AU5" s="18" t="s">
        <v>169</v>
      </c>
      <c r="AV5" s="18" t="s">
        <v>129</v>
      </c>
      <c r="AW5" s="18" t="s">
        <v>170</v>
      </c>
      <c r="AX5" s="18" t="s">
        <v>171</v>
      </c>
      <c r="AY5" s="20" t="n">
        <f aca="false">IF(AND(ISNUMBER($J5),ISNUMBER($M5)),$J5/$M5,"n/a")</f>
        <v>45517.2413793104</v>
      </c>
      <c r="AZ5" s="19" t="n">
        <f aca="false">IF(AND(ISNUMBER($V5),ISNUMBER($M5)),$V5/$M5,"n/a")</f>
        <v>43.448275862069</v>
      </c>
      <c r="BA5" s="15" t="str">
        <f aca="false">IF(NOT(ISNUMBER($J5)),"n/a",IF($J5&lt;70000,"1. &lt;Rs70k",IF($J5&lt;100000,"2. Rs70k-1L",IF($J5&lt;150000,"3. Rs1-1.5L",IF($J5&lt;200000,"4. Rs1.5-2L",IF($J5&lt;300000,"5. Rs2-3L","6. &gt;Rs3L"))))))</f>
        <v>3. Rs1-1.5L</v>
      </c>
      <c r="BB5" s="15" t="s">
        <v>30</v>
      </c>
      <c r="BC5" s="15" t="s">
        <v>172</v>
      </c>
      <c r="BD5" s="18" t="s">
        <v>173</v>
      </c>
      <c r="BE5" s="18" t="s">
        <v>174</v>
      </c>
    </row>
    <row r="6" customFormat="false" ht="57.75" hidden="false" customHeight="true" outlineLevel="0" collapsed="false">
      <c r="A6" s="8" t="s">
        <v>175</v>
      </c>
      <c r="B6" s="8" t="s">
        <v>160</v>
      </c>
      <c r="C6" s="8" t="s">
        <v>128</v>
      </c>
      <c r="D6" s="8" t="s">
        <v>129</v>
      </c>
      <c r="E6" s="8" t="s">
        <v>176</v>
      </c>
      <c r="F6" s="8" t="s">
        <v>131</v>
      </c>
      <c r="G6" s="8" t="s">
        <v>177</v>
      </c>
      <c r="H6" s="8" t="s">
        <v>133</v>
      </c>
      <c r="I6" s="9" t="s">
        <v>135</v>
      </c>
      <c r="J6" s="9" t="n">
        <v>138000</v>
      </c>
      <c r="K6" s="8" t="s">
        <v>134</v>
      </c>
      <c r="L6" s="8" t="s">
        <v>135</v>
      </c>
      <c r="M6" s="10" t="n">
        <v>3.7</v>
      </c>
      <c r="N6" s="8" t="s">
        <v>136</v>
      </c>
      <c r="O6" s="8" t="s">
        <v>137</v>
      </c>
      <c r="P6" s="11" t="s">
        <v>162</v>
      </c>
      <c r="Q6" s="8" t="s">
        <v>139</v>
      </c>
      <c r="R6" s="12" t="n">
        <v>4.3</v>
      </c>
      <c r="S6" s="13" t="n">
        <v>22</v>
      </c>
      <c r="T6" s="13" t="n">
        <v>80</v>
      </c>
      <c r="U6" s="12" t="s">
        <v>135</v>
      </c>
      <c r="V6" s="13" t="n">
        <v>159</v>
      </c>
      <c r="W6" s="8" t="s">
        <v>140</v>
      </c>
      <c r="X6" s="13" t="n">
        <v>110</v>
      </c>
      <c r="Y6" s="13" t="n">
        <v>350</v>
      </c>
      <c r="Z6" s="11" t="s">
        <v>178</v>
      </c>
      <c r="AA6" s="11" t="s">
        <v>164</v>
      </c>
      <c r="AB6" s="13" t="n">
        <v>125</v>
      </c>
      <c r="AC6" s="13" t="n">
        <v>1850</v>
      </c>
      <c r="AD6" s="13" t="n">
        <v>750</v>
      </c>
      <c r="AE6" s="13" t="n">
        <v>1140</v>
      </c>
      <c r="AF6" s="13" t="n">
        <v>1285</v>
      </c>
      <c r="AG6" s="13" t="n">
        <v>150</v>
      </c>
      <c r="AH6" s="13" t="n">
        <v>780</v>
      </c>
      <c r="AI6" s="14" t="n">
        <v>34</v>
      </c>
      <c r="AJ6" s="8" t="s">
        <v>179</v>
      </c>
      <c r="AK6" s="11" t="s">
        <v>144</v>
      </c>
      <c r="AL6" s="8" t="s">
        <v>145</v>
      </c>
      <c r="AM6" s="11" t="s">
        <v>146</v>
      </c>
      <c r="AN6" s="11" t="s">
        <v>180</v>
      </c>
      <c r="AO6" s="14" t="n">
        <v>2</v>
      </c>
      <c r="AP6" s="8" t="s">
        <v>148</v>
      </c>
      <c r="AQ6" s="8" t="s">
        <v>148</v>
      </c>
      <c r="AR6" s="11" t="s">
        <v>181</v>
      </c>
      <c r="AS6" s="11" t="s">
        <v>168</v>
      </c>
      <c r="AT6" s="11" t="s">
        <v>151</v>
      </c>
      <c r="AU6" s="11" t="s">
        <v>169</v>
      </c>
      <c r="AV6" s="11" t="s">
        <v>129</v>
      </c>
      <c r="AW6" s="11" t="s">
        <v>170</v>
      </c>
      <c r="AX6" s="11" t="s">
        <v>182</v>
      </c>
      <c r="AY6" s="13" t="n">
        <f aca="false">IF(AND(ISNUMBER($J6),ISNUMBER($M6)),$J6/$M6,"n/a")</f>
        <v>37297.2972972973</v>
      </c>
      <c r="AZ6" s="12" t="n">
        <f aca="false">IF(AND(ISNUMBER($V6),ISNUMBER($M6)),$V6/$M6,"n/a")</f>
        <v>42.972972972973</v>
      </c>
      <c r="BA6" s="8" t="str">
        <f aca="false">IF(NOT(ISNUMBER($J6)),"n/a",IF($J6&lt;70000,"1. &lt;Rs70k",IF($J6&lt;100000,"2. Rs70k-1L",IF($J6&lt;150000,"3. Rs1-1.5L",IF($J6&lt;200000,"4. Rs1.5-2L",IF($J6&lt;300000,"5. Rs2-3L","6. &gt;Rs3L"))))))</f>
        <v>3. Rs1-1.5L</v>
      </c>
      <c r="BB6" s="8" t="s">
        <v>30</v>
      </c>
      <c r="BC6" s="8" t="s">
        <v>183</v>
      </c>
      <c r="BD6" s="11" t="s">
        <v>184</v>
      </c>
      <c r="BE6" s="11" t="s">
        <v>185</v>
      </c>
    </row>
    <row r="7" customFormat="false" ht="57.75" hidden="false" customHeight="true" outlineLevel="0" collapsed="false">
      <c r="A7" s="15" t="s">
        <v>186</v>
      </c>
      <c r="B7" s="15" t="s">
        <v>160</v>
      </c>
      <c r="C7" s="15" t="s">
        <v>128</v>
      </c>
      <c r="D7" s="15" t="s">
        <v>129</v>
      </c>
      <c r="E7" s="15" t="s">
        <v>187</v>
      </c>
      <c r="F7" s="15" t="s">
        <v>131</v>
      </c>
      <c r="G7" s="15" t="s">
        <v>177</v>
      </c>
      <c r="H7" s="15" t="s">
        <v>133</v>
      </c>
      <c r="I7" s="16" t="s">
        <v>135</v>
      </c>
      <c r="J7" s="16" t="n">
        <v>152000</v>
      </c>
      <c r="K7" s="15" t="s">
        <v>134</v>
      </c>
      <c r="L7" s="15" t="s">
        <v>135</v>
      </c>
      <c r="M7" s="17" t="n">
        <v>3.7</v>
      </c>
      <c r="N7" s="15" t="s">
        <v>136</v>
      </c>
      <c r="O7" s="15" t="s">
        <v>137</v>
      </c>
      <c r="P7" s="18" t="s">
        <v>162</v>
      </c>
      <c r="Q7" s="15" t="s">
        <v>139</v>
      </c>
      <c r="R7" s="19" t="n">
        <v>4.3</v>
      </c>
      <c r="S7" s="20" t="n">
        <v>22</v>
      </c>
      <c r="T7" s="20" t="n">
        <v>80</v>
      </c>
      <c r="U7" s="19" t="s">
        <v>135</v>
      </c>
      <c r="V7" s="20" t="n">
        <v>159</v>
      </c>
      <c r="W7" s="15" t="s">
        <v>140</v>
      </c>
      <c r="X7" s="20" t="n">
        <v>112</v>
      </c>
      <c r="Y7" s="20" t="n">
        <v>350</v>
      </c>
      <c r="Z7" s="18" t="s">
        <v>178</v>
      </c>
      <c r="AA7" s="18" t="s">
        <v>164</v>
      </c>
      <c r="AB7" s="20" t="n">
        <v>125</v>
      </c>
      <c r="AC7" s="20" t="n">
        <v>1850</v>
      </c>
      <c r="AD7" s="20" t="n">
        <v>750</v>
      </c>
      <c r="AE7" s="20" t="n">
        <v>1140</v>
      </c>
      <c r="AF7" s="20" t="n">
        <v>1285</v>
      </c>
      <c r="AG7" s="20" t="n">
        <v>150</v>
      </c>
      <c r="AH7" s="20" t="n">
        <v>780</v>
      </c>
      <c r="AI7" s="21" t="n">
        <v>34</v>
      </c>
      <c r="AJ7" s="15" t="s">
        <v>179</v>
      </c>
      <c r="AK7" s="18" t="s">
        <v>144</v>
      </c>
      <c r="AL7" s="15" t="s">
        <v>145</v>
      </c>
      <c r="AM7" s="18" t="s">
        <v>188</v>
      </c>
      <c r="AN7" s="18" t="s">
        <v>189</v>
      </c>
      <c r="AO7" s="21" t="n">
        <v>2</v>
      </c>
      <c r="AP7" s="15" t="s">
        <v>148</v>
      </c>
      <c r="AQ7" s="15" t="s">
        <v>148</v>
      </c>
      <c r="AR7" s="18" t="s">
        <v>190</v>
      </c>
      <c r="AS7" s="18" t="s">
        <v>168</v>
      </c>
      <c r="AT7" s="18" t="s">
        <v>151</v>
      </c>
      <c r="AU7" s="18" t="s">
        <v>191</v>
      </c>
      <c r="AV7" s="18" t="s">
        <v>129</v>
      </c>
      <c r="AW7" s="18" t="s">
        <v>170</v>
      </c>
      <c r="AX7" s="18" t="s">
        <v>192</v>
      </c>
      <c r="AY7" s="20" t="n">
        <f aca="false">IF(AND(ISNUMBER($J7),ISNUMBER($M7)),$J7/$M7,"n/a")</f>
        <v>41081.0810810811</v>
      </c>
      <c r="AZ7" s="19" t="n">
        <f aca="false">IF(AND(ISNUMBER($V7),ISNUMBER($M7)),$V7/$M7,"n/a")</f>
        <v>42.972972972973</v>
      </c>
      <c r="BA7" s="15" t="str">
        <f aca="false">IF(NOT(ISNUMBER($J7)),"n/a",IF($J7&lt;70000,"1. &lt;Rs70k",IF($J7&lt;100000,"2. Rs70k-1L",IF($J7&lt;150000,"3. Rs1-1.5L",IF($J7&lt;200000,"4. Rs1.5-2L",IF($J7&lt;300000,"5. Rs2-3L","6. &gt;Rs3L"))))))</f>
        <v>4. Rs1.5-2L</v>
      </c>
      <c r="BB7" s="15" t="s">
        <v>30</v>
      </c>
      <c r="BC7" s="15" t="s">
        <v>183</v>
      </c>
      <c r="BD7" s="18" t="s">
        <v>193</v>
      </c>
      <c r="BE7" s="18" t="s">
        <v>194</v>
      </c>
    </row>
    <row r="8" customFormat="false" ht="57.75" hidden="false" customHeight="true" outlineLevel="0" collapsed="false">
      <c r="A8" s="8" t="s">
        <v>195</v>
      </c>
      <c r="B8" s="8" t="s">
        <v>160</v>
      </c>
      <c r="C8" s="8" t="s">
        <v>128</v>
      </c>
      <c r="D8" s="8" t="s">
        <v>196</v>
      </c>
      <c r="E8" s="8" t="s">
        <v>197</v>
      </c>
      <c r="F8" s="8" t="s">
        <v>131</v>
      </c>
      <c r="G8" s="8" t="s">
        <v>198</v>
      </c>
      <c r="H8" s="8" t="s">
        <v>199</v>
      </c>
      <c r="I8" s="9" t="s">
        <v>135</v>
      </c>
      <c r="J8" s="9" t="n">
        <v>130311</v>
      </c>
      <c r="K8" s="8" t="s">
        <v>134</v>
      </c>
      <c r="L8" s="8" t="s">
        <v>135</v>
      </c>
      <c r="M8" s="10" t="n">
        <v>2.9</v>
      </c>
      <c r="N8" s="8" t="s">
        <v>136</v>
      </c>
      <c r="O8" s="8" t="s">
        <v>137</v>
      </c>
      <c r="P8" s="11" t="s">
        <v>162</v>
      </c>
      <c r="Q8" s="8" t="s">
        <v>139</v>
      </c>
      <c r="R8" s="12" t="n">
        <v>5.4</v>
      </c>
      <c r="S8" s="13" t="n">
        <v>22</v>
      </c>
      <c r="T8" s="13" t="n">
        <v>90</v>
      </c>
      <c r="U8" s="12" t="n">
        <v>3.3</v>
      </c>
      <c r="V8" s="13" t="n">
        <v>115</v>
      </c>
      <c r="W8" s="8" t="s">
        <v>140</v>
      </c>
      <c r="X8" s="13" t="n">
        <v>80</v>
      </c>
      <c r="Y8" s="13" t="n">
        <v>350</v>
      </c>
      <c r="Z8" s="11" t="s">
        <v>200</v>
      </c>
      <c r="AA8" s="11" t="s">
        <v>164</v>
      </c>
      <c r="AB8" s="13" t="n">
        <v>111</v>
      </c>
      <c r="AC8" s="22" t="s">
        <v>135</v>
      </c>
      <c r="AD8" s="22" t="s">
        <v>135</v>
      </c>
      <c r="AE8" s="22" t="s">
        <v>135</v>
      </c>
      <c r="AF8" s="13" t="n">
        <v>1278</v>
      </c>
      <c r="AG8" s="13" t="n">
        <v>165</v>
      </c>
      <c r="AH8" s="13" t="n">
        <v>780</v>
      </c>
      <c r="AI8" s="14" t="n">
        <v>22</v>
      </c>
      <c r="AJ8" s="8" t="s">
        <v>179</v>
      </c>
      <c r="AK8" s="11" t="s">
        <v>201</v>
      </c>
      <c r="AL8" s="8" t="s">
        <v>145</v>
      </c>
      <c r="AM8" s="11" t="s">
        <v>202</v>
      </c>
      <c r="AN8" s="11" t="s">
        <v>203</v>
      </c>
      <c r="AO8" s="14" t="n">
        <v>3</v>
      </c>
      <c r="AP8" s="8" t="s">
        <v>148</v>
      </c>
      <c r="AQ8" s="8" t="s">
        <v>148</v>
      </c>
      <c r="AR8" s="11" t="s">
        <v>204</v>
      </c>
      <c r="AS8" s="11" t="s">
        <v>205</v>
      </c>
      <c r="AT8" s="11" t="s">
        <v>151</v>
      </c>
      <c r="AU8" s="11" t="s">
        <v>206</v>
      </c>
      <c r="AV8" s="11" t="s">
        <v>207</v>
      </c>
      <c r="AW8" s="11" t="s">
        <v>170</v>
      </c>
      <c r="AX8" s="11" t="s">
        <v>208</v>
      </c>
      <c r="AY8" s="13" t="n">
        <f aca="false">IF(AND(ISNUMBER($J8),ISNUMBER($M8)),$J8/$M8,"n/a")</f>
        <v>44934.8275862069</v>
      </c>
      <c r="AZ8" s="12" t="n">
        <f aca="false">IF(AND(ISNUMBER($V8),ISNUMBER($M8)),$V8/$M8,"n/a")</f>
        <v>39.6551724137931</v>
      </c>
      <c r="BA8" s="8" t="str">
        <f aca="false">IF(NOT(ISNUMBER($J8)),"n/a",IF($J8&lt;70000,"1. &lt;Rs70k",IF($J8&lt;100000,"2. Rs70k-1L",IF($J8&lt;150000,"3. Rs1-1.5L",IF($J8&lt;200000,"4. Rs1.5-2L",IF($J8&lt;300000,"5. Rs2-3L","6. &gt;Rs3L"))))))</f>
        <v>3. Rs1-1.5L</v>
      </c>
      <c r="BB8" s="8" t="s">
        <v>30</v>
      </c>
      <c r="BC8" s="8" t="s">
        <v>209</v>
      </c>
      <c r="BD8" s="11" t="s">
        <v>173</v>
      </c>
      <c r="BE8" s="11" t="s">
        <v>135</v>
      </c>
    </row>
    <row r="9" customFormat="false" ht="57.75" hidden="false" customHeight="true" outlineLevel="0" collapsed="false">
      <c r="A9" s="15" t="s">
        <v>210</v>
      </c>
      <c r="B9" s="15" t="s">
        <v>160</v>
      </c>
      <c r="C9" s="15" t="s">
        <v>128</v>
      </c>
      <c r="D9" s="15" t="s">
        <v>211</v>
      </c>
      <c r="E9" s="15" t="s">
        <v>212</v>
      </c>
      <c r="F9" s="15" t="s">
        <v>131</v>
      </c>
      <c r="G9" s="15" t="s">
        <v>213</v>
      </c>
      <c r="H9" s="15" t="s">
        <v>199</v>
      </c>
      <c r="I9" s="16" t="s">
        <v>135</v>
      </c>
      <c r="J9" s="16" t="n">
        <v>153902</v>
      </c>
      <c r="K9" s="15" t="s">
        <v>134</v>
      </c>
      <c r="L9" s="15" t="s">
        <v>135</v>
      </c>
      <c r="M9" s="17" t="n">
        <v>3.7</v>
      </c>
      <c r="N9" s="15" t="s">
        <v>136</v>
      </c>
      <c r="O9" s="15" t="s">
        <v>137</v>
      </c>
      <c r="P9" s="18" t="s">
        <v>162</v>
      </c>
      <c r="Q9" s="15" t="s">
        <v>139</v>
      </c>
      <c r="R9" s="19" t="n">
        <v>6.4</v>
      </c>
      <c r="S9" s="20" t="n">
        <v>26</v>
      </c>
      <c r="T9" s="20" t="n">
        <v>90</v>
      </c>
      <c r="U9" s="19" t="n">
        <v>2.9</v>
      </c>
      <c r="V9" s="20" t="n">
        <v>161</v>
      </c>
      <c r="W9" s="15" t="s">
        <v>140</v>
      </c>
      <c r="X9" s="20" t="n">
        <v>115</v>
      </c>
      <c r="Y9" s="20" t="n">
        <v>350</v>
      </c>
      <c r="Z9" s="18" t="s">
        <v>214</v>
      </c>
      <c r="AA9" s="18" t="s">
        <v>215</v>
      </c>
      <c r="AB9" s="20" t="n">
        <v>111</v>
      </c>
      <c r="AC9" s="23" t="s">
        <v>135</v>
      </c>
      <c r="AD9" s="23" t="s">
        <v>135</v>
      </c>
      <c r="AE9" s="23" t="s">
        <v>135</v>
      </c>
      <c r="AF9" s="20" t="n">
        <v>1278</v>
      </c>
      <c r="AG9" s="20" t="n">
        <v>165</v>
      </c>
      <c r="AH9" s="20" t="n">
        <v>780</v>
      </c>
      <c r="AI9" s="21" t="n">
        <v>22</v>
      </c>
      <c r="AJ9" s="15" t="s">
        <v>179</v>
      </c>
      <c r="AK9" s="18" t="s">
        <v>216</v>
      </c>
      <c r="AL9" s="15" t="s">
        <v>145</v>
      </c>
      <c r="AM9" s="18" t="s">
        <v>188</v>
      </c>
      <c r="AN9" s="18" t="s">
        <v>217</v>
      </c>
      <c r="AO9" s="21" t="n">
        <v>4</v>
      </c>
      <c r="AP9" s="15" t="s">
        <v>148</v>
      </c>
      <c r="AQ9" s="15" t="s">
        <v>148</v>
      </c>
      <c r="AR9" s="18" t="s">
        <v>218</v>
      </c>
      <c r="AS9" s="18" t="s">
        <v>205</v>
      </c>
      <c r="AT9" s="18" t="s">
        <v>151</v>
      </c>
      <c r="AU9" s="18" t="s">
        <v>219</v>
      </c>
      <c r="AV9" s="18" t="s">
        <v>207</v>
      </c>
      <c r="AW9" s="18" t="s">
        <v>170</v>
      </c>
      <c r="AX9" s="18" t="s">
        <v>220</v>
      </c>
      <c r="AY9" s="20" t="n">
        <f aca="false">IF(AND(ISNUMBER($J9),ISNUMBER($M9)),$J9/$M9,"n/a")</f>
        <v>41595.1351351351</v>
      </c>
      <c r="AZ9" s="19" t="n">
        <f aca="false">IF(AND(ISNUMBER($V9),ISNUMBER($M9)),$V9/$M9,"n/a")</f>
        <v>43.5135135135135</v>
      </c>
      <c r="BA9" s="15" t="str">
        <f aca="false">IF(NOT(ISNUMBER($J9)),"n/a",IF($J9&lt;70000,"1. &lt;Rs70k",IF($J9&lt;100000,"2. Rs70k-1L",IF($J9&lt;150000,"3. Rs1-1.5L",IF($J9&lt;200000,"4. Rs1.5-2L",IF($J9&lt;300000,"5. Rs2-3L","6. &gt;Rs3L"))))))</f>
        <v>4. Rs1.5-2L</v>
      </c>
      <c r="BB9" s="15" t="s">
        <v>30</v>
      </c>
      <c r="BC9" s="15" t="s">
        <v>221</v>
      </c>
      <c r="BD9" s="18" t="s">
        <v>184</v>
      </c>
      <c r="BE9" s="18" t="s">
        <v>222</v>
      </c>
    </row>
    <row r="10" customFormat="false" ht="57.75" hidden="false" customHeight="true" outlineLevel="0" collapsed="false">
      <c r="A10" s="8" t="s">
        <v>223</v>
      </c>
      <c r="B10" s="8" t="s">
        <v>160</v>
      </c>
      <c r="C10" s="8" t="s">
        <v>128</v>
      </c>
      <c r="D10" s="8" t="s">
        <v>224</v>
      </c>
      <c r="E10" s="8" t="s">
        <v>225</v>
      </c>
      <c r="F10" s="8" t="s">
        <v>131</v>
      </c>
      <c r="G10" s="8" t="s">
        <v>226</v>
      </c>
      <c r="H10" s="8" t="s">
        <v>227</v>
      </c>
      <c r="I10" s="9" t="n">
        <v>189000</v>
      </c>
      <c r="J10" s="9" t="n">
        <v>195000</v>
      </c>
      <c r="K10" s="8" t="s">
        <v>134</v>
      </c>
      <c r="L10" s="8" t="s">
        <v>135</v>
      </c>
      <c r="M10" s="10" t="n">
        <v>3.7</v>
      </c>
      <c r="N10" s="8" t="s">
        <v>136</v>
      </c>
      <c r="O10" s="8" t="s">
        <v>137</v>
      </c>
      <c r="P10" s="11" t="s">
        <v>162</v>
      </c>
      <c r="Q10" s="8" t="s">
        <v>139</v>
      </c>
      <c r="R10" s="12" t="n">
        <v>7</v>
      </c>
      <c r="S10" s="13" t="n">
        <v>26</v>
      </c>
      <c r="T10" s="13" t="n">
        <v>100</v>
      </c>
      <c r="U10" s="12" t="n">
        <v>2.7</v>
      </c>
      <c r="V10" s="13" t="n">
        <v>157</v>
      </c>
      <c r="W10" s="8" t="s">
        <v>140</v>
      </c>
      <c r="X10" s="13" t="n">
        <v>110</v>
      </c>
      <c r="Y10" s="13" t="n">
        <v>350</v>
      </c>
      <c r="Z10" s="11" t="s">
        <v>163</v>
      </c>
      <c r="AA10" s="11" t="s">
        <v>164</v>
      </c>
      <c r="AB10" s="13" t="n">
        <v>112</v>
      </c>
      <c r="AC10" s="22" t="s">
        <v>135</v>
      </c>
      <c r="AD10" s="22" t="s">
        <v>135</v>
      </c>
      <c r="AE10" s="22" t="s">
        <v>135</v>
      </c>
      <c r="AF10" s="13" t="n">
        <v>1278</v>
      </c>
      <c r="AG10" s="13" t="n">
        <v>165</v>
      </c>
      <c r="AH10" s="13" t="n">
        <v>780</v>
      </c>
      <c r="AI10" s="14" t="n">
        <v>22</v>
      </c>
      <c r="AJ10" s="8" t="s">
        <v>179</v>
      </c>
      <c r="AK10" s="11" t="s">
        <v>216</v>
      </c>
      <c r="AL10" s="8" t="s">
        <v>145</v>
      </c>
      <c r="AM10" s="11" t="s">
        <v>188</v>
      </c>
      <c r="AN10" s="11" t="s">
        <v>228</v>
      </c>
      <c r="AO10" s="14" t="n">
        <v>4</v>
      </c>
      <c r="AP10" s="8" t="s">
        <v>148</v>
      </c>
      <c r="AQ10" s="8" t="s">
        <v>148</v>
      </c>
      <c r="AR10" s="11" t="s">
        <v>229</v>
      </c>
      <c r="AS10" s="11" t="s">
        <v>205</v>
      </c>
      <c r="AT10" s="11" t="s">
        <v>151</v>
      </c>
      <c r="AU10" s="11" t="s">
        <v>206</v>
      </c>
      <c r="AV10" s="11" t="s">
        <v>207</v>
      </c>
      <c r="AW10" s="11" t="s">
        <v>170</v>
      </c>
      <c r="AX10" s="11" t="s">
        <v>230</v>
      </c>
      <c r="AY10" s="13" t="n">
        <f aca="false">IF(AND(ISNUMBER($J10),ISNUMBER($M10)),$J10/$M10,"n/a")</f>
        <v>52702.7027027027</v>
      </c>
      <c r="AZ10" s="12" t="n">
        <f aca="false">IF(AND(ISNUMBER($V10),ISNUMBER($M10)),$V10/$M10,"n/a")</f>
        <v>42.4324324324324</v>
      </c>
      <c r="BA10" s="8" t="str">
        <f aca="false">IF(NOT(ISNUMBER($J10)),"n/a",IF($J10&lt;70000,"1. &lt;Rs70k",IF($J10&lt;100000,"2. Rs70k-1L",IF($J10&lt;150000,"3. Rs1-1.5L",IF($J10&lt;200000,"4. Rs1.5-2L",IF($J10&lt;300000,"5. Rs2-3L","6. &gt;Rs3L"))))))</f>
        <v>4. Rs1.5-2L</v>
      </c>
      <c r="BB10" s="8" t="s">
        <v>30</v>
      </c>
      <c r="BC10" s="8" t="s">
        <v>231</v>
      </c>
      <c r="BD10" s="11" t="s">
        <v>232</v>
      </c>
      <c r="BE10" s="11" t="s">
        <v>233</v>
      </c>
    </row>
    <row r="11" customFormat="false" ht="57.75" hidden="false" customHeight="true" outlineLevel="0" collapsed="false">
      <c r="A11" s="15" t="s">
        <v>234</v>
      </c>
      <c r="B11" s="15" t="s">
        <v>235</v>
      </c>
      <c r="C11" s="15" t="s">
        <v>236</v>
      </c>
      <c r="D11" s="15" t="s">
        <v>237</v>
      </c>
      <c r="E11" s="15" t="s">
        <v>238</v>
      </c>
      <c r="F11" s="15" t="s">
        <v>131</v>
      </c>
      <c r="G11" s="15" t="s">
        <v>239</v>
      </c>
      <c r="H11" s="15" t="s">
        <v>240</v>
      </c>
      <c r="I11" s="16" t="n">
        <v>94999</v>
      </c>
      <c r="J11" s="16" t="n">
        <v>119236</v>
      </c>
      <c r="K11" s="15" t="s">
        <v>134</v>
      </c>
      <c r="L11" s="15" t="s">
        <v>241</v>
      </c>
      <c r="M11" s="17" t="n">
        <v>2.2</v>
      </c>
      <c r="N11" s="15" t="s">
        <v>136</v>
      </c>
      <c r="O11" s="15" t="s">
        <v>242</v>
      </c>
      <c r="P11" s="18" t="s">
        <v>243</v>
      </c>
      <c r="Q11" s="15" t="s">
        <v>244</v>
      </c>
      <c r="R11" s="19" t="n">
        <v>4.4</v>
      </c>
      <c r="S11" s="20" t="n">
        <v>33</v>
      </c>
      <c r="T11" s="20" t="n">
        <v>75</v>
      </c>
      <c r="U11" s="19" t="n">
        <v>4.2</v>
      </c>
      <c r="V11" s="20" t="n">
        <v>94</v>
      </c>
      <c r="W11" s="15" t="s">
        <v>140</v>
      </c>
      <c r="X11" s="20" t="n">
        <v>70</v>
      </c>
      <c r="Y11" s="20" t="n">
        <v>950</v>
      </c>
      <c r="Z11" s="18" t="s">
        <v>245</v>
      </c>
      <c r="AA11" s="18" t="s">
        <v>246</v>
      </c>
      <c r="AB11" s="20" t="n">
        <v>110</v>
      </c>
      <c r="AC11" s="20" t="n">
        <v>1805</v>
      </c>
      <c r="AD11" s="20" t="n">
        <v>645</v>
      </c>
      <c r="AE11" s="20" t="n">
        <v>1140</v>
      </c>
      <c r="AF11" s="20" t="n">
        <v>1301</v>
      </c>
      <c r="AG11" s="20" t="n">
        <v>157</v>
      </c>
      <c r="AH11" s="20" t="n">
        <v>770</v>
      </c>
      <c r="AI11" s="21" t="n">
        <v>30</v>
      </c>
      <c r="AJ11" s="15" t="s">
        <v>179</v>
      </c>
      <c r="AK11" s="18" t="s">
        <v>247</v>
      </c>
      <c r="AL11" s="15" t="s">
        <v>145</v>
      </c>
      <c r="AM11" s="18" t="s">
        <v>248</v>
      </c>
      <c r="AN11" s="18" t="s">
        <v>249</v>
      </c>
      <c r="AO11" s="21" t="n">
        <v>2</v>
      </c>
      <c r="AP11" s="15" t="s">
        <v>148</v>
      </c>
      <c r="AQ11" s="15" t="s">
        <v>148</v>
      </c>
      <c r="AR11" s="18" t="s">
        <v>250</v>
      </c>
      <c r="AS11" s="18" t="s">
        <v>251</v>
      </c>
      <c r="AT11" s="18" t="s">
        <v>252</v>
      </c>
      <c r="AU11" s="18" t="s">
        <v>253</v>
      </c>
      <c r="AV11" s="18" t="s">
        <v>254</v>
      </c>
      <c r="AW11" s="18" t="s">
        <v>255</v>
      </c>
      <c r="AX11" s="18" t="s">
        <v>256</v>
      </c>
      <c r="AY11" s="20" t="n">
        <f aca="false">IF(AND(ISNUMBER($J11),ISNUMBER($M11)),$J11/$M11,"n/a")</f>
        <v>54198.1818181818</v>
      </c>
      <c r="AZ11" s="19" t="n">
        <f aca="false">IF(AND(ISNUMBER($V11),ISNUMBER($M11)),$V11/$M11,"n/a")</f>
        <v>42.7272727272727</v>
      </c>
      <c r="BA11" s="15" t="str">
        <f aca="false">IF(NOT(ISNUMBER($J11)),"n/a",IF($J11&lt;70000,"1. &lt;Rs70k",IF($J11&lt;100000,"2. Rs70k-1L",IF($J11&lt;150000,"3. Rs1-1.5L",IF($J11&lt;200000,"4. Rs1.5-2L",IF($J11&lt;300000,"5. Rs2-3L","6. &gt;Rs3L"))))))</f>
        <v>3. Rs1-1.5L</v>
      </c>
      <c r="BB11" s="15" t="s">
        <v>30</v>
      </c>
      <c r="BC11" s="15" t="s">
        <v>209</v>
      </c>
      <c r="BD11" s="18" t="s">
        <v>257</v>
      </c>
      <c r="BE11" s="18" t="s">
        <v>258</v>
      </c>
    </row>
    <row r="12" customFormat="false" ht="57.75" hidden="false" customHeight="true" outlineLevel="0" collapsed="false">
      <c r="A12" s="8" t="s">
        <v>259</v>
      </c>
      <c r="B12" s="8" t="s">
        <v>260</v>
      </c>
      <c r="C12" s="8" t="s">
        <v>236</v>
      </c>
      <c r="D12" s="8" t="s">
        <v>237</v>
      </c>
      <c r="E12" s="8" t="s">
        <v>261</v>
      </c>
      <c r="F12" s="8" t="s">
        <v>131</v>
      </c>
      <c r="G12" s="8" t="s">
        <v>177</v>
      </c>
      <c r="H12" s="8" t="s">
        <v>262</v>
      </c>
      <c r="I12" s="9" t="s">
        <v>135</v>
      </c>
      <c r="J12" s="9" t="n">
        <v>138495</v>
      </c>
      <c r="K12" s="8" t="s">
        <v>134</v>
      </c>
      <c r="L12" s="8" t="s">
        <v>135</v>
      </c>
      <c r="M12" s="10" t="n">
        <v>3.1</v>
      </c>
      <c r="N12" s="8" t="s">
        <v>136</v>
      </c>
      <c r="O12" s="8" t="s">
        <v>242</v>
      </c>
      <c r="P12" s="11" t="s">
        <v>135</v>
      </c>
      <c r="Q12" s="8" t="s">
        <v>244</v>
      </c>
      <c r="R12" s="12" t="n">
        <v>4.4</v>
      </c>
      <c r="S12" s="13" t="n">
        <v>33</v>
      </c>
      <c r="T12" s="13" t="n">
        <v>82</v>
      </c>
      <c r="U12" s="12" t="s">
        <v>135</v>
      </c>
      <c r="V12" s="13" t="n">
        <v>123</v>
      </c>
      <c r="W12" s="8" t="s">
        <v>140</v>
      </c>
      <c r="X12" s="13" t="n">
        <v>90</v>
      </c>
      <c r="Y12" s="13" t="n">
        <v>950</v>
      </c>
      <c r="Z12" s="11" t="s">
        <v>263</v>
      </c>
      <c r="AA12" s="11" t="s">
        <v>264</v>
      </c>
      <c r="AB12" s="13" t="n">
        <v>118</v>
      </c>
      <c r="AC12" s="13" t="n">
        <v>1805</v>
      </c>
      <c r="AD12" s="13" t="n">
        <v>645</v>
      </c>
      <c r="AE12" s="13" t="n">
        <v>1140</v>
      </c>
      <c r="AF12" s="13" t="n">
        <v>1301</v>
      </c>
      <c r="AG12" s="13" t="n">
        <v>157</v>
      </c>
      <c r="AH12" s="13" t="n">
        <v>770</v>
      </c>
      <c r="AI12" s="14" t="n">
        <v>32</v>
      </c>
      <c r="AJ12" s="8" t="s">
        <v>179</v>
      </c>
      <c r="AK12" s="11" t="s">
        <v>265</v>
      </c>
      <c r="AL12" s="8" t="s">
        <v>145</v>
      </c>
      <c r="AM12" s="11" t="s">
        <v>248</v>
      </c>
      <c r="AN12" s="11" t="s">
        <v>266</v>
      </c>
      <c r="AO12" s="14" t="n">
        <v>2</v>
      </c>
      <c r="AP12" s="8" t="s">
        <v>148</v>
      </c>
      <c r="AQ12" s="8" t="s">
        <v>148</v>
      </c>
      <c r="AR12" s="11" t="s">
        <v>267</v>
      </c>
      <c r="AS12" s="11" t="s">
        <v>268</v>
      </c>
      <c r="AT12" s="11" t="s">
        <v>252</v>
      </c>
      <c r="AU12" s="11" t="s">
        <v>269</v>
      </c>
      <c r="AV12" s="11" t="s">
        <v>237</v>
      </c>
      <c r="AW12" s="11" t="s">
        <v>270</v>
      </c>
      <c r="AX12" s="11" t="s">
        <v>271</v>
      </c>
      <c r="AY12" s="13" t="n">
        <f aca="false">IF(AND(ISNUMBER($J12),ISNUMBER($M12)),$J12/$M12,"n/a")</f>
        <v>44675.8064516129</v>
      </c>
      <c r="AZ12" s="12" t="n">
        <f aca="false">IF(AND(ISNUMBER($V12),ISNUMBER($M12)),$V12/$M12,"n/a")</f>
        <v>39.6774193548387</v>
      </c>
      <c r="BA12" s="8" t="str">
        <f aca="false">IF(NOT(ISNUMBER($J12)),"n/a",IF($J12&lt;70000,"1. &lt;Rs70k",IF($J12&lt;100000,"2. Rs70k-1L",IF($J12&lt;150000,"3. Rs1-1.5L",IF($J12&lt;200000,"4. Rs1.5-2L",IF($J12&lt;300000,"5. Rs2-3L","6. &gt;Rs3L"))))))</f>
        <v>3. Rs1-1.5L</v>
      </c>
      <c r="BB12" s="8" t="s">
        <v>30</v>
      </c>
      <c r="BC12" s="8" t="s">
        <v>221</v>
      </c>
      <c r="BD12" s="11" t="s">
        <v>272</v>
      </c>
      <c r="BE12" s="11" t="s">
        <v>135</v>
      </c>
    </row>
    <row r="13" customFormat="false" ht="57.75" hidden="false" customHeight="true" outlineLevel="0" collapsed="false">
      <c r="A13" s="15" t="s">
        <v>273</v>
      </c>
      <c r="B13" s="15" t="s">
        <v>260</v>
      </c>
      <c r="C13" s="15" t="s">
        <v>236</v>
      </c>
      <c r="D13" s="15" t="s">
        <v>237</v>
      </c>
      <c r="E13" s="15" t="s">
        <v>274</v>
      </c>
      <c r="F13" s="15" t="s">
        <v>131</v>
      </c>
      <c r="G13" s="15" t="s">
        <v>275</v>
      </c>
      <c r="H13" s="15" t="s">
        <v>262</v>
      </c>
      <c r="I13" s="16" t="s">
        <v>135</v>
      </c>
      <c r="J13" s="16" t="n">
        <v>145640</v>
      </c>
      <c r="K13" s="15" t="s">
        <v>134</v>
      </c>
      <c r="L13" s="15" t="s">
        <v>135</v>
      </c>
      <c r="M13" s="17" t="n">
        <v>3.5</v>
      </c>
      <c r="N13" s="15" t="s">
        <v>136</v>
      </c>
      <c r="O13" s="15" t="s">
        <v>242</v>
      </c>
      <c r="P13" s="18" t="s">
        <v>135</v>
      </c>
      <c r="Q13" s="15" t="s">
        <v>244</v>
      </c>
      <c r="R13" s="19" t="n">
        <v>4.4</v>
      </c>
      <c r="S13" s="20" t="n">
        <v>33</v>
      </c>
      <c r="T13" s="20" t="n">
        <v>78</v>
      </c>
      <c r="U13" s="19" t="s">
        <v>135</v>
      </c>
      <c r="V13" s="20" t="n">
        <v>145</v>
      </c>
      <c r="W13" s="15" t="s">
        <v>140</v>
      </c>
      <c r="X13" s="20" t="n">
        <v>105</v>
      </c>
      <c r="Y13" s="20" t="n">
        <v>950</v>
      </c>
      <c r="Z13" s="18" t="s">
        <v>276</v>
      </c>
      <c r="AA13" s="18" t="s">
        <v>264</v>
      </c>
      <c r="AB13" s="20" t="n">
        <v>118</v>
      </c>
      <c r="AC13" s="20" t="n">
        <v>1805</v>
      </c>
      <c r="AD13" s="20" t="n">
        <v>645</v>
      </c>
      <c r="AE13" s="20" t="n">
        <v>1140</v>
      </c>
      <c r="AF13" s="20" t="n">
        <v>1301</v>
      </c>
      <c r="AG13" s="20" t="n">
        <v>157</v>
      </c>
      <c r="AH13" s="20" t="n">
        <v>770</v>
      </c>
      <c r="AI13" s="21" t="n">
        <v>32</v>
      </c>
      <c r="AJ13" s="15" t="s">
        <v>179</v>
      </c>
      <c r="AK13" s="18" t="s">
        <v>265</v>
      </c>
      <c r="AL13" s="15" t="s">
        <v>145</v>
      </c>
      <c r="AM13" s="18" t="s">
        <v>248</v>
      </c>
      <c r="AN13" s="18" t="s">
        <v>277</v>
      </c>
      <c r="AO13" s="21" t="n">
        <v>2</v>
      </c>
      <c r="AP13" s="15" t="s">
        <v>148</v>
      </c>
      <c r="AQ13" s="15" t="s">
        <v>148</v>
      </c>
      <c r="AR13" s="18" t="s">
        <v>278</v>
      </c>
      <c r="AS13" s="18" t="s">
        <v>268</v>
      </c>
      <c r="AT13" s="18" t="s">
        <v>252</v>
      </c>
      <c r="AU13" s="18" t="s">
        <v>269</v>
      </c>
      <c r="AV13" s="18" t="s">
        <v>237</v>
      </c>
      <c r="AW13" s="18" t="s">
        <v>270</v>
      </c>
      <c r="AX13" s="18" t="s">
        <v>279</v>
      </c>
      <c r="AY13" s="20" t="n">
        <f aca="false">IF(AND(ISNUMBER($J13),ISNUMBER($M13)),$J13/$M13,"n/a")</f>
        <v>41611.4285714286</v>
      </c>
      <c r="AZ13" s="19" t="n">
        <f aca="false">IF(AND(ISNUMBER($V13),ISNUMBER($M13)),$V13/$M13,"n/a")</f>
        <v>41.4285714285714</v>
      </c>
      <c r="BA13" s="15" t="str">
        <f aca="false">IF(NOT(ISNUMBER($J13)),"n/a",IF($J13&lt;70000,"1. &lt;Rs70k",IF($J13&lt;100000,"2. Rs70k-1L",IF($J13&lt;150000,"3. Rs1-1.5L",IF($J13&lt;200000,"4. Rs1.5-2L",IF($J13&lt;300000,"5. Rs2-3L","6. &gt;Rs3L"))))))</f>
        <v>3. Rs1-1.5L</v>
      </c>
      <c r="BB13" s="15" t="s">
        <v>28</v>
      </c>
      <c r="BC13" s="15" t="s">
        <v>280</v>
      </c>
      <c r="BD13" s="18" t="s">
        <v>281</v>
      </c>
      <c r="BE13" s="18" t="s">
        <v>282</v>
      </c>
    </row>
    <row r="14" customFormat="false" ht="57.75" hidden="false" customHeight="true" outlineLevel="0" collapsed="false">
      <c r="A14" s="8" t="s">
        <v>283</v>
      </c>
      <c r="B14" s="8" t="s">
        <v>260</v>
      </c>
      <c r="C14" s="8" t="s">
        <v>236</v>
      </c>
      <c r="D14" s="8" t="s">
        <v>237</v>
      </c>
      <c r="E14" s="8" t="s">
        <v>284</v>
      </c>
      <c r="F14" s="8" t="s">
        <v>131</v>
      </c>
      <c r="G14" s="8" t="s">
        <v>177</v>
      </c>
      <c r="H14" s="8" t="s">
        <v>262</v>
      </c>
      <c r="I14" s="9" t="s">
        <v>135</v>
      </c>
      <c r="J14" s="9" t="n">
        <v>140138</v>
      </c>
      <c r="K14" s="8" t="s">
        <v>134</v>
      </c>
      <c r="L14" s="8" t="s">
        <v>135</v>
      </c>
      <c r="M14" s="10" t="n">
        <v>3.1</v>
      </c>
      <c r="N14" s="8" t="s">
        <v>136</v>
      </c>
      <c r="O14" s="8" t="s">
        <v>242</v>
      </c>
      <c r="P14" s="11" t="s">
        <v>135</v>
      </c>
      <c r="Q14" s="8" t="s">
        <v>244</v>
      </c>
      <c r="R14" s="12" t="n">
        <v>4.4</v>
      </c>
      <c r="S14" s="13" t="n">
        <v>33</v>
      </c>
      <c r="T14" s="13" t="n">
        <v>82</v>
      </c>
      <c r="U14" s="12" t="s">
        <v>135</v>
      </c>
      <c r="V14" s="13" t="n">
        <v>123</v>
      </c>
      <c r="W14" s="8" t="s">
        <v>140</v>
      </c>
      <c r="X14" s="13" t="n">
        <v>90</v>
      </c>
      <c r="Y14" s="13" t="n">
        <v>950</v>
      </c>
      <c r="Z14" s="11" t="s">
        <v>285</v>
      </c>
      <c r="AA14" s="11" t="s">
        <v>264</v>
      </c>
      <c r="AB14" s="13" t="n">
        <v>118</v>
      </c>
      <c r="AC14" s="22" t="s">
        <v>135</v>
      </c>
      <c r="AD14" s="22" t="s">
        <v>135</v>
      </c>
      <c r="AE14" s="22" t="s">
        <v>135</v>
      </c>
      <c r="AF14" s="13" t="n">
        <v>1301</v>
      </c>
      <c r="AG14" s="13" t="n">
        <v>157</v>
      </c>
      <c r="AH14" s="13" t="n">
        <v>770</v>
      </c>
      <c r="AI14" s="14" t="n">
        <v>32</v>
      </c>
      <c r="AJ14" s="8" t="s">
        <v>179</v>
      </c>
      <c r="AK14" s="11" t="s">
        <v>265</v>
      </c>
      <c r="AL14" s="8" t="s">
        <v>145</v>
      </c>
      <c r="AM14" s="11" t="s">
        <v>248</v>
      </c>
      <c r="AN14" s="11" t="s">
        <v>286</v>
      </c>
      <c r="AO14" s="14" t="n">
        <v>2</v>
      </c>
      <c r="AP14" s="8" t="s">
        <v>148</v>
      </c>
      <c r="AQ14" s="8" t="s">
        <v>148</v>
      </c>
      <c r="AR14" s="11" t="s">
        <v>287</v>
      </c>
      <c r="AS14" s="11" t="s">
        <v>205</v>
      </c>
      <c r="AT14" s="11" t="s">
        <v>252</v>
      </c>
      <c r="AU14" s="11" t="s">
        <v>269</v>
      </c>
      <c r="AV14" s="11" t="s">
        <v>237</v>
      </c>
      <c r="AW14" s="11" t="s">
        <v>270</v>
      </c>
      <c r="AX14" s="11" t="s">
        <v>288</v>
      </c>
      <c r="AY14" s="13" t="n">
        <f aca="false">IF(AND(ISNUMBER($J14),ISNUMBER($M14)),$J14/$M14,"n/a")</f>
        <v>45205.8064516129</v>
      </c>
      <c r="AZ14" s="12" t="n">
        <f aca="false">IF(AND(ISNUMBER($V14),ISNUMBER($M14)),$V14/$M14,"n/a")</f>
        <v>39.6774193548387</v>
      </c>
      <c r="BA14" s="8" t="str">
        <f aca="false">IF(NOT(ISNUMBER($J14)),"n/a",IF($J14&lt;70000,"1. &lt;Rs70k",IF($J14&lt;100000,"2. Rs70k-1L",IF($J14&lt;150000,"3. Rs1-1.5L",IF($J14&lt;200000,"4. Rs1.5-2L",IF($J14&lt;300000,"5. Rs2-3L","6. &gt;Rs3L"))))))</f>
        <v>3. Rs1-1.5L</v>
      </c>
      <c r="BB14" s="8" t="s">
        <v>30</v>
      </c>
      <c r="BC14" s="8" t="s">
        <v>209</v>
      </c>
      <c r="BD14" s="11" t="s">
        <v>135</v>
      </c>
      <c r="BE14" s="11" t="s">
        <v>135</v>
      </c>
    </row>
    <row r="15" customFormat="false" ht="57.75" hidden="false" customHeight="true" outlineLevel="0" collapsed="false">
      <c r="A15" s="15" t="s">
        <v>289</v>
      </c>
      <c r="B15" s="15" t="s">
        <v>260</v>
      </c>
      <c r="C15" s="15" t="s">
        <v>236</v>
      </c>
      <c r="D15" s="15" t="s">
        <v>237</v>
      </c>
      <c r="E15" s="15" t="s">
        <v>290</v>
      </c>
      <c r="F15" s="15" t="s">
        <v>131</v>
      </c>
      <c r="G15" s="15" t="s">
        <v>177</v>
      </c>
      <c r="H15" s="15" t="s">
        <v>291</v>
      </c>
      <c r="I15" s="16" t="s">
        <v>135</v>
      </c>
      <c r="J15" s="16" t="n">
        <v>165353</v>
      </c>
      <c r="K15" s="15" t="s">
        <v>134</v>
      </c>
      <c r="L15" s="15" t="s">
        <v>135</v>
      </c>
      <c r="M15" s="17" t="n">
        <v>4.7</v>
      </c>
      <c r="N15" s="15" t="s">
        <v>136</v>
      </c>
      <c r="O15" s="15" t="s">
        <v>242</v>
      </c>
      <c r="P15" s="18" t="s">
        <v>135</v>
      </c>
      <c r="Q15" s="15" t="s">
        <v>244</v>
      </c>
      <c r="R15" s="19" t="n">
        <v>4.4</v>
      </c>
      <c r="S15" s="20" t="n">
        <v>33</v>
      </c>
      <c r="T15" s="20" t="n">
        <v>82</v>
      </c>
      <c r="U15" s="19" t="s">
        <v>135</v>
      </c>
      <c r="V15" s="20" t="s">
        <v>135</v>
      </c>
      <c r="W15" s="15" t="s">
        <v>140</v>
      </c>
      <c r="X15" s="20" t="s">
        <v>135</v>
      </c>
      <c r="Y15" s="20" t="n">
        <v>950</v>
      </c>
      <c r="Z15" s="18" t="s">
        <v>292</v>
      </c>
      <c r="AA15" s="18" t="s">
        <v>264</v>
      </c>
      <c r="AB15" s="23" t="s">
        <v>135</v>
      </c>
      <c r="AC15" s="23" t="s">
        <v>135</v>
      </c>
      <c r="AD15" s="23" t="s">
        <v>135</v>
      </c>
      <c r="AE15" s="23" t="s">
        <v>135</v>
      </c>
      <c r="AF15" s="20" t="n">
        <v>1301</v>
      </c>
      <c r="AG15" s="20" t="n">
        <v>157</v>
      </c>
      <c r="AH15" s="20" t="n">
        <v>770</v>
      </c>
      <c r="AI15" s="21" t="n">
        <v>32</v>
      </c>
      <c r="AJ15" s="15" t="s">
        <v>179</v>
      </c>
      <c r="AK15" s="18" t="s">
        <v>265</v>
      </c>
      <c r="AL15" s="15" t="s">
        <v>145</v>
      </c>
      <c r="AM15" s="18" t="s">
        <v>293</v>
      </c>
      <c r="AN15" s="18" t="s">
        <v>294</v>
      </c>
      <c r="AO15" s="21" t="n">
        <v>3</v>
      </c>
      <c r="AP15" s="15" t="s">
        <v>148</v>
      </c>
      <c r="AQ15" s="15" t="s">
        <v>148</v>
      </c>
      <c r="AR15" s="18" t="s">
        <v>295</v>
      </c>
      <c r="AS15" s="18" t="s">
        <v>205</v>
      </c>
      <c r="AT15" s="18" t="s">
        <v>252</v>
      </c>
      <c r="AU15" s="18" t="s">
        <v>269</v>
      </c>
      <c r="AV15" s="18" t="s">
        <v>237</v>
      </c>
      <c r="AW15" s="18" t="s">
        <v>270</v>
      </c>
      <c r="AX15" s="18" t="s">
        <v>296</v>
      </c>
      <c r="AY15" s="20" t="n">
        <f aca="false">IF(AND(ISNUMBER($J15),ISNUMBER($M15)),$J15/$M15,"n/a")</f>
        <v>35181.4893617021</v>
      </c>
      <c r="AZ15" s="19" t="str">
        <f aca="false">IF(AND(ISNUMBER($V15),ISNUMBER($M15)),$V15/$M15,"n/a")</f>
        <v>n/a</v>
      </c>
      <c r="BA15" s="15" t="str">
        <f aca="false">IF(NOT(ISNUMBER($J15)),"n/a",IF($J15&lt;70000,"1. &lt;Rs70k",IF($J15&lt;100000,"2. Rs70k-1L",IF($J15&lt;150000,"3. Rs1-1.5L",IF($J15&lt;200000,"4. Rs1.5-2L",IF($J15&lt;300000,"5. Rs2-3L","6. &gt;Rs3L"))))))</f>
        <v>4. Rs1.5-2L</v>
      </c>
      <c r="BB15" s="15" t="s">
        <v>30</v>
      </c>
      <c r="BC15" s="15" t="s">
        <v>221</v>
      </c>
      <c r="BD15" s="18" t="s">
        <v>272</v>
      </c>
      <c r="BE15" s="18" t="s">
        <v>297</v>
      </c>
    </row>
    <row r="16" customFormat="false" ht="57.75" hidden="false" customHeight="true" outlineLevel="0" collapsed="false">
      <c r="A16" s="8" t="s">
        <v>298</v>
      </c>
      <c r="B16" s="8" t="s">
        <v>260</v>
      </c>
      <c r="C16" s="8" t="s">
        <v>236</v>
      </c>
      <c r="D16" s="8" t="s">
        <v>237</v>
      </c>
      <c r="E16" s="8" t="s">
        <v>299</v>
      </c>
      <c r="F16" s="8" t="s">
        <v>131</v>
      </c>
      <c r="G16" s="8" t="s">
        <v>275</v>
      </c>
      <c r="H16" s="8" t="s">
        <v>300</v>
      </c>
      <c r="I16" s="9" t="s">
        <v>135</v>
      </c>
      <c r="J16" s="9" t="n">
        <v>175582</v>
      </c>
      <c r="K16" s="8" t="s">
        <v>134</v>
      </c>
      <c r="L16" s="8" t="s">
        <v>135</v>
      </c>
      <c r="M16" s="10" t="n">
        <v>5.3</v>
      </c>
      <c r="N16" s="8" t="s">
        <v>136</v>
      </c>
      <c r="O16" s="8" t="s">
        <v>242</v>
      </c>
      <c r="P16" s="11" t="s">
        <v>135</v>
      </c>
      <c r="Q16" s="8" t="s">
        <v>244</v>
      </c>
      <c r="R16" s="12" t="n">
        <v>4.4</v>
      </c>
      <c r="S16" s="13" t="n">
        <v>33</v>
      </c>
      <c r="T16" s="13" t="n">
        <v>82</v>
      </c>
      <c r="U16" s="12" t="n">
        <v>4.3</v>
      </c>
      <c r="V16" s="13" t="n">
        <v>175</v>
      </c>
      <c r="W16" s="8" t="s">
        <v>301</v>
      </c>
      <c r="X16" s="13" t="n">
        <v>130</v>
      </c>
      <c r="Y16" s="13" t="n">
        <v>950</v>
      </c>
      <c r="Z16" s="11" t="s">
        <v>302</v>
      </c>
      <c r="AA16" s="11" t="s">
        <v>246</v>
      </c>
      <c r="AB16" s="22" t="s">
        <v>135</v>
      </c>
      <c r="AC16" s="22" t="s">
        <v>135</v>
      </c>
      <c r="AD16" s="22" t="s">
        <v>135</v>
      </c>
      <c r="AE16" s="22" t="s">
        <v>135</v>
      </c>
      <c r="AF16" s="13" t="n">
        <v>1301</v>
      </c>
      <c r="AG16" s="13" t="n">
        <v>157</v>
      </c>
      <c r="AH16" s="13" t="n">
        <v>770</v>
      </c>
      <c r="AI16" s="14" t="n">
        <v>32</v>
      </c>
      <c r="AJ16" s="8" t="s">
        <v>179</v>
      </c>
      <c r="AK16" s="11" t="s">
        <v>265</v>
      </c>
      <c r="AL16" s="8" t="s">
        <v>145</v>
      </c>
      <c r="AM16" s="11" t="s">
        <v>303</v>
      </c>
      <c r="AN16" s="11" t="s">
        <v>304</v>
      </c>
      <c r="AO16" s="14" t="n">
        <v>3</v>
      </c>
      <c r="AP16" s="8" t="s">
        <v>148</v>
      </c>
      <c r="AQ16" s="8" t="s">
        <v>148</v>
      </c>
      <c r="AR16" s="11" t="s">
        <v>305</v>
      </c>
      <c r="AS16" s="11" t="s">
        <v>268</v>
      </c>
      <c r="AT16" s="11" t="s">
        <v>252</v>
      </c>
      <c r="AU16" s="11" t="s">
        <v>269</v>
      </c>
      <c r="AV16" s="11" t="s">
        <v>237</v>
      </c>
      <c r="AW16" s="11" t="s">
        <v>270</v>
      </c>
      <c r="AX16" s="11" t="s">
        <v>306</v>
      </c>
      <c r="AY16" s="13" t="n">
        <f aca="false">IF(AND(ISNUMBER($J16),ISNUMBER($M16)),$J16/$M16,"n/a")</f>
        <v>33128.679245283</v>
      </c>
      <c r="AZ16" s="12" t="n">
        <f aca="false">IF(AND(ISNUMBER($V16),ISNUMBER($M16)),$V16/$M16,"n/a")</f>
        <v>33.0188679245283</v>
      </c>
      <c r="BA16" s="8" t="str">
        <f aca="false">IF(NOT(ISNUMBER($J16)),"n/a",IF($J16&lt;70000,"1. &lt;Rs70k",IF($J16&lt;100000,"2. Rs70k-1L",IF($J16&lt;150000,"3. Rs1-1.5L",IF($J16&lt;200000,"4. Rs1.5-2L",IF($J16&lt;300000,"5. Rs2-3L","6. &gt;Rs3L"))))))</f>
        <v>4. Rs1.5-2L</v>
      </c>
      <c r="BB16" s="8" t="s">
        <v>30</v>
      </c>
      <c r="BC16" s="8" t="s">
        <v>272</v>
      </c>
      <c r="BD16" s="11" t="s">
        <v>221</v>
      </c>
      <c r="BE16" s="11" t="s">
        <v>307</v>
      </c>
    </row>
    <row r="17" customFormat="false" ht="57.75" hidden="false" customHeight="true" outlineLevel="0" collapsed="false">
      <c r="A17" s="15" t="s">
        <v>308</v>
      </c>
      <c r="B17" s="15" t="s">
        <v>260</v>
      </c>
      <c r="C17" s="15" t="s">
        <v>236</v>
      </c>
      <c r="D17" s="15" t="s">
        <v>309</v>
      </c>
      <c r="E17" s="15" t="s">
        <v>310</v>
      </c>
      <c r="F17" s="15" t="s">
        <v>131</v>
      </c>
      <c r="G17" s="15" t="s">
        <v>311</v>
      </c>
      <c r="H17" s="15" t="s">
        <v>312</v>
      </c>
      <c r="I17" s="16" t="n">
        <v>99900</v>
      </c>
      <c r="J17" s="16" t="n">
        <v>102459</v>
      </c>
      <c r="K17" s="15" t="s">
        <v>134</v>
      </c>
      <c r="L17" s="15" t="s">
        <v>313</v>
      </c>
      <c r="M17" s="17" t="n">
        <v>3.1</v>
      </c>
      <c r="N17" s="15" t="s">
        <v>136</v>
      </c>
      <c r="O17" s="15" t="s">
        <v>242</v>
      </c>
      <c r="P17" s="18" t="s">
        <v>135</v>
      </c>
      <c r="Q17" s="15" t="s">
        <v>244</v>
      </c>
      <c r="R17" s="19" t="n">
        <v>2.5</v>
      </c>
      <c r="S17" s="20" t="s">
        <v>135</v>
      </c>
      <c r="T17" s="20" t="n">
        <v>68</v>
      </c>
      <c r="U17" s="19" t="s">
        <v>135</v>
      </c>
      <c r="V17" s="20" t="n">
        <v>158</v>
      </c>
      <c r="W17" s="15" t="s">
        <v>140</v>
      </c>
      <c r="X17" s="20" t="n">
        <v>110</v>
      </c>
      <c r="Y17" s="20" t="s">
        <v>135</v>
      </c>
      <c r="Z17" s="18" t="s">
        <v>135</v>
      </c>
      <c r="AA17" s="18" t="s">
        <v>264</v>
      </c>
      <c r="AB17" s="23" t="s">
        <v>135</v>
      </c>
      <c r="AC17" s="23" t="s">
        <v>135</v>
      </c>
      <c r="AD17" s="23" t="s">
        <v>135</v>
      </c>
      <c r="AE17" s="23" t="s">
        <v>135</v>
      </c>
      <c r="AF17" s="23" t="s">
        <v>135</v>
      </c>
      <c r="AG17" s="23" t="s">
        <v>135</v>
      </c>
      <c r="AH17" s="23" t="s">
        <v>135</v>
      </c>
      <c r="AI17" s="21" t="n">
        <v>33</v>
      </c>
      <c r="AJ17" s="15" t="s">
        <v>314</v>
      </c>
      <c r="AK17" s="18" t="s">
        <v>247</v>
      </c>
      <c r="AL17" s="15" t="s">
        <v>145</v>
      </c>
      <c r="AM17" s="18" t="s">
        <v>315</v>
      </c>
      <c r="AN17" s="18" t="s">
        <v>316</v>
      </c>
      <c r="AO17" s="21" t="n">
        <v>2</v>
      </c>
      <c r="AP17" s="15" t="s">
        <v>148</v>
      </c>
      <c r="AQ17" s="15" t="s">
        <v>135</v>
      </c>
      <c r="AR17" s="18" t="s">
        <v>317</v>
      </c>
      <c r="AS17" s="18" t="s">
        <v>205</v>
      </c>
      <c r="AT17" s="18" t="s">
        <v>269</v>
      </c>
      <c r="AU17" s="18" t="s">
        <v>269</v>
      </c>
      <c r="AV17" s="18" t="s">
        <v>318</v>
      </c>
      <c r="AW17" s="18" t="s">
        <v>270</v>
      </c>
      <c r="AX17" s="18" t="s">
        <v>319</v>
      </c>
      <c r="AY17" s="20" t="n">
        <f aca="false">IF(AND(ISNUMBER($J17),ISNUMBER($M17)),$J17/$M17,"n/a")</f>
        <v>33051.2903225806</v>
      </c>
      <c r="AZ17" s="19" t="n">
        <f aca="false">IF(AND(ISNUMBER($V17),ISNUMBER($M17)),$V17/$M17,"n/a")</f>
        <v>50.9677419354839</v>
      </c>
      <c r="BA17" s="15" t="str">
        <f aca="false">IF(NOT(ISNUMBER($J17)),"n/a",IF($J17&lt;70000,"1. &lt;Rs70k",IF($J17&lt;100000,"2. Rs70k-1L",IF($J17&lt;150000,"3. Rs1-1.5L",IF($J17&lt;200000,"4. Rs1.5-2L",IF($J17&lt;300000,"5. Rs2-3L","6. &gt;Rs3L"))))))</f>
        <v>3. Rs1-1.5L</v>
      </c>
      <c r="BB17" s="15" t="s">
        <v>30</v>
      </c>
      <c r="BC17" s="15" t="s">
        <v>221</v>
      </c>
      <c r="BD17" s="18" t="s">
        <v>320</v>
      </c>
      <c r="BE17" s="18" t="s">
        <v>321</v>
      </c>
    </row>
    <row r="18" customFormat="false" ht="57.75" hidden="false" customHeight="true" outlineLevel="0" collapsed="false">
      <c r="A18" s="8" t="s">
        <v>322</v>
      </c>
      <c r="B18" s="8" t="s">
        <v>260</v>
      </c>
      <c r="C18" s="8" t="s">
        <v>236</v>
      </c>
      <c r="D18" s="8" t="s">
        <v>323</v>
      </c>
      <c r="E18" s="8" t="s">
        <v>324</v>
      </c>
      <c r="F18" s="8" t="s">
        <v>131</v>
      </c>
      <c r="G18" s="8" t="s">
        <v>198</v>
      </c>
      <c r="H18" s="8" t="s">
        <v>325</v>
      </c>
      <c r="I18" s="9" t="n">
        <v>249000</v>
      </c>
      <c r="J18" s="9" t="s">
        <v>135</v>
      </c>
      <c r="K18" s="8" t="s">
        <v>134</v>
      </c>
      <c r="L18" s="8" t="s">
        <v>135</v>
      </c>
      <c r="M18" s="10" t="n">
        <v>4.4</v>
      </c>
      <c r="N18" s="8" t="s">
        <v>136</v>
      </c>
      <c r="O18" s="8" t="s">
        <v>242</v>
      </c>
      <c r="P18" s="11" t="s">
        <v>135</v>
      </c>
      <c r="Q18" s="8" t="s">
        <v>326</v>
      </c>
      <c r="R18" s="12" t="n">
        <v>11</v>
      </c>
      <c r="S18" s="13" t="s">
        <v>135</v>
      </c>
      <c r="T18" s="13" t="n">
        <v>105</v>
      </c>
      <c r="U18" s="12" t="n">
        <v>2.6</v>
      </c>
      <c r="V18" s="13" t="n">
        <v>140</v>
      </c>
      <c r="W18" s="8" t="s">
        <v>140</v>
      </c>
      <c r="X18" s="13" t="n">
        <v>100</v>
      </c>
      <c r="Y18" s="13" t="s">
        <v>135</v>
      </c>
      <c r="Z18" s="11" t="s">
        <v>327</v>
      </c>
      <c r="AA18" s="11" t="s">
        <v>148</v>
      </c>
      <c r="AB18" s="22" t="s">
        <v>135</v>
      </c>
      <c r="AC18" s="22" t="s">
        <v>135</v>
      </c>
      <c r="AD18" s="22" t="s">
        <v>135</v>
      </c>
      <c r="AE18" s="22" t="s">
        <v>135</v>
      </c>
      <c r="AF18" s="22" t="s">
        <v>135</v>
      </c>
      <c r="AG18" s="22" t="s">
        <v>135</v>
      </c>
      <c r="AH18" s="22" t="s">
        <v>135</v>
      </c>
      <c r="AI18" s="8" t="s">
        <v>135</v>
      </c>
      <c r="AJ18" s="8" t="s">
        <v>328</v>
      </c>
      <c r="AK18" s="11" t="s">
        <v>216</v>
      </c>
      <c r="AL18" s="8" t="s">
        <v>329</v>
      </c>
      <c r="AM18" s="11" t="s">
        <v>330</v>
      </c>
      <c r="AN18" s="11" t="s">
        <v>331</v>
      </c>
      <c r="AO18" s="14" t="n">
        <v>4</v>
      </c>
      <c r="AP18" s="8" t="s">
        <v>148</v>
      </c>
      <c r="AQ18" s="8" t="s">
        <v>148</v>
      </c>
      <c r="AR18" s="11" t="s">
        <v>332</v>
      </c>
      <c r="AS18" s="11" t="s">
        <v>205</v>
      </c>
      <c r="AT18" s="11" t="s">
        <v>269</v>
      </c>
      <c r="AU18" s="11" t="s">
        <v>269</v>
      </c>
      <c r="AV18" s="11" t="s">
        <v>333</v>
      </c>
      <c r="AW18" s="11" t="s">
        <v>270</v>
      </c>
      <c r="AX18" s="11" t="s">
        <v>334</v>
      </c>
      <c r="AY18" s="13" t="str">
        <f aca="false">IF(AND(ISNUMBER($J18),ISNUMBER($M18)),$J18/$M18,"n/a")</f>
        <v>n/a</v>
      </c>
      <c r="AZ18" s="12" t="n">
        <f aca="false">IF(AND(ISNUMBER($V18),ISNUMBER($M18)),$V18/$M18,"n/a")</f>
        <v>31.8181818181818</v>
      </c>
      <c r="BA18" s="8" t="str">
        <f aca="false">IF(NOT(ISNUMBER($J18)),"n/a",IF($J18&lt;70000,"1. &lt;Rs70k",IF($J18&lt;100000,"2. Rs70k-1L",IF($J18&lt;150000,"3. Rs1-1.5L",IF($J18&lt;200000,"4. Rs1.5-2L",IF($J18&lt;300000,"5. Rs2-3L","6. &gt;Rs3L"))))))</f>
        <v>n/a</v>
      </c>
      <c r="BB18" s="8" t="s">
        <v>30</v>
      </c>
      <c r="BC18" s="8" t="s">
        <v>335</v>
      </c>
      <c r="BD18" s="11" t="s">
        <v>135</v>
      </c>
      <c r="BE18" s="11" t="s">
        <v>336</v>
      </c>
    </row>
    <row r="19" customFormat="false" ht="57.75" hidden="false" customHeight="true" outlineLevel="0" collapsed="false">
      <c r="A19" s="15" t="s">
        <v>337</v>
      </c>
      <c r="B19" s="15" t="s">
        <v>338</v>
      </c>
      <c r="C19" s="15" t="s">
        <v>339</v>
      </c>
      <c r="D19" s="15" t="s">
        <v>340</v>
      </c>
      <c r="E19" s="15" t="s">
        <v>341</v>
      </c>
      <c r="F19" s="15" t="s">
        <v>131</v>
      </c>
      <c r="G19" s="15" t="s">
        <v>342</v>
      </c>
      <c r="H19" s="15" t="s">
        <v>343</v>
      </c>
      <c r="I19" s="16" t="n">
        <v>87100</v>
      </c>
      <c r="J19" s="16" t="n">
        <v>99000</v>
      </c>
      <c r="K19" s="15" t="s">
        <v>134</v>
      </c>
      <c r="L19" s="15" t="s">
        <v>135</v>
      </c>
      <c r="M19" s="17" t="n">
        <v>2.5</v>
      </c>
      <c r="N19" s="15" t="s">
        <v>136</v>
      </c>
      <c r="O19" s="15" t="s">
        <v>242</v>
      </c>
      <c r="P19" s="18" t="s">
        <v>135</v>
      </c>
      <c r="Q19" s="15" t="s">
        <v>326</v>
      </c>
      <c r="R19" s="19" t="s">
        <v>135</v>
      </c>
      <c r="S19" s="20" t="s">
        <v>135</v>
      </c>
      <c r="T19" s="20" t="n">
        <v>55</v>
      </c>
      <c r="U19" s="19" t="s">
        <v>135</v>
      </c>
      <c r="V19" s="20" t="n">
        <v>113</v>
      </c>
      <c r="W19" s="15" t="s">
        <v>140</v>
      </c>
      <c r="X19" s="20" t="n">
        <v>80</v>
      </c>
      <c r="Y19" s="20" t="n">
        <v>750</v>
      </c>
      <c r="Z19" s="18" t="s">
        <v>135</v>
      </c>
      <c r="AA19" s="18" t="s">
        <v>264</v>
      </c>
      <c r="AB19" s="23" t="s">
        <v>135</v>
      </c>
      <c r="AC19" s="23" t="s">
        <v>135</v>
      </c>
      <c r="AD19" s="23" t="s">
        <v>135</v>
      </c>
      <c r="AE19" s="23" t="s">
        <v>135</v>
      </c>
      <c r="AF19" s="23" t="s">
        <v>135</v>
      </c>
      <c r="AG19" s="23" t="s">
        <v>135</v>
      </c>
      <c r="AH19" s="23" t="s">
        <v>135</v>
      </c>
      <c r="AI19" s="15" t="s">
        <v>135</v>
      </c>
      <c r="AJ19" s="15" t="s">
        <v>314</v>
      </c>
      <c r="AK19" s="18" t="s">
        <v>247</v>
      </c>
      <c r="AL19" s="15" t="s">
        <v>145</v>
      </c>
      <c r="AM19" s="18" t="s">
        <v>344</v>
      </c>
      <c r="AN19" s="18" t="s">
        <v>345</v>
      </c>
      <c r="AO19" s="21" t="n">
        <v>2</v>
      </c>
      <c r="AP19" s="15" t="s">
        <v>135</v>
      </c>
      <c r="AQ19" s="15" t="s">
        <v>135</v>
      </c>
      <c r="AR19" s="18" t="s">
        <v>346</v>
      </c>
      <c r="AS19" s="18" t="s">
        <v>205</v>
      </c>
      <c r="AT19" s="18" t="s">
        <v>269</v>
      </c>
      <c r="AU19" s="18" t="s">
        <v>347</v>
      </c>
      <c r="AV19" s="18" t="s">
        <v>348</v>
      </c>
      <c r="AW19" s="18" t="s">
        <v>270</v>
      </c>
      <c r="AX19" s="18" t="s">
        <v>349</v>
      </c>
      <c r="AY19" s="20" t="n">
        <f aca="false">IF(AND(ISNUMBER($J19),ISNUMBER($M19)),$J19/$M19,"n/a")</f>
        <v>39600</v>
      </c>
      <c r="AZ19" s="19" t="n">
        <f aca="false">IF(AND(ISNUMBER($V19),ISNUMBER($M19)),$V19/$M19,"n/a")</f>
        <v>45.2</v>
      </c>
      <c r="BA19" s="15" t="str">
        <f aca="false">IF(NOT(ISNUMBER($J19)),"n/a",IF($J19&lt;70000,"1. &lt;Rs70k",IF($J19&lt;100000,"2. Rs70k-1L",IF($J19&lt;150000,"3. Rs1-1.5L",IF($J19&lt;200000,"4. Rs1.5-2L",IF($J19&lt;300000,"5. Rs2-3L","6. &gt;Rs3L"))))))</f>
        <v>2. Rs70k-1L</v>
      </c>
      <c r="BB19" s="15" t="s">
        <v>30</v>
      </c>
      <c r="BC19" s="15" t="s">
        <v>350</v>
      </c>
      <c r="BD19" s="18" t="s">
        <v>351</v>
      </c>
      <c r="BE19" s="18" t="s">
        <v>352</v>
      </c>
    </row>
    <row r="20" customFormat="false" ht="57.75" hidden="false" customHeight="true" outlineLevel="0" collapsed="false">
      <c r="A20" s="8" t="s">
        <v>353</v>
      </c>
      <c r="B20" s="8" t="s">
        <v>354</v>
      </c>
      <c r="C20" s="8" t="s">
        <v>339</v>
      </c>
      <c r="D20" s="8" t="s">
        <v>340</v>
      </c>
      <c r="E20" s="8" t="s">
        <v>355</v>
      </c>
      <c r="F20" s="8" t="s">
        <v>131</v>
      </c>
      <c r="G20" s="8" t="s">
        <v>177</v>
      </c>
      <c r="H20" s="8" t="s">
        <v>356</v>
      </c>
      <c r="I20" s="9" t="n">
        <v>99900</v>
      </c>
      <c r="J20" s="9" t="n">
        <v>109000</v>
      </c>
      <c r="K20" s="8" t="s">
        <v>134</v>
      </c>
      <c r="L20" s="8" t="s">
        <v>135</v>
      </c>
      <c r="M20" s="10" t="n">
        <v>3</v>
      </c>
      <c r="N20" s="8" t="s">
        <v>136</v>
      </c>
      <c r="O20" s="8" t="s">
        <v>242</v>
      </c>
      <c r="P20" s="11" t="s">
        <v>135</v>
      </c>
      <c r="Q20" s="8" t="s">
        <v>326</v>
      </c>
      <c r="R20" s="12" t="n">
        <v>3.1</v>
      </c>
      <c r="S20" s="13" t="s">
        <v>135</v>
      </c>
      <c r="T20" s="13" t="n">
        <v>63</v>
      </c>
      <c r="U20" s="12" t="s">
        <v>135</v>
      </c>
      <c r="V20" s="13" t="n">
        <v>127</v>
      </c>
      <c r="W20" s="8" t="s">
        <v>140</v>
      </c>
      <c r="X20" s="13" t="n">
        <v>90</v>
      </c>
      <c r="Y20" s="13" t="n">
        <v>750</v>
      </c>
      <c r="Z20" s="11" t="s">
        <v>357</v>
      </c>
      <c r="AA20" s="11" t="s">
        <v>264</v>
      </c>
      <c r="AB20" s="22" t="s">
        <v>135</v>
      </c>
      <c r="AC20" s="22" t="s">
        <v>135</v>
      </c>
      <c r="AD20" s="22" t="s">
        <v>135</v>
      </c>
      <c r="AE20" s="22" t="s">
        <v>135</v>
      </c>
      <c r="AF20" s="22" t="s">
        <v>135</v>
      </c>
      <c r="AG20" s="22" t="s">
        <v>135</v>
      </c>
      <c r="AH20" s="22" t="s">
        <v>135</v>
      </c>
      <c r="AI20" s="14" t="n">
        <v>35</v>
      </c>
      <c r="AJ20" s="8" t="s">
        <v>314</v>
      </c>
      <c r="AK20" s="11" t="s">
        <v>247</v>
      </c>
      <c r="AL20" s="8" t="s">
        <v>145</v>
      </c>
      <c r="AM20" s="11" t="s">
        <v>344</v>
      </c>
      <c r="AN20" s="11" t="s">
        <v>358</v>
      </c>
      <c r="AO20" s="14" t="n">
        <v>2</v>
      </c>
      <c r="AP20" s="8" t="s">
        <v>135</v>
      </c>
      <c r="AQ20" s="8" t="s">
        <v>135</v>
      </c>
      <c r="AR20" s="11" t="s">
        <v>359</v>
      </c>
      <c r="AS20" s="11" t="s">
        <v>205</v>
      </c>
      <c r="AT20" s="11" t="s">
        <v>269</v>
      </c>
      <c r="AU20" s="11" t="s">
        <v>360</v>
      </c>
      <c r="AV20" s="11" t="s">
        <v>361</v>
      </c>
      <c r="AW20" s="11" t="s">
        <v>270</v>
      </c>
      <c r="AX20" s="11" t="s">
        <v>362</v>
      </c>
      <c r="AY20" s="13" t="n">
        <f aca="false">IF(AND(ISNUMBER($J20),ISNUMBER($M20)),$J20/$M20,"n/a")</f>
        <v>36333.3333333333</v>
      </c>
      <c r="AZ20" s="12" t="n">
        <f aca="false">IF(AND(ISNUMBER($V20),ISNUMBER($M20)),$V20/$M20,"n/a")</f>
        <v>42.3333333333333</v>
      </c>
      <c r="BA20" s="8" t="str">
        <f aca="false">IF(NOT(ISNUMBER($J20)),"n/a",IF($J20&lt;70000,"1. &lt;Rs70k",IF($J20&lt;100000,"2. Rs70k-1L",IF($J20&lt;150000,"3. Rs1-1.5L",IF($J20&lt;200000,"4. Rs1.5-2L",IF($J20&lt;300000,"5. Rs2-3L","6. &gt;Rs3L"))))))</f>
        <v>3. Rs1-1.5L</v>
      </c>
      <c r="BB20" s="8" t="s">
        <v>28</v>
      </c>
      <c r="BC20" s="8" t="s">
        <v>363</v>
      </c>
      <c r="BD20" s="11" t="s">
        <v>364</v>
      </c>
      <c r="BE20" s="11" t="s">
        <v>135</v>
      </c>
    </row>
    <row r="21" customFormat="false" ht="57.75" hidden="false" customHeight="true" outlineLevel="0" collapsed="false">
      <c r="A21" s="15" t="s">
        <v>365</v>
      </c>
      <c r="B21" s="15" t="s">
        <v>354</v>
      </c>
      <c r="C21" s="15" t="s">
        <v>339</v>
      </c>
      <c r="D21" s="15" t="s">
        <v>340</v>
      </c>
      <c r="E21" s="15" t="s">
        <v>366</v>
      </c>
      <c r="F21" s="15" t="s">
        <v>131</v>
      </c>
      <c r="G21" s="15" t="s">
        <v>177</v>
      </c>
      <c r="H21" s="15" t="s">
        <v>262</v>
      </c>
      <c r="I21" s="16" t="n">
        <v>102000</v>
      </c>
      <c r="J21" s="16" t="n">
        <v>109000</v>
      </c>
      <c r="K21" s="15" t="s">
        <v>134</v>
      </c>
      <c r="L21" s="15" t="s">
        <v>135</v>
      </c>
      <c r="M21" s="17" t="n">
        <v>3.5</v>
      </c>
      <c r="N21" s="15" t="s">
        <v>136</v>
      </c>
      <c r="O21" s="15" t="s">
        <v>242</v>
      </c>
      <c r="P21" s="18" t="s">
        <v>135</v>
      </c>
      <c r="Q21" s="15" t="s">
        <v>326</v>
      </c>
      <c r="R21" s="19" t="n">
        <v>4</v>
      </c>
      <c r="S21" s="20" t="s">
        <v>135</v>
      </c>
      <c r="T21" s="20" t="n">
        <v>63</v>
      </c>
      <c r="U21" s="19" t="s">
        <v>135</v>
      </c>
      <c r="V21" s="20" t="n">
        <v>151</v>
      </c>
      <c r="W21" s="15" t="s">
        <v>140</v>
      </c>
      <c r="X21" s="20" t="n">
        <v>105</v>
      </c>
      <c r="Y21" s="20" t="n">
        <v>900</v>
      </c>
      <c r="Z21" s="18" t="s">
        <v>367</v>
      </c>
      <c r="AA21" s="18" t="s">
        <v>264</v>
      </c>
      <c r="AB21" s="23" t="s">
        <v>135</v>
      </c>
      <c r="AC21" s="23" t="s">
        <v>135</v>
      </c>
      <c r="AD21" s="23" t="s">
        <v>135</v>
      </c>
      <c r="AE21" s="23" t="s">
        <v>135</v>
      </c>
      <c r="AF21" s="23" t="s">
        <v>135</v>
      </c>
      <c r="AG21" s="23" t="s">
        <v>135</v>
      </c>
      <c r="AH21" s="23" t="s">
        <v>135</v>
      </c>
      <c r="AI21" s="21" t="n">
        <v>35</v>
      </c>
      <c r="AJ21" s="15" t="s">
        <v>314</v>
      </c>
      <c r="AK21" s="18" t="s">
        <v>247</v>
      </c>
      <c r="AL21" s="15" t="s">
        <v>145</v>
      </c>
      <c r="AM21" s="18" t="s">
        <v>344</v>
      </c>
      <c r="AN21" s="18" t="s">
        <v>368</v>
      </c>
      <c r="AO21" s="21" t="n">
        <v>2</v>
      </c>
      <c r="AP21" s="15" t="s">
        <v>135</v>
      </c>
      <c r="AQ21" s="15" t="s">
        <v>135</v>
      </c>
      <c r="AR21" s="18" t="s">
        <v>369</v>
      </c>
      <c r="AS21" s="18" t="s">
        <v>205</v>
      </c>
      <c r="AT21" s="18" t="s">
        <v>269</v>
      </c>
      <c r="AU21" s="18" t="s">
        <v>360</v>
      </c>
      <c r="AV21" s="18" t="s">
        <v>370</v>
      </c>
      <c r="AW21" s="18" t="s">
        <v>270</v>
      </c>
      <c r="AX21" s="18" t="s">
        <v>371</v>
      </c>
      <c r="AY21" s="20" t="n">
        <f aca="false">IF(AND(ISNUMBER($J21),ISNUMBER($M21)),$J21/$M21,"n/a")</f>
        <v>31142.8571428571</v>
      </c>
      <c r="AZ21" s="19" t="n">
        <f aca="false">IF(AND(ISNUMBER($V21),ISNUMBER($M21)),$V21/$M21,"n/a")</f>
        <v>43.1428571428571</v>
      </c>
      <c r="BA21" s="15" t="str">
        <f aca="false">IF(NOT(ISNUMBER($J21)),"n/a",IF($J21&lt;70000,"1. &lt;Rs70k",IF($J21&lt;100000,"2. Rs70k-1L",IF($J21&lt;150000,"3. Rs1-1.5L",IF($J21&lt;200000,"4. Rs1.5-2L",IF($J21&lt;300000,"5. Rs2-3L","6. &gt;Rs3L"))))))</f>
        <v>3. Rs1-1.5L</v>
      </c>
      <c r="BB21" s="15" t="s">
        <v>28</v>
      </c>
      <c r="BC21" s="15" t="s">
        <v>372</v>
      </c>
      <c r="BD21" s="18" t="s">
        <v>373</v>
      </c>
      <c r="BE21" s="18" t="s">
        <v>374</v>
      </c>
    </row>
    <row r="22" customFormat="false" ht="57.75" hidden="false" customHeight="true" outlineLevel="0" collapsed="false">
      <c r="A22" s="8" t="s">
        <v>375</v>
      </c>
      <c r="B22" s="8" t="s">
        <v>354</v>
      </c>
      <c r="C22" s="8" t="s">
        <v>339</v>
      </c>
      <c r="D22" s="8" t="s">
        <v>340</v>
      </c>
      <c r="E22" s="8" t="s">
        <v>376</v>
      </c>
      <c r="F22" s="8" t="s">
        <v>131</v>
      </c>
      <c r="G22" s="8" t="s">
        <v>177</v>
      </c>
      <c r="H22" s="8" t="s">
        <v>262</v>
      </c>
      <c r="I22" s="9" t="s">
        <v>135</v>
      </c>
      <c r="J22" s="9" t="n">
        <v>130306</v>
      </c>
      <c r="K22" s="8" t="s">
        <v>134</v>
      </c>
      <c r="L22" s="8" t="s">
        <v>135</v>
      </c>
      <c r="M22" s="10" t="n">
        <v>3.5</v>
      </c>
      <c r="N22" s="8" t="s">
        <v>136</v>
      </c>
      <c r="O22" s="8" t="s">
        <v>242</v>
      </c>
      <c r="P22" s="11" t="s">
        <v>135</v>
      </c>
      <c r="Q22" s="8" t="s">
        <v>326</v>
      </c>
      <c r="R22" s="12" t="n">
        <v>4</v>
      </c>
      <c r="S22" s="13" t="s">
        <v>135</v>
      </c>
      <c r="T22" s="13" t="n">
        <v>73</v>
      </c>
      <c r="U22" s="12" t="s">
        <v>135</v>
      </c>
      <c r="V22" s="13" t="n">
        <v>153</v>
      </c>
      <c r="W22" s="8" t="s">
        <v>140</v>
      </c>
      <c r="X22" s="13" t="n">
        <v>107</v>
      </c>
      <c r="Y22" s="13" t="n">
        <v>900</v>
      </c>
      <c r="Z22" s="11" t="s">
        <v>367</v>
      </c>
      <c r="AA22" s="11" t="s">
        <v>264</v>
      </c>
      <c r="AB22" s="22" t="s">
        <v>135</v>
      </c>
      <c r="AC22" s="22" t="s">
        <v>135</v>
      </c>
      <c r="AD22" s="22" t="s">
        <v>135</v>
      </c>
      <c r="AE22" s="22" t="s">
        <v>135</v>
      </c>
      <c r="AF22" s="22" t="s">
        <v>135</v>
      </c>
      <c r="AG22" s="22" t="s">
        <v>135</v>
      </c>
      <c r="AH22" s="22" t="s">
        <v>135</v>
      </c>
      <c r="AI22" s="14" t="n">
        <v>35</v>
      </c>
      <c r="AJ22" s="8" t="s">
        <v>314</v>
      </c>
      <c r="AK22" s="11" t="s">
        <v>265</v>
      </c>
      <c r="AL22" s="8" t="s">
        <v>145</v>
      </c>
      <c r="AM22" s="11" t="s">
        <v>377</v>
      </c>
      <c r="AN22" s="11" t="s">
        <v>378</v>
      </c>
      <c r="AO22" s="14" t="n">
        <v>3</v>
      </c>
      <c r="AP22" s="8" t="s">
        <v>135</v>
      </c>
      <c r="AQ22" s="8" t="s">
        <v>135</v>
      </c>
      <c r="AR22" s="11" t="s">
        <v>379</v>
      </c>
      <c r="AS22" s="11" t="s">
        <v>205</v>
      </c>
      <c r="AT22" s="11" t="s">
        <v>269</v>
      </c>
      <c r="AU22" s="11" t="s">
        <v>360</v>
      </c>
      <c r="AV22" s="11" t="s">
        <v>370</v>
      </c>
      <c r="AW22" s="11" t="s">
        <v>270</v>
      </c>
      <c r="AX22" s="11" t="s">
        <v>380</v>
      </c>
      <c r="AY22" s="13" t="n">
        <f aca="false">IF(AND(ISNUMBER($J22),ISNUMBER($M22)),$J22/$M22,"n/a")</f>
        <v>37230.2857142857</v>
      </c>
      <c r="AZ22" s="12" t="n">
        <f aca="false">IF(AND(ISNUMBER($V22),ISNUMBER($M22)),$V22/$M22,"n/a")</f>
        <v>43.7142857142857</v>
      </c>
      <c r="BA22" s="8" t="str">
        <f aca="false">IF(NOT(ISNUMBER($J22)),"n/a",IF($J22&lt;70000,"1. &lt;Rs70k",IF($J22&lt;100000,"2. Rs70k-1L",IF($J22&lt;150000,"3. Rs1-1.5L",IF($J22&lt;200000,"4. Rs1.5-2L",IF($J22&lt;300000,"5. Rs2-3L","6. &gt;Rs3L"))))))</f>
        <v>3. Rs1-1.5L</v>
      </c>
      <c r="BB22" s="8" t="s">
        <v>28</v>
      </c>
      <c r="BC22" s="8" t="s">
        <v>381</v>
      </c>
      <c r="BD22" s="11" t="s">
        <v>232</v>
      </c>
      <c r="BE22" s="11" t="s">
        <v>382</v>
      </c>
    </row>
    <row r="23" customFormat="false" ht="57.75" hidden="false" customHeight="true" outlineLevel="0" collapsed="false">
      <c r="A23" s="15" t="s">
        <v>383</v>
      </c>
      <c r="B23" s="15" t="s">
        <v>354</v>
      </c>
      <c r="C23" s="15" t="s">
        <v>339</v>
      </c>
      <c r="D23" s="15" t="s">
        <v>340</v>
      </c>
      <c r="E23" s="15" t="s">
        <v>384</v>
      </c>
      <c r="F23" s="15" t="s">
        <v>131</v>
      </c>
      <c r="G23" s="15" t="s">
        <v>177</v>
      </c>
      <c r="H23" s="15" t="s">
        <v>385</v>
      </c>
      <c r="I23" s="16" t="n">
        <v>122500</v>
      </c>
      <c r="J23" s="16" t="n">
        <v>134000</v>
      </c>
      <c r="K23" s="15" t="s">
        <v>134</v>
      </c>
      <c r="L23" s="15" t="s">
        <v>135</v>
      </c>
      <c r="M23" s="17" t="n">
        <v>3.5</v>
      </c>
      <c r="N23" s="15" t="s">
        <v>136</v>
      </c>
      <c r="O23" s="15" t="s">
        <v>242</v>
      </c>
      <c r="P23" s="18" t="s">
        <v>135</v>
      </c>
      <c r="Q23" s="15" t="s">
        <v>326</v>
      </c>
      <c r="R23" s="19" t="n">
        <v>4</v>
      </c>
      <c r="S23" s="20" t="s">
        <v>135</v>
      </c>
      <c r="T23" s="20" t="n">
        <v>73</v>
      </c>
      <c r="U23" s="19" t="s">
        <v>135</v>
      </c>
      <c r="V23" s="20" t="n">
        <v>153</v>
      </c>
      <c r="W23" s="15" t="s">
        <v>140</v>
      </c>
      <c r="X23" s="20" t="n">
        <v>107</v>
      </c>
      <c r="Y23" s="20" t="n">
        <v>950</v>
      </c>
      <c r="Z23" s="18" t="s">
        <v>386</v>
      </c>
      <c r="AA23" s="18" t="s">
        <v>264</v>
      </c>
      <c r="AB23" s="23" t="s">
        <v>135</v>
      </c>
      <c r="AC23" s="23" t="s">
        <v>135</v>
      </c>
      <c r="AD23" s="23" t="s">
        <v>135</v>
      </c>
      <c r="AE23" s="23" t="s">
        <v>135</v>
      </c>
      <c r="AF23" s="23" t="s">
        <v>135</v>
      </c>
      <c r="AG23" s="23" t="s">
        <v>135</v>
      </c>
      <c r="AH23" s="23" t="s">
        <v>135</v>
      </c>
      <c r="AI23" s="21" t="n">
        <v>35</v>
      </c>
      <c r="AJ23" s="15" t="s">
        <v>314</v>
      </c>
      <c r="AK23" s="18" t="s">
        <v>265</v>
      </c>
      <c r="AL23" s="15" t="s">
        <v>145</v>
      </c>
      <c r="AM23" s="18" t="s">
        <v>387</v>
      </c>
      <c r="AN23" s="18" t="s">
        <v>388</v>
      </c>
      <c r="AO23" s="21" t="n">
        <v>3</v>
      </c>
      <c r="AP23" s="15" t="s">
        <v>135</v>
      </c>
      <c r="AQ23" s="15" t="s">
        <v>135</v>
      </c>
      <c r="AR23" s="18" t="s">
        <v>389</v>
      </c>
      <c r="AS23" s="18" t="s">
        <v>205</v>
      </c>
      <c r="AT23" s="18" t="s">
        <v>269</v>
      </c>
      <c r="AU23" s="18" t="s">
        <v>360</v>
      </c>
      <c r="AV23" s="18" t="s">
        <v>370</v>
      </c>
      <c r="AW23" s="18" t="s">
        <v>270</v>
      </c>
      <c r="AX23" s="18" t="s">
        <v>390</v>
      </c>
      <c r="AY23" s="20" t="n">
        <f aca="false">IF(AND(ISNUMBER($J23),ISNUMBER($M23)),$J23/$M23,"n/a")</f>
        <v>38285.7142857143</v>
      </c>
      <c r="AZ23" s="19" t="n">
        <f aca="false">IF(AND(ISNUMBER($V23),ISNUMBER($M23)),$V23/$M23,"n/a")</f>
        <v>43.7142857142857</v>
      </c>
      <c r="BA23" s="15" t="str">
        <f aca="false">IF(NOT(ISNUMBER($J23)),"n/a",IF($J23&lt;70000,"1. &lt;Rs70k",IF($J23&lt;100000,"2. Rs70k-1L",IF($J23&lt;150000,"3. Rs1-1.5L",IF($J23&lt;200000,"4. Rs1.5-2L",IF($J23&lt;300000,"5. Rs2-3L","6. &gt;Rs3L"))))))</f>
        <v>3. Rs1-1.5L</v>
      </c>
      <c r="BB23" s="15" t="s">
        <v>28</v>
      </c>
      <c r="BC23" s="15" t="s">
        <v>363</v>
      </c>
      <c r="BD23" s="18" t="s">
        <v>364</v>
      </c>
      <c r="BE23" s="18" t="s">
        <v>391</v>
      </c>
    </row>
    <row r="24" customFormat="false" ht="57.75" hidden="false" customHeight="true" outlineLevel="0" collapsed="false">
      <c r="A24" s="8" t="s">
        <v>392</v>
      </c>
      <c r="B24" s="8" t="s">
        <v>393</v>
      </c>
      <c r="C24" s="8" t="s">
        <v>394</v>
      </c>
      <c r="D24" s="8" t="s">
        <v>395</v>
      </c>
      <c r="E24" s="8" t="s">
        <v>396</v>
      </c>
      <c r="F24" s="8" t="s">
        <v>131</v>
      </c>
      <c r="G24" s="8" t="s">
        <v>177</v>
      </c>
      <c r="H24" s="8" t="s">
        <v>343</v>
      </c>
      <c r="I24" s="9" t="n">
        <v>79999</v>
      </c>
      <c r="J24" s="9" t="n">
        <v>84999</v>
      </c>
      <c r="K24" s="8" t="s">
        <v>134</v>
      </c>
      <c r="L24" s="8" t="s">
        <v>135</v>
      </c>
      <c r="M24" s="10" t="n">
        <v>2</v>
      </c>
      <c r="N24" s="8" t="s">
        <v>136</v>
      </c>
      <c r="O24" s="8" t="s">
        <v>397</v>
      </c>
      <c r="P24" s="11" t="s">
        <v>398</v>
      </c>
      <c r="Q24" s="8" t="s">
        <v>399</v>
      </c>
      <c r="R24" s="12" t="s">
        <v>135</v>
      </c>
      <c r="S24" s="13" t="s">
        <v>135</v>
      </c>
      <c r="T24" s="13" t="s">
        <v>135</v>
      </c>
      <c r="U24" s="12" t="s">
        <v>135</v>
      </c>
      <c r="V24" s="13" t="s">
        <v>135</v>
      </c>
      <c r="W24" s="8" t="s">
        <v>140</v>
      </c>
      <c r="X24" s="13" t="s">
        <v>135</v>
      </c>
      <c r="Y24" s="13" t="s">
        <v>135</v>
      </c>
      <c r="Z24" s="11" t="s">
        <v>135</v>
      </c>
      <c r="AA24" s="11" t="s">
        <v>400</v>
      </c>
      <c r="AB24" s="22" t="s">
        <v>135</v>
      </c>
      <c r="AC24" s="22" t="s">
        <v>135</v>
      </c>
      <c r="AD24" s="22" t="s">
        <v>135</v>
      </c>
      <c r="AE24" s="22" t="s">
        <v>135</v>
      </c>
      <c r="AF24" s="22" t="s">
        <v>135</v>
      </c>
      <c r="AG24" s="22" t="s">
        <v>135</v>
      </c>
      <c r="AH24" s="22" t="s">
        <v>135</v>
      </c>
      <c r="AI24" s="14" t="n">
        <v>34</v>
      </c>
      <c r="AJ24" s="8" t="s">
        <v>314</v>
      </c>
      <c r="AK24" s="11" t="s">
        <v>247</v>
      </c>
      <c r="AL24" s="8" t="s">
        <v>145</v>
      </c>
      <c r="AM24" s="11" t="s">
        <v>315</v>
      </c>
      <c r="AN24" s="11" t="s">
        <v>401</v>
      </c>
      <c r="AO24" s="14" t="n">
        <v>3</v>
      </c>
      <c r="AP24" s="8" t="s">
        <v>148</v>
      </c>
      <c r="AQ24" s="8" t="s">
        <v>148</v>
      </c>
      <c r="AR24" s="11" t="s">
        <v>402</v>
      </c>
      <c r="AS24" s="11" t="s">
        <v>205</v>
      </c>
      <c r="AT24" s="11" t="s">
        <v>269</v>
      </c>
      <c r="AU24" s="11" t="s">
        <v>269</v>
      </c>
      <c r="AV24" s="11" t="s">
        <v>403</v>
      </c>
      <c r="AW24" s="11" t="s">
        <v>404</v>
      </c>
      <c r="AX24" s="11" t="s">
        <v>405</v>
      </c>
      <c r="AY24" s="13" t="n">
        <f aca="false">IF(AND(ISNUMBER($J24),ISNUMBER($M24)),$J24/$M24,"n/a")</f>
        <v>42499.5</v>
      </c>
      <c r="AZ24" s="12" t="str">
        <f aca="false">IF(AND(ISNUMBER($V24),ISNUMBER($M24)),$V24/$M24,"n/a")</f>
        <v>n/a</v>
      </c>
      <c r="BA24" s="8" t="str">
        <f aca="false">IF(NOT(ISNUMBER($J24)),"n/a",IF($J24&lt;70000,"1. &lt;Rs70k",IF($J24&lt;100000,"2. Rs70k-1L",IF($J24&lt;150000,"3. Rs1-1.5L",IF($J24&lt;200000,"4. Rs1.5-2L",IF($J24&lt;300000,"5. Rs2-3L","6. &gt;Rs3L"))))))</f>
        <v>2. Rs70k-1L</v>
      </c>
      <c r="BB24" s="8" t="s">
        <v>30</v>
      </c>
      <c r="BC24" s="8" t="s">
        <v>406</v>
      </c>
      <c r="BD24" s="11" t="s">
        <v>135</v>
      </c>
      <c r="BE24" s="11" t="s">
        <v>407</v>
      </c>
    </row>
    <row r="25" customFormat="false" ht="57.75" hidden="false" customHeight="true" outlineLevel="0" collapsed="false">
      <c r="A25" s="15" t="s">
        <v>408</v>
      </c>
      <c r="B25" s="15" t="s">
        <v>394</v>
      </c>
      <c r="C25" s="15" t="s">
        <v>394</v>
      </c>
      <c r="D25" s="15" t="s">
        <v>395</v>
      </c>
      <c r="E25" s="15" t="s">
        <v>409</v>
      </c>
      <c r="F25" s="15" t="s">
        <v>131</v>
      </c>
      <c r="G25" s="15" t="s">
        <v>177</v>
      </c>
      <c r="H25" s="15" t="s">
        <v>356</v>
      </c>
      <c r="I25" s="16" t="s">
        <v>135</v>
      </c>
      <c r="J25" s="16" t="n">
        <v>99999</v>
      </c>
      <c r="K25" s="15" t="s">
        <v>134</v>
      </c>
      <c r="L25" s="15" t="s">
        <v>135</v>
      </c>
      <c r="M25" s="17" t="n">
        <v>3</v>
      </c>
      <c r="N25" s="15" t="s">
        <v>136</v>
      </c>
      <c r="O25" s="15" t="s">
        <v>242</v>
      </c>
      <c r="P25" s="18" t="s">
        <v>135</v>
      </c>
      <c r="Q25" s="15" t="s">
        <v>399</v>
      </c>
      <c r="R25" s="19" t="s">
        <v>135</v>
      </c>
      <c r="S25" s="20" t="s">
        <v>135</v>
      </c>
      <c r="T25" s="20" t="s">
        <v>135</v>
      </c>
      <c r="U25" s="19" t="s">
        <v>135</v>
      </c>
      <c r="V25" s="20" t="s">
        <v>135</v>
      </c>
      <c r="W25" s="15" t="s">
        <v>140</v>
      </c>
      <c r="X25" s="20" t="s">
        <v>135</v>
      </c>
      <c r="Y25" s="20" t="s">
        <v>135</v>
      </c>
      <c r="Z25" s="18" t="s">
        <v>135</v>
      </c>
      <c r="AA25" s="18" t="s">
        <v>410</v>
      </c>
      <c r="AB25" s="23" t="s">
        <v>135</v>
      </c>
      <c r="AC25" s="23" t="s">
        <v>135</v>
      </c>
      <c r="AD25" s="23" t="s">
        <v>135</v>
      </c>
      <c r="AE25" s="23" t="s">
        <v>135</v>
      </c>
      <c r="AF25" s="23" t="s">
        <v>135</v>
      </c>
      <c r="AG25" s="23" t="s">
        <v>135</v>
      </c>
      <c r="AH25" s="23" t="s">
        <v>135</v>
      </c>
      <c r="AI25" s="21" t="n">
        <v>34</v>
      </c>
      <c r="AJ25" s="15" t="s">
        <v>314</v>
      </c>
      <c r="AK25" s="18" t="s">
        <v>247</v>
      </c>
      <c r="AL25" s="15" t="s">
        <v>145</v>
      </c>
      <c r="AM25" s="18" t="s">
        <v>315</v>
      </c>
      <c r="AN25" s="18" t="s">
        <v>411</v>
      </c>
      <c r="AO25" s="21" t="n">
        <v>3</v>
      </c>
      <c r="AP25" s="15" t="s">
        <v>148</v>
      </c>
      <c r="AQ25" s="15" t="s">
        <v>148</v>
      </c>
      <c r="AR25" s="18" t="s">
        <v>135</v>
      </c>
      <c r="AS25" s="18" t="s">
        <v>205</v>
      </c>
      <c r="AT25" s="18" t="s">
        <v>269</v>
      </c>
      <c r="AU25" s="18" t="s">
        <v>269</v>
      </c>
      <c r="AV25" s="18" t="s">
        <v>403</v>
      </c>
      <c r="AW25" s="18" t="s">
        <v>135</v>
      </c>
      <c r="AX25" s="18" t="s">
        <v>412</v>
      </c>
      <c r="AY25" s="20" t="n">
        <f aca="false">IF(AND(ISNUMBER($J25),ISNUMBER($M25)),$J25/$M25,"n/a")</f>
        <v>33333</v>
      </c>
      <c r="AZ25" s="19" t="str">
        <f aca="false">IF(AND(ISNUMBER($V25),ISNUMBER($M25)),$V25/$M25,"n/a")</f>
        <v>n/a</v>
      </c>
      <c r="BA25" s="15" t="str">
        <f aca="false">IF(NOT(ISNUMBER($J25)),"n/a",IF($J25&lt;70000,"1. &lt;Rs70k",IF($J25&lt;100000,"2. Rs70k-1L",IF($J25&lt;150000,"3. Rs1-1.5L",IF($J25&lt;200000,"4. Rs1.5-2L",IF($J25&lt;300000,"5. Rs2-3L","6. &gt;Rs3L"))))))</f>
        <v>2. Rs70k-1L</v>
      </c>
      <c r="BB25" s="15" t="s">
        <v>32</v>
      </c>
      <c r="BC25" s="15" t="s">
        <v>413</v>
      </c>
      <c r="BD25" s="18" t="s">
        <v>135</v>
      </c>
      <c r="BE25" s="18" t="s">
        <v>414</v>
      </c>
    </row>
    <row r="26" customFormat="false" ht="57.75" hidden="false" customHeight="true" outlineLevel="0" collapsed="false">
      <c r="A26" s="8" t="s">
        <v>415</v>
      </c>
      <c r="B26" s="8" t="s">
        <v>394</v>
      </c>
      <c r="C26" s="8" t="s">
        <v>394</v>
      </c>
      <c r="D26" s="8" t="s">
        <v>395</v>
      </c>
      <c r="E26" s="8" t="s">
        <v>416</v>
      </c>
      <c r="F26" s="8" t="s">
        <v>131</v>
      </c>
      <c r="G26" s="8" t="s">
        <v>177</v>
      </c>
      <c r="H26" s="8" t="s">
        <v>417</v>
      </c>
      <c r="I26" s="9" t="s">
        <v>135</v>
      </c>
      <c r="J26" s="9" t="n">
        <v>114000</v>
      </c>
      <c r="K26" s="8" t="s">
        <v>134</v>
      </c>
      <c r="L26" s="8" t="s">
        <v>135</v>
      </c>
      <c r="M26" s="10" t="n">
        <v>4</v>
      </c>
      <c r="N26" s="8" t="s">
        <v>136</v>
      </c>
      <c r="O26" s="8" t="s">
        <v>242</v>
      </c>
      <c r="P26" s="11" t="s">
        <v>135</v>
      </c>
      <c r="Q26" s="8" t="s">
        <v>399</v>
      </c>
      <c r="R26" s="12" t="s">
        <v>135</v>
      </c>
      <c r="S26" s="13" t="s">
        <v>135</v>
      </c>
      <c r="T26" s="13" t="s">
        <v>135</v>
      </c>
      <c r="U26" s="12" t="s">
        <v>135</v>
      </c>
      <c r="V26" s="13" t="n">
        <v>242</v>
      </c>
      <c r="W26" s="8" t="s">
        <v>140</v>
      </c>
      <c r="X26" s="13" t="n">
        <v>150</v>
      </c>
      <c r="Y26" s="13" t="s">
        <v>135</v>
      </c>
      <c r="Z26" s="11" t="s">
        <v>135</v>
      </c>
      <c r="AA26" s="11" t="s">
        <v>410</v>
      </c>
      <c r="AB26" s="22" t="s">
        <v>135</v>
      </c>
      <c r="AC26" s="22" t="s">
        <v>135</v>
      </c>
      <c r="AD26" s="22" t="s">
        <v>135</v>
      </c>
      <c r="AE26" s="22" t="s">
        <v>135</v>
      </c>
      <c r="AF26" s="22" t="s">
        <v>135</v>
      </c>
      <c r="AG26" s="22" t="s">
        <v>135</v>
      </c>
      <c r="AH26" s="22" t="s">
        <v>135</v>
      </c>
      <c r="AI26" s="14" t="n">
        <v>34</v>
      </c>
      <c r="AJ26" s="8" t="s">
        <v>314</v>
      </c>
      <c r="AK26" s="11" t="s">
        <v>265</v>
      </c>
      <c r="AL26" s="8" t="s">
        <v>145</v>
      </c>
      <c r="AM26" s="11" t="s">
        <v>315</v>
      </c>
      <c r="AN26" s="11" t="s">
        <v>411</v>
      </c>
      <c r="AO26" s="14" t="n">
        <v>3</v>
      </c>
      <c r="AP26" s="8" t="s">
        <v>148</v>
      </c>
      <c r="AQ26" s="8" t="s">
        <v>148</v>
      </c>
      <c r="AR26" s="11" t="s">
        <v>135</v>
      </c>
      <c r="AS26" s="11" t="s">
        <v>205</v>
      </c>
      <c r="AT26" s="11" t="s">
        <v>269</v>
      </c>
      <c r="AU26" s="11" t="s">
        <v>269</v>
      </c>
      <c r="AV26" s="11" t="s">
        <v>403</v>
      </c>
      <c r="AW26" s="11" t="s">
        <v>135</v>
      </c>
      <c r="AX26" s="11" t="s">
        <v>418</v>
      </c>
      <c r="AY26" s="13" t="n">
        <f aca="false">IF(AND(ISNUMBER($J26),ISNUMBER($M26)),$J26/$M26,"n/a")</f>
        <v>28500</v>
      </c>
      <c r="AZ26" s="12" t="n">
        <f aca="false">IF(AND(ISNUMBER($V26),ISNUMBER($M26)),$V26/$M26,"n/a")</f>
        <v>60.5</v>
      </c>
      <c r="BA26" s="8" t="str">
        <f aca="false">IF(NOT(ISNUMBER($J26)),"n/a",IF($J26&lt;70000,"1. &lt;Rs70k",IF($J26&lt;100000,"2. Rs70k-1L",IF($J26&lt;150000,"3. Rs1-1.5L",IF($J26&lt;200000,"4. Rs1.5-2L",IF($J26&lt;300000,"5. Rs2-3L","6. &gt;Rs3L"))))))</f>
        <v>3. Rs1-1.5L</v>
      </c>
      <c r="BB26" s="8" t="s">
        <v>32</v>
      </c>
      <c r="BC26" s="8" t="s">
        <v>419</v>
      </c>
      <c r="BD26" s="11" t="s">
        <v>135</v>
      </c>
      <c r="BE26" s="11" t="s">
        <v>420</v>
      </c>
    </row>
    <row r="27" customFormat="false" ht="57.75" hidden="false" customHeight="true" outlineLevel="0" collapsed="false">
      <c r="A27" s="15" t="s">
        <v>421</v>
      </c>
      <c r="B27" s="15" t="s">
        <v>394</v>
      </c>
      <c r="C27" s="15" t="s">
        <v>394</v>
      </c>
      <c r="D27" s="15" t="s">
        <v>422</v>
      </c>
      <c r="E27" s="15" t="s">
        <v>409</v>
      </c>
      <c r="F27" s="15" t="s">
        <v>131</v>
      </c>
      <c r="G27" s="15" t="s">
        <v>423</v>
      </c>
      <c r="H27" s="15" t="s">
        <v>424</v>
      </c>
      <c r="I27" s="16" t="n">
        <v>115000</v>
      </c>
      <c r="J27" s="16" t="n">
        <v>125000</v>
      </c>
      <c r="K27" s="15" t="s">
        <v>134</v>
      </c>
      <c r="L27" s="15" t="s">
        <v>135</v>
      </c>
      <c r="M27" s="17" t="n">
        <v>3</v>
      </c>
      <c r="N27" s="15" t="s">
        <v>136</v>
      </c>
      <c r="O27" s="15" t="s">
        <v>242</v>
      </c>
      <c r="P27" s="18" t="s">
        <v>135</v>
      </c>
      <c r="Q27" s="15" t="s">
        <v>399</v>
      </c>
      <c r="R27" s="19" t="n">
        <v>5.5</v>
      </c>
      <c r="S27" s="20" t="s">
        <v>135</v>
      </c>
      <c r="T27" s="20" t="n">
        <v>117</v>
      </c>
      <c r="U27" s="19" t="n">
        <v>4.3</v>
      </c>
      <c r="V27" s="20" t="n">
        <v>176</v>
      </c>
      <c r="W27" s="15" t="s">
        <v>140</v>
      </c>
      <c r="X27" s="20" t="n">
        <v>105</v>
      </c>
      <c r="Y27" s="20" t="s">
        <v>135</v>
      </c>
      <c r="Z27" s="18" t="s">
        <v>425</v>
      </c>
      <c r="AA27" s="18" t="s">
        <v>410</v>
      </c>
      <c r="AB27" s="20" t="n">
        <v>109</v>
      </c>
      <c r="AC27" s="20" t="n">
        <v>1900</v>
      </c>
      <c r="AD27" s="20" t="n">
        <v>850</v>
      </c>
      <c r="AE27" s="20" t="n">
        <v>1288</v>
      </c>
      <c r="AF27" s="20" t="n">
        <v>1359</v>
      </c>
      <c r="AG27" s="20" t="n">
        <v>160</v>
      </c>
      <c r="AH27" s="20" t="n">
        <v>791</v>
      </c>
      <c r="AI27" s="21" t="n">
        <v>34</v>
      </c>
      <c r="AJ27" s="15" t="s">
        <v>426</v>
      </c>
      <c r="AK27" s="18" t="s">
        <v>216</v>
      </c>
      <c r="AL27" s="15" t="s">
        <v>145</v>
      </c>
      <c r="AM27" s="18" t="s">
        <v>188</v>
      </c>
      <c r="AN27" s="18" t="s">
        <v>427</v>
      </c>
      <c r="AO27" s="21" t="n">
        <v>3</v>
      </c>
      <c r="AP27" s="15" t="s">
        <v>148</v>
      </c>
      <c r="AQ27" s="15" t="s">
        <v>148</v>
      </c>
      <c r="AR27" s="18" t="s">
        <v>428</v>
      </c>
      <c r="AS27" s="18" t="s">
        <v>205</v>
      </c>
      <c r="AT27" s="18" t="s">
        <v>269</v>
      </c>
      <c r="AU27" s="18" t="s">
        <v>269</v>
      </c>
      <c r="AV27" s="18" t="s">
        <v>403</v>
      </c>
      <c r="AW27" s="18" t="s">
        <v>429</v>
      </c>
      <c r="AX27" s="18" t="s">
        <v>430</v>
      </c>
      <c r="AY27" s="20" t="n">
        <f aca="false">IF(AND(ISNUMBER($J27),ISNUMBER($M27)),$J27/$M27,"n/a")</f>
        <v>41666.6666666667</v>
      </c>
      <c r="AZ27" s="19" t="n">
        <f aca="false">IF(AND(ISNUMBER($V27),ISNUMBER($M27)),$V27/$M27,"n/a")</f>
        <v>58.6666666666667</v>
      </c>
      <c r="BA27" s="15" t="str">
        <f aca="false">IF(NOT(ISNUMBER($J27)),"n/a",IF($J27&lt;70000,"1. &lt;Rs70k",IF($J27&lt;100000,"2. Rs70k-1L",IF($J27&lt;150000,"3. Rs1-1.5L",IF($J27&lt;200000,"4. Rs1.5-2L",IF($J27&lt;300000,"5. Rs2-3L","6. &gt;Rs3L"))))))</f>
        <v>3. Rs1-1.5L</v>
      </c>
      <c r="BB27" s="15" t="s">
        <v>30</v>
      </c>
      <c r="BC27" s="15" t="s">
        <v>431</v>
      </c>
      <c r="BD27" s="18" t="s">
        <v>432</v>
      </c>
      <c r="BE27" s="18" t="s">
        <v>433</v>
      </c>
    </row>
    <row r="28" customFormat="false" ht="57.75" hidden="false" customHeight="true" outlineLevel="0" collapsed="false">
      <c r="A28" s="8" t="s">
        <v>434</v>
      </c>
      <c r="B28" s="8" t="s">
        <v>394</v>
      </c>
      <c r="C28" s="8" t="s">
        <v>394</v>
      </c>
      <c r="D28" s="8" t="s">
        <v>422</v>
      </c>
      <c r="E28" s="8" t="s">
        <v>416</v>
      </c>
      <c r="F28" s="8" t="s">
        <v>131</v>
      </c>
      <c r="G28" s="8" t="s">
        <v>423</v>
      </c>
      <c r="H28" s="8" t="s">
        <v>424</v>
      </c>
      <c r="I28" s="9" t="n">
        <v>135000</v>
      </c>
      <c r="J28" s="9" t="n">
        <v>144999</v>
      </c>
      <c r="K28" s="8" t="s">
        <v>134</v>
      </c>
      <c r="L28" s="8" t="s">
        <v>135</v>
      </c>
      <c r="M28" s="10" t="n">
        <v>4</v>
      </c>
      <c r="N28" s="8" t="s">
        <v>136</v>
      </c>
      <c r="O28" s="8" t="s">
        <v>242</v>
      </c>
      <c r="P28" s="11" t="s">
        <v>135</v>
      </c>
      <c r="Q28" s="8" t="s">
        <v>399</v>
      </c>
      <c r="R28" s="12" t="n">
        <v>11</v>
      </c>
      <c r="S28" s="13" t="s">
        <v>135</v>
      </c>
      <c r="T28" s="13" t="n">
        <v>125</v>
      </c>
      <c r="U28" s="12" t="s">
        <v>135</v>
      </c>
      <c r="V28" s="13" t="n">
        <v>242</v>
      </c>
      <c r="W28" s="8" t="s">
        <v>140</v>
      </c>
      <c r="X28" s="13" t="n">
        <v>145</v>
      </c>
      <c r="Y28" s="13" t="s">
        <v>135</v>
      </c>
      <c r="Z28" s="11" t="s">
        <v>435</v>
      </c>
      <c r="AA28" s="11" t="s">
        <v>410</v>
      </c>
      <c r="AB28" s="13" t="n">
        <v>109</v>
      </c>
      <c r="AC28" s="13" t="n">
        <v>1900</v>
      </c>
      <c r="AD28" s="13" t="n">
        <v>850</v>
      </c>
      <c r="AE28" s="13" t="n">
        <v>1288</v>
      </c>
      <c r="AF28" s="13" t="n">
        <v>1359</v>
      </c>
      <c r="AG28" s="13" t="n">
        <v>160</v>
      </c>
      <c r="AH28" s="13" t="n">
        <v>791</v>
      </c>
      <c r="AI28" s="14" t="n">
        <v>34</v>
      </c>
      <c r="AJ28" s="8" t="s">
        <v>314</v>
      </c>
      <c r="AK28" s="11" t="s">
        <v>216</v>
      </c>
      <c r="AL28" s="8" t="s">
        <v>436</v>
      </c>
      <c r="AM28" s="11" t="s">
        <v>188</v>
      </c>
      <c r="AN28" s="11" t="s">
        <v>427</v>
      </c>
      <c r="AO28" s="14" t="n">
        <v>4</v>
      </c>
      <c r="AP28" s="8" t="s">
        <v>148</v>
      </c>
      <c r="AQ28" s="8" t="s">
        <v>148</v>
      </c>
      <c r="AR28" s="11" t="s">
        <v>437</v>
      </c>
      <c r="AS28" s="11" t="s">
        <v>205</v>
      </c>
      <c r="AT28" s="11" t="s">
        <v>269</v>
      </c>
      <c r="AU28" s="11" t="s">
        <v>269</v>
      </c>
      <c r="AV28" s="11" t="s">
        <v>403</v>
      </c>
      <c r="AW28" s="11" t="s">
        <v>135</v>
      </c>
      <c r="AX28" s="11" t="s">
        <v>438</v>
      </c>
      <c r="AY28" s="13" t="n">
        <f aca="false">IF(AND(ISNUMBER($J28),ISNUMBER($M28)),$J28/$M28,"n/a")</f>
        <v>36249.75</v>
      </c>
      <c r="AZ28" s="12" t="n">
        <f aca="false">IF(AND(ISNUMBER($V28),ISNUMBER($M28)),$V28/$M28,"n/a")</f>
        <v>60.5</v>
      </c>
      <c r="BA28" s="8" t="str">
        <f aca="false">IF(NOT(ISNUMBER($J28)),"n/a",IF($J28&lt;70000,"1. &lt;Rs70k",IF($J28&lt;100000,"2. Rs70k-1L",IF($J28&lt;150000,"3. Rs1-1.5L",IF($J28&lt;200000,"4. Rs1.5-2L",IF($J28&lt;300000,"5. Rs2-3L","6. &gt;Rs3L"))))))</f>
        <v>3. Rs1-1.5L</v>
      </c>
      <c r="BB28" s="8" t="s">
        <v>30</v>
      </c>
      <c r="BC28" s="8" t="s">
        <v>439</v>
      </c>
      <c r="BD28" s="11" t="s">
        <v>431</v>
      </c>
      <c r="BE28" s="11" t="s">
        <v>135</v>
      </c>
    </row>
    <row r="29" customFormat="false" ht="57.75" hidden="false" customHeight="true" outlineLevel="0" collapsed="false">
      <c r="A29" s="15" t="s">
        <v>440</v>
      </c>
      <c r="B29" s="15" t="s">
        <v>394</v>
      </c>
      <c r="C29" s="15" t="s">
        <v>394</v>
      </c>
      <c r="D29" s="15" t="s">
        <v>441</v>
      </c>
      <c r="E29" s="15" t="s">
        <v>442</v>
      </c>
      <c r="F29" s="15" t="s">
        <v>131</v>
      </c>
      <c r="G29" s="15" t="s">
        <v>177</v>
      </c>
      <c r="H29" s="15" t="s">
        <v>443</v>
      </c>
      <c r="I29" s="16" t="s">
        <v>135</v>
      </c>
      <c r="J29" s="16" t="n">
        <v>160005</v>
      </c>
      <c r="K29" s="15" t="s">
        <v>134</v>
      </c>
      <c r="L29" s="15" t="s">
        <v>135</v>
      </c>
      <c r="M29" s="17" t="n">
        <v>4</v>
      </c>
      <c r="N29" s="15" t="s">
        <v>136</v>
      </c>
      <c r="O29" s="15" t="s">
        <v>242</v>
      </c>
      <c r="P29" s="18" t="s">
        <v>135</v>
      </c>
      <c r="Q29" s="15" t="s">
        <v>399</v>
      </c>
      <c r="R29" s="19" t="n">
        <v>13</v>
      </c>
      <c r="S29" s="20" t="s">
        <v>135</v>
      </c>
      <c r="T29" s="20" t="n">
        <v>141</v>
      </c>
      <c r="U29" s="19" t="s">
        <v>135</v>
      </c>
      <c r="V29" s="20" t="s">
        <v>135</v>
      </c>
      <c r="W29" s="15" t="s">
        <v>140</v>
      </c>
      <c r="X29" s="20" t="s">
        <v>135</v>
      </c>
      <c r="Y29" s="20" t="s">
        <v>135</v>
      </c>
      <c r="Z29" s="18" t="s">
        <v>135</v>
      </c>
      <c r="AA29" s="18" t="s">
        <v>410</v>
      </c>
      <c r="AB29" s="23" t="s">
        <v>135</v>
      </c>
      <c r="AC29" s="20" t="n">
        <v>1900</v>
      </c>
      <c r="AD29" s="20" t="n">
        <v>850</v>
      </c>
      <c r="AE29" s="20" t="n">
        <v>1288</v>
      </c>
      <c r="AF29" s="20" t="n">
        <v>1359</v>
      </c>
      <c r="AG29" s="20" t="n">
        <v>160</v>
      </c>
      <c r="AH29" s="20" t="n">
        <v>791</v>
      </c>
      <c r="AI29" s="21" t="n">
        <v>34</v>
      </c>
      <c r="AJ29" s="15" t="s">
        <v>314</v>
      </c>
      <c r="AK29" s="18" t="s">
        <v>216</v>
      </c>
      <c r="AL29" s="15" t="s">
        <v>329</v>
      </c>
      <c r="AM29" s="18" t="s">
        <v>444</v>
      </c>
      <c r="AN29" s="18" t="s">
        <v>445</v>
      </c>
      <c r="AO29" s="21" t="n">
        <v>4</v>
      </c>
      <c r="AP29" s="15" t="s">
        <v>148</v>
      </c>
      <c r="AQ29" s="15" t="s">
        <v>148</v>
      </c>
      <c r="AR29" s="18" t="s">
        <v>446</v>
      </c>
      <c r="AS29" s="18" t="s">
        <v>205</v>
      </c>
      <c r="AT29" s="18" t="s">
        <v>269</v>
      </c>
      <c r="AU29" s="18" t="s">
        <v>269</v>
      </c>
      <c r="AV29" s="18" t="s">
        <v>403</v>
      </c>
      <c r="AW29" s="18" t="s">
        <v>135</v>
      </c>
      <c r="AX29" s="18" t="s">
        <v>447</v>
      </c>
      <c r="AY29" s="20" t="n">
        <f aca="false">IF(AND(ISNUMBER($J29),ISNUMBER($M29)),$J29/$M29,"n/a")</f>
        <v>40001.25</v>
      </c>
      <c r="AZ29" s="19" t="str">
        <f aca="false">IF(AND(ISNUMBER($V29),ISNUMBER($M29)),$V29/$M29,"n/a")</f>
        <v>n/a</v>
      </c>
      <c r="BA29" s="15" t="str">
        <f aca="false">IF(NOT(ISNUMBER($J29)),"n/a",IF($J29&lt;70000,"1. &lt;Rs70k",IF($J29&lt;100000,"2. Rs70k-1L",IF($J29&lt;150000,"3. Rs1-1.5L",IF($J29&lt;200000,"4. Rs1.5-2L",IF($J29&lt;300000,"5. Rs2-3L","6. &gt;Rs3L"))))))</f>
        <v>4. Rs1.5-2L</v>
      </c>
      <c r="BB29" s="15" t="s">
        <v>30</v>
      </c>
      <c r="BC29" s="15" t="s">
        <v>439</v>
      </c>
      <c r="BD29" s="18" t="s">
        <v>135</v>
      </c>
      <c r="BE29" s="18" t="s">
        <v>135</v>
      </c>
    </row>
    <row r="30" customFormat="false" ht="57.75" hidden="false" customHeight="true" outlineLevel="0" collapsed="false">
      <c r="A30" s="8" t="s">
        <v>448</v>
      </c>
      <c r="B30" s="8" t="s">
        <v>394</v>
      </c>
      <c r="C30" s="8" t="s">
        <v>394</v>
      </c>
      <c r="D30" s="8" t="s">
        <v>441</v>
      </c>
      <c r="E30" s="8" t="s">
        <v>449</v>
      </c>
      <c r="F30" s="8" t="s">
        <v>131</v>
      </c>
      <c r="G30" s="8" t="s">
        <v>450</v>
      </c>
      <c r="H30" s="8" t="s">
        <v>451</v>
      </c>
      <c r="I30" s="9" t="s">
        <v>135</v>
      </c>
      <c r="J30" s="9" t="n">
        <v>170000</v>
      </c>
      <c r="K30" s="8" t="s">
        <v>134</v>
      </c>
      <c r="L30" s="8" t="s">
        <v>135</v>
      </c>
      <c r="M30" s="10" t="n">
        <v>5.2</v>
      </c>
      <c r="N30" s="8" t="s">
        <v>136</v>
      </c>
      <c r="O30" s="8" t="s">
        <v>452</v>
      </c>
      <c r="P30" s="11" t="s">
        <v>453</v>
      </c>
      <c r="Q30" s="8" t="s">
        <v>454</v>
      </c>
      <c r="R30" s="12" t="n">
        <v>13</v>
      </c>
      <c r="S30" s="13" t="s">
        <v>135</v>
      </c>
      <c r="T30" s="13" t="n">
        <v>141</v>
      </c>
      <c r="U30" s="12" t="s">
        <v>135</v>
      </c>
      <c r="V30" s="13" t="n">
        <v>320</v>
      </c>
      <c r="W30" s="8" t="s">
        <v>140</v>
      </c>
      <c r="X30" s="13" t="n">
        <v>180</v>
      </c>
      <c r="Y30" s="13" t="s">
        <v>135</v>
      </c>
      <c r="Z30" s="11" t="s">
        <v>135</v>
      </c>
      <c r="AA30" s="11" t="s">
        <v>410</v>
      </c>
      <c r="AB30" s="22" t="s">
        <v>135</v>
      </c>
      <c r="AC30" s="13" t="n">
        <v>1900</v>
      </c>
      <c r="AD30" s="13" t="n">
        <v>850</v>
      </c>
      <c r="AE30" s="13" t="n">
        <v>1288</v>
      </c>
      <c r="AF30" s="13" t="n">
        <v>1359</v>
      </c>
      <c r="AG30" s="13" t="n">
        <v>160</v>
      </c>
      <c r="AH30" s="13" t="n">
        <v>791</v>
      </c>
      <c r="AI30" s="14" t="n">
        <v>34</v>
      </c>
      <c r="AJ30" s="8" t="s">
        <v>314</v>
      </c>
      <c r="AK30" s="11" t="s">
        <v>216</v>
      </c>
      <c r="AL30" s="8" t="s">
        <v>329</v>
      </c>
      <c r="AM30" s="11" t="s">
        <v>444</v>
      </c>
      <c r="AN30" s="11" t="s">
        <v>455</v>
      </c>
      <c r="AO30" s="14" t="n">
        <v>4</v>
      </c>
      <c r="AP30" s="8" t="s">
        <v>148</v>
      </c>
      <c r="AQ30" s="8" t="s">
        <v>148</v>
      </c>
      <c r="AR30" s="11" t="s">
        <v>456</v>
      </c>
      <c r="AS30" s="11" t="s">
        <v>205</v>
      </c>
      <c r="AT30" s="11" t="s">
        <v>269</v>
      </c>
      <c r="AU30" s="11" t="s">
        <v>269</v>
      </c>
      <c r="AV30" s="11" t="s">
        <v>403</v>
      </c>
      <c r="AW30" s="11" t="s">
        <v>457</v>
      </c>
      <c r="AX30" s="11" t="s">
        <v>458</v>
      </c>
      <c r="AY30" s="13" t="n">
        <f aca="false">IF(AND(ISNUMBER($J30),ISNUMBER($M30)),$J30/$M30,"n/a")</f>
        <v>32692.3076923077</v>
      </c>
      <c r="AZ30" s="12" t="n">
        <f aca="false">IF(AND(ISNUMBER($V30),ISNUMBER($M30)),$V30/$M30,"n/a")</f>
        <v>61.5384615384615</v>
      </c>
      <c r="BA30" s="8" t="str">
        <f aca="false">IF(NOT(ISNUMBER($J30)),"n/a",IF($J30&lt;70000,"1. &lt;Rs70k",IF($J30&lt;100000,"2. Rs70k-1L",IF($J30&lt;150000,"3. Rs1-1.5L",IF($J30&lt;200000,"4. Rs1.5-2L",IF($J30&lt;300000,"5. Rs2-3L","6. &gt;Rs3L"))))))</f>
        <v>4. Rs1.5-2L</v>
      </c>
      <c r="BB30" s="8" t="s">
        <v>30</v>
      </c>
      <c r="BC30" s="8" t="s">
        <v>459</v>
      </c>
      <c r="BD30" s="11" t="s">
        <v>460</v>
      </c>
      <c r="BE30" s="11" t="s">
        <v>461</v>
      </c>
    </row>
    <row r="31" customFormat="false" ht="57.75" hidden="false" customHeight="true" outlineLevel="0" collapsed="false">
      <c r="A31" s="15" t="s">
        <v>462</v>
      </c>
      <c r="B31" s="15" t="s">
        <v>463</v>
      </c>
      <c r="C31" s="15" t="s">
        <v>464</v>
      </c>
      <c r="D31" s="15" t="s">
        <v>465</v>
      </c>
      <c r="E31" s="15" t="s">
        <v>466</v>
      </c>
      <c r="F31" s="15" t="s">
        <v>131</v>
      </c>
      <c r="G31" s="15" t="s">
        <v>467</v>
      </c>
      <c r="H31" s="15" t="s">
        <v>343</v>
      </c>
      <c r="I31" s="16" t="n">
        <v>99490</v>
      </c>
      <c r="J31" s="16" t="n">
        <v>109583</v>
      </c>
      <c r="K31" s="15" t="s">
        <v>134</v>
      </c>
      <c r="L31" s="15" t="s">
        <v>468</v>
      </c>
      <c r="M31" s="17" t="n">
        <v>2.2</v>
      </c>
      <c r="N31" s="15" t="s">
        <v>469</v>
      </c>
      <c r="O31" s="15" t="s">
        <v>242</v>
      </c>
      <c r="P31" s="18" t="s">
        <v>135</v>
      </c>
      <c r="Q31" s="15" t="s">
        <v>326</v>
      </c>
      <c r="R31" s="19" t="n">
        <v>6</v>
      </c>
      <c r="S31" s="20" t="s">
        <v>135</v>
      </c>
      <c r="T31" s="20" t="n">
        <v>70</v>
      </c>
      <c r="U31" s="19" t="n">
        <v>4.2</v>
      </c>
      <c r="V31" s="20" t="n">
        <v>93</v>
      </c>
      <c r="W31" s="15" t="s">
        <v>140</v>
      </c>
      <c r="X31" s="20" t="n">
        <v>68</v>
      </c>
      <c r="Y31" s="20" t="n">
        <v>580</v>
      </c>
      <c r="Z31" s="18" t="s">
        <v>470</v>
      </c>
      <c r="AA31" s="18" t="s">
        <v>471</v>
      </c>
      <c r="AB31" s="20" t="n">
        <v>106</v>
      </c>
      <c r="AC31" s="23" t="s">
        <v>135</v>
      </c>
      <c r="AD31" s="23" t="s">
        <v>135</v>
      </c>
      <c r="AE31" s="23" t="s">
        <v>135</v>
      </c>
      <c r="AF31" s="23" t="s">
        <v>135</v>
      </c>
      <c r="AG31" s="23" t="s">
        <v>135</v>
      </c>
      <c r="AH31" s="20" t="n">
        <v>777</v>
      </c>
      <c r="AI31" s="21" t="n">
        <v>33.2</v>
      </c>
      <c r="AJ31" s="15" t="s">
        <v>314</v>
      </c>
      <c r="AK31" s="18" t="s">
        <v>247</v>
      </c>
      <c r="AL31" s="15" t="s">
        <v>145</v>
      </c>
      <c r="AM31" s="18" t="s">
        <v>315</v>
      </c>
      <c r="AN31" s="18" t="s">
        <v>472</v>
      </c>
      <c r="AO31" s="21" t="n">
        <v>2</v>
      </c>
      <c r="AP31" s="15" t="s">
        <v>135</v>
      </c>
      <c r="AQ31" s="15" t="s">
        <v>135</v>
      </c>
      <c r="AR31" s="18" t="s">
        <v>473</v>
      </c>
      <c r="AS31" s="18" t="s">
        <v>205</v>
      </c>
      <c r="AT31" s="18" t="s">
        <v>269</v>
      </c>
      <c r="AU31" s="18" t="s">
        <v>269</v>
      </c>
      <c r="AV31" s="18" t="s">
        <v>474</v>
      </c>
      <c r="AW31" s="18" t="s">
        <v>270</v>
      </c>
      <c r="AX31" s="18" t="s">
        <v>475</v>
      </c>
      <c r="AY31" s="20" t="n">
        <f aca="false">IF(AND(ISNUMBER($J31),ISNUMBER($M31)),$J31/$M31,"n/a")</f>
        <v>49810.4545454545</v>
      </c>
      <c r="AZ31" s="19" t="n">
        <f aca="false">IF(AND(ISNUMBER($V31),ISNUMBER($M31)),$V31/$M31,"n/a")</f>
        <v>42.2727272727273</v>
      </c>
      <c r="BA31" s="15" t="str">
        <f aca="false">IF(NOT(ISNUMBER($J31)),"n/a",IF($J31&lt;70000,"1. &lt;Rs70k",IF($J31&lt;100000,"2. Rs70k-1L",IF($J31&lt;150000,"3. Rs1-1.5L",IF($J31&lt;200000,"4. Rs1.5-2L",IF($J31&lt;300000,"5. Rs2-3L","6. &gt;Rs3L"))))))</f>
        <v>3. Rs1-1.5L</v>
      </c>
      <c r="BB31" s="15" t="s">
        <v>28</v>
      </c>
      <c r="BC31" s="15" t="s">
        <v>476</v>
      </c>
      <c r="BD31" s="18" t="s">
        <v>477</v>
      </c>
      <c r="BE31" s="18" t="s">
        <v>478</v>
      </c>
    </row>
    <row r="32" customFormat="false" ht="57.75" hidden="false" customHeight="true" outlineLevel="0" collapsed="false">
      <c r="A32" s="8" t="s">
        <v>479</v>
      </c>
      <c r="B32" s="8" t="s">
        <v>480</v>
      </c>
      <c r="C32" s="8" t="s">
        <v>464</v>
      </c>
      <c r="D32" s="8" t="s">
        <v>465</v>
      </c>
      <c r="E32" s="8" t="s">
        <v>481</v>
      </c>
      <c r="F32" s="8" t="s">
        <v>131</v>
      </c>
      <c r="G32" s="8" t="s">
        <v>177</v>
      </c>
      <c r="H32" s="8" t="s">
        <v>343</v>
      </c>
      <c r="I32" s="9" t="s">
        <v>135</v>
      </c>
      <c r="J32" s="9" t="s">
        <v>135</v>
      </c>
      <c r="K32" s="8" t="s">
        <v>134</v>
      </c>
      <c r="L32" s="8" t="s">
        <v>135</v>
      </c>
      <c r="M32" s="10" t="n">
        <v>2.2</v>
      </c>
      <c r="N32" s="8" t="s">
        <v>482</v>
      </c>
      <c r="O32" s="8" t="s">
        <v>242</v>
      </c>
      <c r="P32" s="11" t="s">
        <v>135</v>
      </c>
      <c r="Q32" s="8" t="s">
        <v>326</v>
      </c>
      <c r="R32" s="12" t="n">
        <v>6</v>
      </c>
      <c r="S32" s="13" t="s">
        <v>135</v>
      </c>
      <c r="T32" s="13" t="n">
        <v>70</v>
      </c>
      <c r="U32" s="12" t="n">
        <v>4.2</v>
      </c>
      <c r="V32" s="13" t="n">
        <v>93</v>
      </c>
      <c r="W32" s="8" t="s">
        <v>140</v>
      </c>
      <c r="X32" s="13" t="n">
        <v>68</v>
      </c>
      <c r="Y32" s="13" t="n">
        <v>1000</v>
      </c>
      <c r="Z32" s="11" t="s">
        <v>483</v>
      </c>
      <c r="AA32" s="11" t="s">
        <v>148</v>
      </c>
      <c r="AB32" s="13" t="n">
        <v>106</v>
      </c>
      <c r="AC32" s="22" t="s">
        <v>135</v>
      </c>
      <c r="AD32" s="22" t="s">
        <v>135</v>
      </c>
      <c r="AE32" s="22" t="s">
        <v>135</v>
      </c>
      <c r="AF32" s="22" t="s">
        <v>135</v>
      </c>
      <c r="AG32" s="22" t="s">
        <v>135</v>
      </c>
      <c r="AH32" s="13" t="n">
        <v>777</v>
      </c>
      <c r="AI32" s="14" t="n">
        <v>33.2</v>
      </c>
      <c r="AJ32" s="8" t="s">
        <v>314</v>
      </c>
      <c r="AK32" s="11" t="s">
        <v>247</v>
      </c>
      <c r="AL32" s="8" t="s">
        <v>145</v>
      </c>
      <c r="AM32" s="11" t="s">
        <v>315</v>
      </c>
      <c r="AN32" s="11" t="s">
        <v>484</v>
      </c>
      <c r="AO32" s="14" t="n">
        <v>2</v>
      </c>
      <c r="AP32" s="8" t="s">
        <v>135</v>
      </c>
      <c r="AQ32" s="8" t="s">
        <v>135</v>
      </c>
      <c r="AR32" s="11" t="s">
        <v>485</v>
      </c>
      <c r="AS32" s="11" t="s">
        <v>205</v>
      </c>
      <c r="AT32" s="11" t="s">
        <v>269</v>
      </c>
      <c r="AU32" s="11" t="s">
        <v>269</v>
      </c>
      <c r="AV32" s="11" t="s">
        <v>465</v>
      </c>
      <c r="AW32" s="11" t="s">
        <v>270</v>
      </c>
      <c r="AX32" s="11" t="s">
        <v>486</v>
      </c>
      <c r="AY32" s="13" t="str">
        <f aca="false">IF(AND(ISNUMBER($J32),ISNUMBER($M32)),$J32/$M32,"n/a")</f>
        <v>n/a</v>
      </c>
      <c r="AZ32" s="12" t="n">
        <f aca="false">IF(AND(ISNUMBER($V32),ISNUMBER($M32)),$V32/$M32,"n/a")</f>
        <v>42.2727272727273</v>
      </c>
      <c r="BA32" s="8" t="str">
        <f aca="false">IF(NOT(ISNUMBER($J32)),"n/a",IF($J32&lt;70000,"1. &lt;Rs70k",IF($J32&lt;100000,"2. Rs70k-1L",IF($J32&lt;150000,"3. Rs1-1.5L",IF($J32&lt;200000,"4. Rs1.5-2L",IF($J32&lt;300000,"5. Rs2-3L","6. &gt;Rs3L"))))))</f>
        <v>n/a</v>
      </c>
      <c r="BB32" s="8" t="s">
        <v>28</v>
      </c>
      <c r="BC32" s="8" t="s">
        <v>477</v>
      </c>
      <c r="BD32" s="11" t="s">
        <v>135</v>
      </c>
      <c r="BE32" s="11" t="s">
        <v>135</v>
      </c>
    </row>
    <row r="33" customFormat="false" ht="57.75" hidden="false" customHeight="true" outlineLevel="0" collapsed="false">
      <c r="A33" s="15" t="s">
        <v>487</v>
      </c>
      <c r="B33" s="15" t="s">
        <v>480</v>
      </c>
      <c r="C33" s="15" t="s">
        <v>464</v>
      </c>
      <c r="D33" s="15" t="s">
        <v>465</v>
      </c>
      <c r="E33" s="15" t="s">
        <v>488</v>
      </c>
      <c r="F33" s="15" t="s">
        <v>131</v>
      </c>
      <c r="G33" s="15" t="s">
        <v>489</v>
      </c>
      <c r="H33" s="15" t="s">
        <v>356</v>
      </c>
      <c r="I33" s="16" t="s">
        <v>135</v>
      </c>
      <c r="J33" s="16" t="s">
        <v>135</v>
      </c>
      <c r="K33" s="15" t="s">
        <v>134</v>
      </c>
      <c r="L33" s="15" t="s">
        <v>135</v>
      </c>
      <c r="M33" s="17" t="n">
        <v>3.1</v>
      </c>
      <c r="N33" s="15" t="s">
        <v>482</v>
      </c>
      <c r="O33" s="15" t="s">
        <v>242</v>
      </c>
      <c r="P33" s="18" t="s">
        <v>135</v>
      </c>
      <c r="Q33" s="15" t="s">
        <v>326</v>
      </c>
      <c r="R33" s="19" t="n">
        <v>6</v>
      </c>
      <c r="S33" s="20" t="s">
        <v>135</v>
      </c>
      <c r="T33" s="20" t="n">
        <v>70</v>
      </c>
      <c r="U33" s="19" t="n">
        <v>4.5</v>
      </c>
      <c r="V33" s="20" t="n">
        <v>127</v>
      </c>
      <c r="W33" s="15" t="s">
        <v>140</v>
      </c>
      <c r="X33" s="20" t="n">
        <v>92</v>
      </c>
      <c r="Y33" s="20" t="s">
        <v>135</v>
      </c>
      <c r="Z33" s="18" t="s">
        <v>135</v>
      </c>
      <c r="AA33" s="18" t="s">
        <v>148</v>
      </c>
      <c r="AB33" s="23" t="s">
        <v>135</v>
      </c>
      <c r="AC33" s="23" t="s">
        <v>135</v>
      </c>
      <c r="AD33" s="23" t="s">
        <v>135</v>
      </c>
      <c r="AE33" s="23" t="s">
        <v>135</v>
      </c>
      <c r="AF33" s="23" t="s">
        <v>135</v>
      </c>
      <c r="AG33" s="23" t="s">
        <v>135</v>
      </c>
      <c r="AH33" s="20" t="n">
        <v>777</v>
      </c>
      <c r="AI33" s="21" t="n">
        <v>33.2</v>
      </c>
      <c r="AJ33" s="15" t="s">
        <v>314</v>
      </c>
      <c r="AK33" s="18" t="s">
        <v>247</v>
      </c>
      <c r="AL33" s="15" t="s">
        <v>145</v>
      </c>
      <c r="AM33" s="18" t="s">
        <v>315</v>
      </c>
      <c r="AN33" s="18" t="s">
        <v>484</v>
      </c>
      <c r="AO33" s="21" t="n">
        <v>2</v>
      </c>
      <c r="AP33" s="15" t="s">
        <v>135</v>
      </c>
      <c r="AQ33" s="15" t="s">
        <v>135</v>
      </c>
      <c r="AR33" s="18" t="s">
        <v>490</v>
      </c>
      <c r="AS33" s="18" t="s">
        <v>205</v>
      </c>
      <c r="AT33" s="18" t="s">
        <v>269</v>
      </c>
      <c r="AU33" s="18" t="s">
        <v>269</v>
      </c>
      <c r="AV33" s="18" t="s">
        <v>465</v>
      </c>
      <c r="AW33" s="18" t="s">
        <v>270</v>
      </c>
      <c r="AX33" s="18" t="s">
        <v>491</v>
      </c>
      <c r="AY33" s="20" t="str">
        <f aca="false">IF(AND(ISNUMBER($J33),ISNUMBER($M33)),$J33/$M33,"n/a")</f>
        <v>n/a</v>
      </c>
      <c r="AZ33" s="19" t="n">
        <f aca="false">IF(AND(ISNUMBER($V33),ISNUMBER($M33)),$V33/$M33,"n/a")</f>
        <v>40.9677419354839</v>
      </c>
      <c r="BA33" s="15" t="str">
        <f aca="false">IF(NOT(ISNUMBER($J33)),"n/a",IF($J33&lt;70000,"1. &lt;Rs70k",IF($J33&lt;100000,"2. Rs70k-1L",IF($J33&lt;150000,"3. Rs1-1.5L",IF($J33&lt;200000,"4. Rs1.5-2L",IF($J33&lt;300000,"5. Rs2-3L","6. &gt;Rs3L"))))))</f>
        <v>n/a</v>
      </c>
      <c r="BB33" s="15" t="s">
        <v>28</v>
      </c>
      <c r="BC33" s="15" t="s">
        <v>492</v>
      </c>
      <c r="BD33" s="18" t="s">
        <v>135</v>
      </c>
      <c r="BE33" s="18" t="s">
        <v>493</v>
      </c>
    </row>
    <row r="34" customFormat="false" ht="57.75" hidden="false" customHeight="true" outlineLevel="0" collapsed="false">
      <c r="A34" s="8" t="s">
        <v>494</v>
      </c>
      <c r="B34" s="8" t="s">
        <v>480</v>
      </c>
      <c r="C34" s="8" t="s">
        <v>464</v>
      </c>
      <c r="D34" s="8" t="s">
        <v>465</v>
      </c>
      <c r="E34" s="8" t="s">
        <v>495</v>
      </c>
      <c r="F34" s="8" t="s">
        <v>131</v>
      </c>
      <c r="G34" s="8" t="s">
        <v>134</v>
      </c>
      <c r="H34" s="8" t="s">
        <v>356</v>
      </c>
      <c r="I34" s="9" t="n">
        <v>113000</v>
      </c>
      <c r="J34" s="9" t="n">
        <v>113000</v>
      </c>
      <c r="K34" s="8" t="s">
        <v>134</v>
      </c>
      <c r="L34" s="8" t="s">
        <v>135</v>
      </c>
      <c r="M34" s="10" t="n">
        <v>3.1</v>
      </c>
      <c r="N34" s="8" t="s">
        <v>136</v>
      </c>
      <c r="O34" s="8" t="s">
        <v>242</v>
      </c>
      <c r="P34" s="11" t="s">
        <v>135</v>
      </c>
      <c r="Q34" s="8" t="s">
        <v>326</v>
      </c>
      <c r="R34" s="12" t="n">
        <v>6</v>
      </c>
      <c r="S34" s="13" t="s">
        <v>135</v>
      </c>
      <c r="T34" s="13" t="n">
        <v>70</v>
      </c>
      <c r="U34" s="12" t="s">
        <v>135</v>
      </c>
      <c r="V34" s="13" t="n">
        <v>128</v>
      </c>
      <c r="W34" s="8" t="s">
        <v>140</v>
      </c>
      <c r="X34" s="13" t="n">
        <v>93</v>
      </c>
      <c r="Y34" s="13" t="n">
        <v>1000</v>
      </c>
      <c r="Z34" s="11" t="s">
        <v>496</v>
      </c>
      <c r="AA34" s="11" t="s">
        <v>148</v>
      </c>
      <c r="AB34" s="22" t="s">
        <v>135</v>
      </c>
      <c r="AC34" s="22" t="s">
        <v>135</v>
      </c>
      <c r="AD34" s="22" t="s">
        <v>135</v>
      </c>
      <c r="AE34" s="22" t="s">
        <v>135</v>
      </c>
      <c r="AF34" s="22" t="s">
        <v>135</v>
      </c>
      <c r="AG34" s="22" t="s">
        <v>135</v>
      </c>
      <c r="AH34" s="13" t="n">
        <v>777</v>
      </c>
      <c r="AI34" s="14" t="n">
        <v>33.2</v>
      </c>
      <c r="AJ34" s="8" t="s">
        <v>314</v>
      </c>
      <c r="AK34" s="11" t="s">
        <v>247</v>
      </c>
      <c r="AL34" s="8" t="s">
        <v>145</v>
      </c>
      <c r="AM34" s="11" t="s">
        <v>315</v>
      </c>
      <c r="AN34" s="11" t="s">
        <v>484</v>
      </c>
      <c r="AO34" s="14" t="n">
        <v>2</v>
      </c>
      <c r="AP34" s="8" t="s">
        <v>135</v>
      </c>
      <c r="AQ34" s="8" t="s">
        <v>135</v>
      </c>
      <c r="AR34" s="11" t="s">
        <v>497</v>
      </c>
      <c r="AS34" s="11" t="s">
        <v>205</v>
      </c>
      <c r="AT34" s="11" t="s">
        <v>269</v>
      </c>
      <c r="AU34" s="11" t="s">
        <v>269</v>
      </c>
      <c r="AV34" s="11" t="s">
        <v>465</v>
      </c>
      <c r="AW34" s="11" t="s">
        <v>270</v>
      </c>
      <c r="AX34" s="11" t="s">
        <v>498</v>
      </c>
      <c r="AY34" s="13" t="n">
        <f aca="false">IF(AND(ISNUMBER($J34),ISNUMBER($M34)),$J34/$M34,"n/a")</f>
        <v>36451.6129032258</v>
      </c>
      <c r="AZ34" s="12" t="n">
        <f aca="false">IF(AND(ISNUMBER($V34),ISNUMBER($M34)),$V34/$M34,"n/a")</f>
        <v>41.2903225806452</v>
      </c>
      <c r="BA34" s="8" t="str">
        <f aca="false">IF(NOT(ISNUMBER($J34)),"n/a",IF($J34&lt;70000,"1. &lt;Rs70k",IF($J34&lt;100000,"2. Rs70k-1L",IF($J34&lt;150000,"3. Rs1-1.5L",IF($J34&lt;200000,"4. Rs1.5-2L",IF($J34&lt;300000,"5. Rs2-3L","6. &gt;Rs3L"))))))</f>
        <v>3. Rs1-1.5L</v>
      </c>
      <c r="BB34" s="8" t="s">
        <v>28</v>
      </c>
      <c r="BC34" s="8" t="s">
        <v>499</v>
      </c>
      <c r="BD34" s="11" t="s">
        <v>500</v>
      </c>
      <c r="BE34" s="11" t="s">
        <v>501</v>
      </c>
    </row>
    <row r="35" customFormat="false" ht="57.75" hidden="false" customHeight="true" outlineLevel="0" collapsed="false">
      <c r="A35" s="15" t="s">
        <v>502</v>
      </c>
      <c r="B35" s="15" t="s">
        <v>480</v>
      </c>
      <c r="C35" s="15" t="s">
        <v>464</v>
      </c>
      <c r="D35" s="15" t="s">
        <v>465</v>
      </c>
      <c r="E35" s="15" t="s">
        <v>503</v>
      </c>
      <c r="F35" s="15" t="s">
        <v>131</v>
      </c>
      <c r="G35" s="15" t="s">
        <v>489</v>
      </c>
      <c r="H35" s="15" t="s">
        <v>417</v>
      </c>
      <c r="I35" s="16" t="s">
        <v>135</v>
      </c>
      <c r="J35" s="16" t="s">
        <v>135</v>
      </c>
      <c r="K35" s="15" t="s">
        <v>134</v>
      </c>
      <c r="L35" s="15" t="s">
        <v>135</v>
      </c>
      <c r="M35" s="17" t="n">
        <v>3.4</v>
      </c>
      <c r="N35" s="15" t="s">
        <v>504</v>
      </c>
      <c r="O35" s="15" t="s">
        <v>242</v>
      </c>
      <c r="P35" s="18" t="s">
        <v>135</v>
      </c>
      <c r="Q35" s="15" t="s">
        <v>326</v>
      </c>
      <c r="R35" s="19" t="n">
        <v>6</v>
      </c>
      <c r="S35" s="20" t="s">
        <v>135</v>
      </c>
      <c r="T35" s="20" t="n">
        <v>70</v>
      </c>
      <c r="U35" s="19" t="n">
        <v>4.2</v>
      </c>
      <c r="V35" s="20" t="n">
        <v>146</v>
      </c>
      <c r="W35" s="15" t="s">
        <v>140</v>
      </c>
      <c r="X35" s="20" t="n">
        <v>105</v>
      </c>
      <c r="Y35" s="20" t="s">
        <v>135</v>
      </c>
      <c r="Z35" s="18" t="s">
        <v>505</v>
      </c>
      <c r="AA35" s="18" t="s">
        <v>148</v>
      </c>
      <c r="AB35" s="23" t="s">
        <v>135</v>
      </c>
      <c r="AC35" s="23" t="s">
        <v>135</v>
      </c>
      <c r="AD35" s="23" t="s">
        <v>135</v>
      </c>
      <c r="AE35" s="23" t="s">
        <v>135</v>
      </c>
      <c r="AF35" s="23" t="s">
        <v>135</v>
      </c>
      <c r="AG35" s="23" t="s">
        <v>135</v>
      </c>
      <c r="AH35" s="20" t="n">
        <v>777</v>
      </c>
      <c r="AI35" s="21" t="n">
        <v>33.2</v>
      </c>
      <c r="AJ35" s="15" t="s">
        <v>314</v>
      </c>
      <c r="AK35" s="18" t="s">
        <v>247</v>
      </c>
      <c r="AL35" s="15" t="s">
        <v>145</v>
      </c>
      <c r="AM35" s="18" t="s">
        <v>315</v>
      </c>
      <c r="AN35" s="18" t="s">
        <v>484</v>
      </c>
      <c r="AO35" s="21" t="n">
        <v>2</v>
      </c>
      <c r="AP35" s="15" t="s">
        <v>135</v>
      </c>
      <c r="AQ35" s="15" t="s">
        <v>135</v>
      </c>
      <c r="AR35" s="18" t="s">
        <v>506</v>
      </c>
      <c r="AS35" s="18" t="s">
        <v>205</v>
      </c>
      <c r="AT35" s="18" t="s">
        <v>269</v>
      </c>
      <c r="AU35" s="18" t="s">
        <v>269</v>
      </c>
      <c r="AV35" s="18" t="s">
        <v>465</v>
      </c>
      <c r="AW35" s="18" t="s">
        <v>270</v>
      </c>
      <c r="AX35" s="18" t="s">
        <v>135</v>
      </c>
      <c r="AY35" s="20" t="str">
        <f aca="false">IF(AND(ISNUMBER($J35),ISNUMBER($M35)),$J35/$M35,"n/a")</f>
        <v>n/a</v>
      </c>
      <c r="AZ35" s="19" t="n">
        <f aca="false">IF(AND(ISNUMBER($V35),ISNUMBER($M35)),$V35/$M35,"n/a")</f>
        <v>42.9411764705882</v>
      </c>
      <c r="BA35" s="15" t="str">
        <f aca="false">IF(NOT(ISNUMBER($J35)),"n/a",IF($J35&lt;70000,"1. &lt;Rs70k",IF($J35&lt;100000,"2. Rs70k-1L",IF($J35&lt;150000,"3. Rs1-1.5L",IF($J35&lt;200000,"4. Rs1.5-2L",IF($J35&lt;300000,"5. Rs2-3L","6. &gt;Rs3L"))))))</f>
        <v>n/a</v>
      </c>
      <c r="BB35" s="15" t="s">
        <v>28</v>
      </c>
      <c r="BC35" s="15" t="s">
        <v>476</v>
      </c>
      <c r="BD35" s="18" t="s">
        <v>135</v>
      </c>
      <c r="BE35" s="18" t="s">
        <v>135</v>
      </c>
    </row>
    <row r="36" customFormat="false" ht="57.75" hidden="false" customHeight="true" outlineLevel="0" collapsed="false">
      <c r="A36" s="8" t="s">
        <v>507</v>
      </c>
      <c r="B36" s="8" t="s">
        <v>480</v>
      </c>
      <c r="C36" s="8" t="s">
        <v>464</v>
      </c>
      <c r="D36" s="8" t="s">
        <v>465</v>
      </c>
      <c r="E36" s="8" t="s">
        <v>508</v>
      </c>
      <c r="F36" s="8" t="s">
        <v>131</v>
      </c>
      <c r="G36" s="8" t="s">
        <v>467</v>
      </c>
      <c r="H36" s="8" t="s">
        <v>417</v>
      </c>
      <c r="I36" s="9" t="n">
        <v>110000</v>
      </c>
      <c r="J36" s="9" t="n">
        <v>120000</v>
      </c>
      <c r="K36" s="8" t="s">
        <v>134</v>
      </c>
      <c r="L36" s="8" t="s">
        <v>509</v>
      </c>
      <c r="M36" s="10" t="n">
        <v>3.4</v>
      </c>
      <c r="N36" s="8" t="s">
        <v>504</v>
      </c>
      <c r="O36" s="8" t="s">
        <v>242</v>
      </c>
      <c r="P36" s="11" t="s">
        <v>135</v>
      </c>
      <c r="Q36" s="8" t="s">
        <v>326</v>
      </c>
      <c r="R36" s="12" t="n">
        <v>6</v>
      </c>
      <c r="S36" s="13" t="s">
        <v>135</v>
      </c>
      <c r="T36" s="13" t="n">
        <v>80</v>
      </c>
      <c r="U36" s="12" t="n">
        <v>3.1</v>
      </c>
      <c r="V36" s="13" t="n">
        <v>146</v>
      </c>
      <c r="W36" s="8" t="s">
        <v>140</v>
      </c>
      <c r="X36" s="13" t="n">
        <v>105</v>
      </c>
      <c r="Y36" s="13" t="n">
        <v>1000</v>
      </c>
      <c r="Z36" s="11" t="s">
        <v>510</v>
      </c>
      <c r="AA36" s="11" t="s">
        <v>511</v>
      </c>
      <c r="AB36" s="22" t="s">
        <v>135</v>
      </c>
      <c r="AC36" s="22" t="s">
        <v>135</v>
      </c>
      <c r="AD36" s="22" t="s">
        <v>135</v>
      </c>
      <c r="AE36" s="22" t="s">
        <v>135</v>
      </c>
      <c r="AF36" s="22" t="s">
        <v>135</v>
      </c>
      <c r="AG36" s="22" t="s">
        <v>135</v>
      </c>
      <c r="AH36" s="13" t="n">
        <v>777</v>
      </c>
      <c r="AI36" s="14" t="n">
        <v>33.2</v>
      </c>
      <c r="AJ36" s="8" t="s">
        <v>314</v>
      </c>
      <c r="AK36" s="11" t="s">
        <v>265</v>
      </c>
      <c r="AL36" s="8" t="s">
        <v>145</v>
      </c>
      <c r="AM36" s="11" t="s">
        <v>512</v>
      </c>
      <c r="AN36" s="11" t="s">
        <v>513</v>
      </c>
      <c r="AO36" s="14" t="n">
        <v>3</v>
      </c>
      <c r="AP36" s="8" t="s">
        <v>135</v>
      </c>
      <c r="AQ36" s="8" t="s">
        <v>135</v>
      </c>
      <c r="AR36" s="11" t="s">
        <v>514</v>
      </c>
      <c r="AS36" s="11" t="s">
        <v>205</v>
      </c>
      <c r="AT36" s="11" t="s">
        <v>269</v>
      </c>
      <c r="AU36" s="11" t="s">
        <v>269</v>
      </c>
      <c r="AV36" s="11" t="s">
        <v>465</v>
      </c>
      <c r="AW36" s="11" t="s">
        <v>270</v>
      </c>
      <c r="AX36" s="11" t="s">
        <v>515</v>
      </c>
      <c r="AY36" s="13" t="n">
        <f aca="false">IF(AND(ISNUMBER($J36),ISNUMBER($M36)),$J36/$M36,"n/a")</f>
        <v>35294.1176470588</v>
      </c>
      <c r="AZ36" s="12" t="n">
        <f aca="false">IF(AND(ISNUMBER($V36),ISNUMBER($M36)),$V36/$M36,"n/a")</f>
        <v>42.9411764705882</v>
      </c>
      <c r="BA36" s="8" t="str">
        <f aca="false">IF(NOT(ISNUMBER($J36)),"n/a",IF($J36&lt;70000,"1. &lt;Rs70k",IF($J36&lt;100000,"2. Rs70k-1L",IF($J36&lt;150000,"3. Rs1-1.5L",IF($J36&lt;200000,"4. Rs1.5-2L",IF($J36&lt;300000,"5. Rs2-3L","6. &gt;Rs3L"))))))</f>
        <v>3. Rs1-1.5L</v>
      </c>
      <c r="BB36" s="8" t="s">
        <v>28</v>
      </c>
      <c r="BC36" s="8" t="s">
        <v>516</v>
      </c>
      <c r="BD36" s="11" t="s">
        <v>373</v>
      </c>
      <c r="BE36" s="11" t="s">
        <v>517</v>
      </c>
    </row>
    <row r="37" customFormat="false" ht="57.75" hidden="false" customHeight="true" outlineLevel="0" collapsed="false">
      <c r="A37" s="15" t="s">
        <v>518</v>
      </c>
      <c r="B37" s="15" t="s">
        <v>480</v>
      </c>
      <c r="C37" s="15" t="s">
        <v>464</v>
      </c>
      <c r="D37" s="15" t="s">
        <v>465</v>
      </c>
      <c r="E37" s="15" t="s">
        <v>519</v>
      </c>
      <c r="F37" s="15" t="s">
        <v>131</v>
      </c>
      <c r="G37" s="15" t="s">
        <v>520</v>
      </c>
      <c r="H37" s="15" t="s">
        <v>385</v>
      </c>
      <c r="I37" s="16" t="n">
        <v>143990</v>
      </c>
      <c r="J37" s="16" t="n">
        <v>150990</v>
      </c>
      <c r="K37" s="15" t="s">
        <v>134</v>
      </c>
      <c r="L37" s="15" t="s">
        <v>135</v>
      </c>
      <c r="M37" s="17" t="n">
        <v>4.4</v>
      </c>
      <c r="N37" s="15" t="s">
        <v>521</v>
      </c>
      <c r="O37" s="15" t="s">
        <v>242</v>
      </c>
      <c r="P37" s="18" t="s">
        <v>135</v>
      </c>
      <c r="Q37" s="15" t="s">
        <v>326</v>
      </c>
      <c r="R37" s="19" t="n">
        <v>6</v>
      </c>
      <c r="S37" s="20" t="s">
        <v>135</v>
      </c>
      <c r="T37" s="20" t="n">
        <v>90</v>
      </c>
      <c r="U37" s="19" t="n">
        <v>3.1</v>
      </c>
      <c r="V37" s="20" t="n">
        <v>187</v>
      </c>
      <c r="W37" s="15" t="s">
        <v>140</v>
      </c>
      <c r="X37" s="20" t="n">
        <v>140</v>
      </c>
      <c r="Y37" s="20" t="n">
        <v>1000</v>
      </c>
      <c r="Z37" s="18" t="s">
        <v>496</v>
      </c>
      <c r="AA37" s="18" t="s">
        <v>148</v>
      </c>
      <c r="AB37" s="23" t="s">
        <v>135</v>
      </c>
      <c r="AC37" s="23" t="s">
        <v>135</v>
      </c>
      <c r="AD37" s="23" t="s">
        <v>135</v>
      </c>
      <c r="AE37" s="23" t="s">
        <v>135</v>
      </c>
      <c r="AF37" s="23" t="s">
        <v>135</v>
      </c>
      <c r="AG37" s="23" t="s">
        <v>135</v>
      </c>
      <c r="AH37" s="20" t="n">
        <v>777</v>
      </c>
      <c r="AI37" s="21" t="n">
        <v>33.2</v>
      </c>
      <c r="AJ37" s="15" t="s">
        <v>314</v>
      </c>
      <c r="AK37" s="18" t="s">
        <v>265</v>
      </c>
      <c r="AL37" s="15" t="s">
        <v>145</v>
      </c>
      <c r="AM37" s="18" t="s">
        <v>512</v>
      </c>
      <c r="AN37" s="18" t="s">
        <v>522</v>
      </c>
      <c r="AO37" s="21" t="n">
        <v>3</v>
      </c>
      <c r="AP37" s="15" t="s">
        <v>135</v>
      </c>
      <c r="AQ37" s="15" t="s">
        <v>135</v>
      </c>
      <c r="AR37" s="18" t="s">
        <v>523</v>
      </c>
      <c r="AS37" s="18" t="s">
        <v>205</v>
      </c>
      <c r="AT37" s="18" t="s">
        <v>269</v>
      </c>
      <c r="AU37" s="18" t="s">
        <v>269</v>
      </c>
      <c r="AV37" s="18" t="s">
        <v>465</v>
      </c>
      <c r="AW37" s="18" t="s">
        <v>270</v>
      </c>
      <c r="AX37" s="18" t="s">
        <v>524</v>
      </c>
      <c r="AY37" s="20" t="n">
        <f aca="false">IF(AND(ISNUMBER($J37),ISNUMBER($M37)),$J37/$M37,"n/a")</f>
        <v>34315.9090909091</v>
      </c>
      <c r="AZ37" s="19" t="n">
        <f aca="false">IF(AND(ISNUMBER($V37),ISNUMBER($M37)),$V37/$M37,"n/a")</f>
        <v>42.5</v>
      </c>
      <c r="BA37" s="15" t="str">
        <f aca="false">IF(NOT(ISNUMBER($J37)),"n/a",IF($J37&lt;70000,"1. &lt;Rs70k",IF($J37&lt;100000,"2. Rs70k-1L",IF($J37&lt;150000,"3. Rs1-1.5L",IF($J37&lt;200000,"4. Rs1.5-2L",IF($J37&lt;300000,"5. Rs2-3L","6. &gt;Rs3L"))))))</f>
        <v>4. Rs1.5-2L</v>
      </c>
      <c r="BB37" s="15" t="s">
        <v>28</v>
      </c>
      <c r="BC37" s="15" t="s">
        <v>525</v>
      </c>
      <c r="BD37" s="18" t="s">
        <v>526</v>
      </c>
      <c r="BE37" s="18" t="s">
        <v>527</v>
      </c>
    </row>
    <row r="38" customFormat="false" ht="57.75" hidden="false" customHeight="true" outlineLevel="0" collapsed="false">
      <c r="A38" s="8" t="s">
        <v>528</v>
      </c>
      <c r="B38" s="8" t="s">
        <v>480</v>
      </c>
      <c r="C38" s="8" t="s">
        <v>464</v>
      </c>
      <c r="D38" s="8" t="s">
        <v>529</v>
      </c>
      <c r="E38" s="8" t="s">
        <v>530</v>
      </c>
      <c r="F38" s="8" t="s">
        <v>531</v>
      </c>
      <c r="G38" s="8" t="s">
        <v>275</v>
      </c>
      <c r="H38" s="8" t="s">
        <v>532</v>
      </c>
      <c r="I38" s="9" t="s">
        <v>135</v>
      </c>
      <c r="J38" s="9" t="n">
        <v>120000</v>
      </c>
      <c r="K38" s="8" t="s">
        <v>134</v>
      </c>
      <c r="L38" s="8" t="s">
        <v>135</v>
      </c>
      <c r="M38" s="10" t="n">
        <v>3.94</v>
      </c>
      <c r="N38" s="8" t="s">
        <v>482</v>
      </c>
      <c r="O38" s="8" t="s">
        <v>242</v>
      </c>
      <c r="P38" s="11" t="s">
        <v>135</v>
      </c>
      <c r="Q38" s="8" t="s">
        <v>326</v>
      </c>
      <c r="R38" s="12" t="n">
        <v>6</v>
      </c>
      <c r="S38" s="13" t="s">
        <v>135</v>
      </c>
      <c r="T38" s="13" t="n">
        <v>80</v>
      </c>
      <c r="U38" s="12" t="s">
        <v>135</v>
      </c>
      <c r="V38" s="13" t="n">
        <v>165</v>
      </c>
      <c r="W38" s="8" t="s">
        <v>140</v>
      </c>
      <c r="X38" s="13" t="n">
        <v>115</v>
      </c>
      <c r="Y38" s="13" t="s">
        <v>135</v>
      </c>
      <c r="Z38" s="11" t="s">
        <v>135</v>
      </c>
      <c r="AA38" s="11" t="s">
        <v>148</v>
      </c>
      <c r="AB38" s="22" t="s">
        <v>135</v>
      </c>
      <c r="AC38" s="22" t="s">
        <v>135</v>
      </c>
      <c r="AD38" s="22" t="s">
        <v>135</v>
      </c>
      <c r="AE38" s="22" t="s">
        <v>135</v>
      </c>
      <c r="AF38" s="22" t="s">
        <v>135</v>
      </c>
      <c r="AG38" s="22" t="s">
        <v>135</v>
      </c>
      <c r="AH38" s="22" t="s">
        <v>135</v>
      </c>
      <c r="AI38" s="8" t="s">
        <v>135</v>
      </c>
      <c r="AJ38" s="8" t="s">
        <v>314</v>
      </c>
      <c r="AK38" s="11" t="s">
        <v>265</v>
      </c>
      <c r="AL38" s="8" t="s">
        <v>145</v>
      </c>
      <c r="AM38" s="11" t="s">
        <v>444</v>
      </c>
      <c r="AN38" s="11" t="s">
        <v>331</v>
      </c>
      <c r="AO38" s="14" t="n">
        <v>3</v>
      </c>
      <c r="AP38" s="8" t="s">
        <v>148</v>
      </c>
      <c r="AQ38" s="8" t="s">
        <v>148</v>
      </c>
      <c r="AR38" s="11" t="s">
        <v>533</v>
      </c>
      <c r="AS38" s="11" t="s">
        <v>205</v>
      </c>
      <c r="AT38" s="11" t="s">
        <v>269</v>
      </c>
      <c r="AU38" s="11" t="s">
        <v>269</v>
      </c>
      <c r="AV38" s="11" t="s">
        <v>534</v>
      </c>
      <c r="AW38" s="11" t="s">
        <v>270</v>
      </c>
      <c r="AX38" s="11" t="s">
        <v>135</v>
      </c>
      <c r="AY38" s="13" t="n">
        <f aca="false">IF(AND(ISNUMBER($J38),ISNUMBER($M38)),$J38/$M38,"n/a")</f>
        <v>30456.8527918782</v>
      </c>
      <c r="AZ38" s="12" t="n">
        <f aca="false">IF(AND(ISNUMBER($V38),ISNUMBER($M38)),$V38/$M38,"n/a")</f>
        <v>41.8781725888325</v>
      </c>
      <c r="BA38" s="8" t="str">
        <f aca="false">IF(NOT(ISNUMBER($J38)),"n/a",IF($J38&lt;70000,"1. &lt;Rs70k",IF($J38&lt;100000,"2. Rs70k-1L",IF($J38&lt;150000,"3. Rs1-1.5L",IF($J38&lt;200000,"4. Rs1.5-2L",IF($J38&lt;300000,"5. Rs2-3L","6. &gt;Rs3L"))))))</f>
        <v>3. Rs1-1.5L</v>
      </c>
      <c r="BB38" s="8" t="s">
        <v>32</v>
      </c>
      <c r="BC38" s="8" t="s">
        <v>419</v>
      </c>
      <c r="BD38" s="11" t="s">
        <v>135</v>
      </c>
      <c r="BE38" s="11" t="s">
        <v>535</v>
      </c>
    </row>
    <row r="39" customFormat="false" ht="57.75" hidden="false" customHeight="true" outlineLevel="0" collapsed="false">
      <c r="A39" s="15" t="s">
        <v>536</v>
      </c>
      <c r="B39" s="15" t="s">
        <v>537</v>
      </c>
      <c r="C39" s="15" t="s">
        <v>538</v>
      </c>
      <c r="D39" s="15" t="s">
        <v>539</v>
      </c>
      <c r="E39" s="15" t="s">
        <v>540</v>
      </c>
      <c r="F39" s="15" t="s">
        <v>131</v>
      </c>
      <c r="G39" s="15" t="s">
        <v>541</v>
      </c>
      <c r="H39" s="15" t="s">
        <v>542</v>
      </c>
      <c r="I39" s="16" t="n">
        <v>117000</v>
      </c>
      <c r="J39" s="16" t="n">
        <v>118147</v>
      </c>
      <c r="K39" s="15" t="s">
        <v>134</v>
      </c>
      <c r="L39" s="15" t="s">
        <v>543</v>
      </c>
      <c r="M39" s="17" t="n">
        <v>3</v>
      </c>
      <c r="N39" s="15" t="s">
        <v>544</v>
      </c>
      <c r="O39" s="15" t="s">
        <v>242</v>
      </c>
      <c r="P39" s="18" t="s">
        <v>545</v>
      </c>
      <c r="Q39" s="15" t="s">
        <v>326</v>
      </c>
      <c r="R39" s="19" t="n">
        <v>6</v>
      </c>
      <c r="S39" s="20" t="n">
        <v>22</v>
      </c>
      <c r="T39" s="20" t="n">
        <v>80</v>
      </c>
      <c r="U39" s="19" t="n">
        <v>7.3</v>
      </c>
      <c r="V39" s="20" t="n">
        <v>102</v>
      </c>
      <c r="W39" s="15" t="s">
        <v>140</v>
      </c>
      <c r="X39" s="20" t="n">
        <v>75</v>
      </c>
      <c r="Y39" s="20" t="s">
        <v>135</v>
      </c>
      <c r="Z39" s="18" t="s">
        <v>546</v>
      </c>
      <c r="AA39" s="18" t="s">
        <v>547</v>
      </c>
      <c r="AB39" s="20" t="n">
        <v>118</v>
      </c>
      <c r="AC39" s="20" t="n">
        <v>1830</v>
      </c>
      <c r="AD39" s="20" t="n">
        <v>700</v>
      </c>
      <c r="AE39" s="20" t="n">
        <v>1141</v>
      </c>
      <c r="AF39" s="20" t="n">
        <v>1310</v>
      </c>
      <c r="AG39" s="20" t="n">
        <v>171</v>
      </c>
      <c r="AH39" s="20" t="n">
        <v>765</v>
      </c>
      <c r="AI39" s="15" t="s">
        <v>135</v>
      </c>
      <c r="AJ39" s="15" t="s">
        <v>314</v>
      </c>
      <c r="AK39" s="18" t="s">
        <v>265</v>
      </c>
      <c r="AL39" s="15" t="s">
        <v>145</v>
      </c>
      <c r="AM39" s="18" t="s">
        <v>548</v>
      </c>
      <c r="AN39" s="18" t="s">
        <v>484</v>
      </c>
      <c r="AO39" s="21" t="n">
        <v>3</v>
      </c>
      <c r="AP39" s="15" t="s">
        <v>135</v>
      </c>
      <c r="AQ39" s="15" t="s">
        <v>135</v>
      </c>
      <c r="AR39" s="18" t="s">
        <v>549</v>
      </c>
      <c r="AS39" s="18" t="s">
        <v>135</v>
      </c>
      <c r="AT39" s="18" t="s">
        <v>269</v>
      </c>
      <c r="AU39" s="18" t="s">
        <v>550</v>
      </c>
      <c r="AV39" s="18" t="s">
        <v>551</v>
      </c>
      <c r="AW39" s="18" t="s">
        <v>552</v>
      </c>
      <c r="AX39" s="18" t="s">
        <v>553</v>
      </c>
      <c r="AY39" s="20" t="n">
        <f aca="false">IF(AND(ISNUMBER($J39),ISNUMBER($M39)),$J39/$M39,"n/a")</f>
        <v>39382.3333333333</v>
      </c>
      <c r="AZ39" s="19" t="n">
        <f aca="false">IF(AND(ISNUMBER($V39),ISNUMBER($M39)),$V39/$M39,"n/a")</f>
        <v>34</v>
      </c>
      <c r="BA39" s="15" t="str">
        <f aca="false">IF(NOT(ISNUMBER($J39)),"n/a",IF($J39&lt;70000,"1. &lt;Rs70k",IF($J39&lt;100000,"2. Rs70k-1L",IF($J39&lt;150000,"3. Rs1-1.5L",IF($J39&lt;200000,"4. Rs1.5-2L",IF($J39&lt;300000,"5. Rs2-3L","6. &gt;Rs3L"))))))</f>
        <v>3. Rs1-1.5L</v>
      </c>
      <c r="BB39" s="15" t="s">
        <v>28</v>
      </c>
      <c r="BC39" s="15" t="s">
        <v>554</v>
      </c>
      <c r="BD39" s="18" t="s">
        <v>431</v>
      </c>
      <c r="BE39" s="18" t="s">
        <v>555</v>
      </c>
    </row>
    <row r="40" customFormat="false" ht="57.75" hidden="false" customHeight="true" outlineLevel="0" collapsed="false">
      <c r="A40" s="8" t="s">
        <v>556</v>
      </c>
      <c r="B40" s="8" t="s">
        <v>537</v>
      </c>
      <c r="C40" s="8" t="s">
        <v>538</v>
      </c>
      <c r="D40" s="8" t="s">
        <v>539</v>
      </c>
      <c r="E40" s="8" t="s">
        <v>557</v>
      </c>
      <c r="F40" s="8" t="s">
        <v>131</v>
      </c>
      <c r="G40" s="8" t="s">
        <v>541</v>
      </c>
      <c r="H40" s="8" t="s">
        <v>542</v>
      </c>
      <c r="I40" s="9" t="n">
        <v>151000</v>
      </c>
      <c r="J40" s="9" t="n">
        <v>152747</v>
      </c>
      <c r="K40" s="8" t="s">
        <v>134</v>
      </c>
      <c r="L40" s="8" t="s">
        <v>558</v>
      </c>
      <c r="M40" s="10" t="n">
        <v>3</v>
      </c>
      <c r="N40" s="8" t="s">
        <v>559</v>
      </c>
      <c r="O40" s="8" t="s">
        <v>242</v>
      </c>
      <c r="P40" s="11" t="s">
        <v>545</v>
      </c>
      <c r="Q40" s="8" t="s">
        <v>326</v>
      </c>
      <c r="R40" s="12" t="n">
        <v>6</v>
      </c>
      <c r="S40" s="13" t="n">
        <v>22</v>
      </c>
      <c r="T40" s="13" t="n">
        <v>80</v>
      </c>
      <c r="U40" s="12" t="n">
        <v>7.3</v>
      </c>
      <c r="V40" s="13" t="n">
        <v>102</v>
      </c>
      <c r="W40" s="8" t="s">
        <v>140</v>
      </c>
      <c r="X40" s="13" t="n">
        <v>75</v>
      </c>
      <c r="Y40" s="13" t="s">
        <v>135</v>
      </c>
      <c r="Z40" s="11" t="s">
        <v>560</v>
      </c>
      <c r="AA40" s="11" t="s">
        <v>561</v>
      </c>
      <c r="AB40" s="13" t="n">
        <v>118</v>
      </c>
      <c r="AC40" s="13" t="n">
        <v>1830</v>
      </c>
      <c r="AD40" s="13" t="n">
        <v>700</v>
      </c>
      <c r="AE40" s="13" t="n">
        <v>1141</v>
      </c>
      <c r="AF40" s="13" t="n">
        <v>1310</v>
      </c>
      <c r="AG40" s="13" t="n">
        <v>171</v>
      </c>
      <c r="AH40" s="13" t="n">
        <v>765</v>
      </c>
      <c r="AI40" s="8" t="s">
        <v>135</v>
      </c>
      <c r="AJ40" s="8" t="s">
        <v>314</v>
      </c>
      <c r="AK40" s="11" t="s">
        <v>265</v>
      </c>
      <c r="AL40" s="8" t="s">
        <v>145</v>
      </c>
      <c r="AM40" s="11" t="s">
        <v>444</v>
      </c>
      <c r="AN40" s="11" t="s">
        <v>562</v>
      </c>
      <c r="AO40" s="14" t="n">
        <v>3</v>
      </c>
      <c r="AP40" s="8" t="s">
        <v>135</v>
      </c>
      <c r="AQ40" s="8" t="s">
        <v>135</v>
      </c>
      <c r="AR40" s="11" t="s">
        <v>563</v>
      </c>
      <c r="AS40" s="11" t="s">
        <v>135</v>
      </c>
      <c r="AT40" s="11" t="s">
        <v>269</v>
      </c>
      <c r="AU40" s="11" t="s">
        <v>564</v>
      </c>
      <c r="AV40" s="11" t="s">
        <v>551</v>
      </c>
      <c r="AW40" s="11" t="s">
        <v>552</v>
      </c>
      <c r="AX40" s="11" t="s">
        <v>565</v>
      </c>
      <c r="AY40" s="13" t="n">
        <f aca="false">IF(AND(ISNUMBER($J40),ISNUMBER($M40)),$J40/$M40,"n/a")</f>
        <v>50915.6666666667</v>
      </c>
      <c r="AZ40" s="12" t="n">
        <f aca="false">IF(AND(ISNUMBER($V40),ISNUMBER($M40)),$V40/$M40,"n/a")</f>
        <v>34</v>
      </c>
      <c r="BA40" s="8" t="str">
        <f aca="false">IF(NOT(ISNUMBER($J40)),"n/a",IF($J40&lt;70000,"1. &lt;Rs70k",IF($J40&lt;100000,"2. Rs70k-1L",IF($J40&lt;150000,"3. Rs1-1.5L",IF($J40&lt;200000,"4. Rs1.5-2L",IF($J40&lt;300000,"5. Rs2-3L","6. &gt;Rs3L"))))))</f>
        <v>4. Rs1.5-2L</v>
      </c>
      <c r="BB40" s="8" t="s">
        <v>28</v>
      </c>
      <c r="BC40" s="8" t="s">
        <v>281</v>
      </c>
      <c r="BD40" s="11" t="s">
        <v>431</v>
      </c>
      <c r="BE40" s="11" t="s">
        <v>135</v>
      </c>
    </row>
    <row r="41" customFormat="false" ht="57.75" hidden="false" customHeight="true" outlineLevel="0" collapsed="false">
      <c r="A41" s="15" t="s">
        <v>566</v>
      </c>
      <c r="B41" s="15" t="s">
        <v>537</v>
      </c>
      <c r="C41" s="15" t="s">
        <v>538</v>
      </c>
      <c r="D41" s="15" t="s">
        <v>567</v>
      </c>
      <c r="E41" s="15" t="s">
        <v>540</v>
      </c>
      <c r="F41" s="15" t="s">
        <v>131</v>
      </c>
      <c r="G41" s="15" t="s">
        <v>541</v>
      </c>
      <c r="H41" s="15" t="s">
        <v>343</v>
      </c>
      <c r="I41" s="16" t="n">
        <v>90022</v>
      </c>
      <c r="J41" s="16" t="n">
        <v>90022</v>
      </c>
      <c r="K41" s="15" t="s">
        <v>134</v>
      </c>
      <c r="L41" s="15" t="s">
        <v>135</v>
      </c>
      <c r="M41" s="17" t="n">
        <v>1.5</v>
      </c>
      <c r="N41" s="15" t="s">
        <v>136</v>
      </c>
      <c r="O41" s="15" t="s">
        <v>242</v>
      </c>
      <c r="P41" s="18" t="s">
        <v>135</v>
      </c>
      <c r="Q41" s="15" t="s">
        <v>568</v>
      </c>
      <c r="R41" s="19" t="n">
        <v>1.8</v>
      </c>
      <c r="S41" s="20" t="n">
        <v>77</v>
      </c>
      <c r="T41" s="20" t="n">
        <v>50</v>
      </c>
      <c r="U41" s="19" t="s">
        <v>135</v>
      </c>
      <c r="V41" s="20" t="n">
        <v>80</v>
      </c>
      <c r="W41" s="15" t="s">
        <v>140</v>
      </c>
      <c r="X41" s="20" t="n">
        <v>58</v>
      </c>
      <c r="Y41" s="20" t="n">
        <v>330</v>
      </c>
      <c r="Z41" s="18" t="s">
        <v>569</v>
      </c>
      <c r="AA41" s="18" t="s">
        <v>264</v>
      </c>
      <c r="AB41" s="20" t="n">
        <v>116</v>
      </c>
      <c r="AC41" s="20" t="n">
        <v>1815</v>
      </c>
      <c r="AD41" s="20" t="n">
        <v>700</v>
      </c>
      <c r="AE41" s="20" t="n">
        <v>1125</v>
      </c>
      <c r="AF41" s="20" t="n">
        <v>1300</v>
      </c>
      <c r="AG41" s="20" t="n">
        <v>170</v>
      </c>
      <c r="AH41" s="20" t="n">
        <v>765</v>
      </c>
      <c r="AI41" s="21" t="n">
        <v>26</v>
      </c>
      <c r="AJ41" s="15" t="s">
        <v>570</v>
      </c>
      <c r="AK41" s="18" t="s">
        <v>247</v>
      </c>
      <c r="AL41" s="15" t="s">
        <v>145</v>
      </c>
      <c r="AM41" s="18" t="s">
        <v>548</v>
      </c>
      <c r="AN41" s="18" t="s">
        <v>571</v>
      </c>
      <c r="AO41" s="21" t="n">
        <v>1</v>
      </c>
      <c r="AP41" s="15" t="s">
        <v>135</v>
      </c>
      <c r="AQ41" s="15" t="s">
        <v>135</v>
      </c>
      <c r="AR41" s="18" t="s">
        <v>572</v>
      </c>
      <c r="AS41" s="18" t="s">
        <v>135</v>
      </c>
      <c r="AT41" s="18" t="s">
        <v>269</v>
      </c>
      <c r="AU41" s="18" t="s">
        <v>269</v>
      </c>
      <c r="AV41" s="18" t="s">
        <v>573</v>
      </c>
      <c r="AW41" s="18" t="s">
        <v>552</v>
      </c>
      <c r="AX41" s="18" t="s">
        <v>574</v>
      </c>
      <c r="AY41" s="20" t="n">
        <f aca="false">IF(AND(ISNUMBER($J41),ISNUMBER($M41)),$J41/$M41,"n/a")</f>
        <v>60014.6666666667</v>
      </c>
      <c r="AZ41" s="19" t="n">
        <f aca="false">IF(AND(ISNUMBER($V41),ISNUMBER($M41)),$V41/$M41,"n/a")</f>
        <v>53.3333333333333</v>
      </c>
      <c r="BA41" s="15" t="str">
        <f aca="false">IF(NOT(ISNUMBER($J41)),"n/a",IF($J41&lt;70000,"1. &lt;Rs70k",IF($J41&lt;100000,"2. Rs70k-1L",IF($J41&lt;150000,"3. Rs1-1.5L",IF($J41&lt;200000,"4. Rs1.5-2L",IF($J41&lt;300000,"5. Rs2-3L","6. &gt;Rs3L"))))))</f>
        <v>2. Rs70k-1L</v>
      </c>
      <c r="BB41" s="15" t="s">
        <v>28</v>
      </c>
      <c r="BC41" s="15" t="s">
        <v>575</v>
      </c>
      <c r="BD41" s="18" t="s">
        <v>431</v>
      </c>
      <c r="BE41" s="18" t="s">
        <v>576</v>
      </c>
    </row>
    <row r="42" customFormat="false" ht="57.75" hidden="false" customHeight="true" outlineLevel="0" collapsed="false">
      <c r="A42" s="8" t="s">
        <v>577</v>
      </c>
      <c r="B42" s="8" t="s">
        <v>578</v>
      </c>
      <c r="C42" s="8" t="s">
        <v>579</v>
      </c>
      <c r="D42" s="8" t="s">
        <v>580</v>
      </c>
      <c r="E42" s="8" t="s">
        <v>581</v>
      </c>
      <c r="F42" s="8" t="s">
        <v>131</v>
      </c>
      <c r="G42" s="8" t="s">
        <v>342</v>
      </c>
      <c r="H42" s="8" t="s">
        <v>262</v>
      </c>
      <c r="I42" s="9" t="s">
        <v>135</v>
      </c>
      <c r="J42" s="9" t="n">
        <v>188000</v>
      </c>
      <c r="K42" s="8" t="s">
        <v>134</v>
      </c>
      <c r="L42" s="8" t="s">
        <v>135</v>
      </c>
      <c r="M42" s="10" t="n">
        <v>3.07</v>
      </c>
      <c r="N42" s="8" t="s">
        <v>136</v>
      </c>
      <c r="O42" s="8" t="s">
        <v>582</v>
      </c>
      <c r="P42" s="11" t="s">
        <v>135</v>
      </c>
      <c r="Q42" s="8" t="s">
        <v>326</v>
      </c>
      <c r="R42" s="12" t="n">
        <v>4.1</v>
      </c>
      <c r="S42" s="13" t="n">
        <v>15</v>
      </c>
      <c r="T42" s="13" t="n">
        <v>71</v>
      </c>
      <c r="U42" s="12" t="s">
        <v>135</v>
      </c>
      <c r="V42" s="13" t="n">
        <v>95</v>
      </c>
      <c r="W42" s="8" t="s">
        <v>140</v>
      </c>
      <c r="X42" s="13" t="n">
        <v>70</v>
      </c>
      <c r="Y42" s="13" t="s">
        <v>135</v>
      </c>
      <c r="Z42" s="11" t="s">
        <v>583</v>
      </c>
      <c r="AA42" s="11" t="s">
        <v>584</v>
      </c>
      <c r="AB42" s="13" t="n">
        <v>122</v>
      </c>
      <c r="AC42" s="13" t="n">
        <v>1872</v>
      </c>
      <c r="AD42" s="13" t="n">
        <v>700</v>
      </c>
      <c r="AE42" s="13" t="n">
        <v>1150</v>
      </c>
      <c r="AF42" s="13" t="n">
        <v>1265</v>
      </c>
      <c r="AG42" s="13" t="n">
        <v>160</v>
      </c>
      <c r="AH42" s="13" t="n">
        <v>765</v>
      </c>
      <c r="AI42" s="14" t="n">
        <v>17</v>
      </c>
      <c r="AJ42" s="8" t="s">
        <v>585</v>
      </c>
      <c r="AK42" s="11" t="s">
        <v>265</v>
      </c>
      <c r="AL42" s="8" t="s">
        <v>145</v>
      </c>
      <c r="AM42" s="11" t="s">
        <v>586</v>
      </c>
      <c r="AN42" s="11" t="s">
        <v>587</v>
      </c>
      <c r="AO42" s="14" t="n">
        <v>3</v>
      </c>
      <c r="AP42" s="8" t="s">
        <v>135</v>
      </c>
      <c r="AQ42" s="8" t="s">
        <v>135</v>
      </c>
      <c r="AR42" s="11" t="s">
        <v>588</v>
      </c>
      <c r="AS42" s="11" t="s">
        <v>135</v>
      </c>
      <c r="AT42" s="11" t="s">
        <v>269</v>
      </c>
      <c r="AU42" s="11" t="s">
        <v>269</v>
      </c>
      <c r="AV42" s="11" t="s">
        <v>589</v>
      </c>
      <c r="AW42" s="11" t="s">
        <v>590</v>
      </c>
      <c r="AX42" s="11" t="s">
        <v>591</v>
      </c>
      <c r="AY42" s="13" t="n">
        <f aca="false">IF(AND(ISNUMBER($J42),ISNUMBER($M42)),$J42/$M42,"n/a")</f>
        <v>61237.7850162866</v>
      </c>
      <c r="AZ42" s="12" t="n">
        <f aca="false">IF(AND(ISNUMBER($V42),ISNUMBER($M42)),$V42/$M42,"n/a")</f>
        <v>30.9446254071661</v>
      </c>
      <c r="BA42" s="8" t="str">
        <f aca="false">IF(NOT(ISNUMBER($J42)),"n/a",IF($J42&lt;70000,"1. &lt;Rs70k",IF($J42&lt;100000,"2. Rs70k-1L",IF($J42&lt;150000,"3. Rs1-1.5L",IF($J42&lt;200000,"4. Rs1.5-2L",IF($J42&lt;300000,"5. Rs2-3L","6. &gt;Rs3L"))))))</f>
        <v>4. Rs1.5-2L</v>
      </c>
      <c r="BB42" s="8" t="s">
        <v>30</v>
      </c>
      <c r="BC42" s="8" t="s">
        <v>592</v>
      </c>
      <c r="BD42" s="11" t="s">
        <v>593</v>
      </c>
      <c r="BE42" s="11" t="s">
        <v>594</v>
      </c>
    </row>
    <row r="43" customFormat="false" ht="57.75" hidden="false" customHeight="true" outlineLevel="0" collapsed="false">
      <c r="A43" s="15" t="s">
        <v>595</v>
      </c>
      <c r="B43" s="15" t="s">
        <v>596</v>
      </c>
      <c r="C43" s="15" t="s">
        <v>597</v>
      </c>
      <c r="D43" s="15" t="s">
        <v>598</v>
      </c>
      <c r="E43" s="15" t="s">
        <v>540</v>
      </c>
      <c r="F43" s="15" t="s">
        <v>131</v>
      </c>
      <c r="G43" s="15" t="s">
        <v>489</v>
      </c>
      <c r="H43" s="15" t="s">
        <v>532</v>
      </c>
      <c r="I43" s="16" t="n">
        <v>167000</v>
      </c>
      <c r="J43" s="16" t="n">
        <v>172013</v>
      </c>
      <c r="K43" s="15" t="s">
        <v>134</v>
      </c>
      <c r="L43" s="15" t="s">
        <v>135</v>
      </c>
      <c r="M43" s="17" t="n">
        <v>4</v>
      </c>
      <c r="N43" s="15" t="s">
        <v>136</v>
      </c>
      <c r="O43" s="15" t="s">
        <v>242</v>
      </c>
      <c r="P43" s="18" t="s">
        <v>135</v>
      </c>
      <c r="Q43" s="15" t="s">
        <v>326</v>
      </c>
      <c r="R43" s="19" t="s">
        <v>135</v>
      </c>
      <c r="S43" s="20" t="s">
        <v>135</v>
      </c>
      <c r="T43" s="20" t="s">
        <v>135</v>
      </c>
      <c r="U43" s="19" t="s">
        <v>135</v>
      </c>
      <c r="V43" s="20" t="n">
        <v>169</v>
      </c>
      <c r="W43" s="15" t="s">
        <v>140</v>
      </c>
      <c r="X43" s="20" t="n">
        <v>120</v>
      </c>
      <c r="Y43" s="20" t="s">
        <v>135</v>
      </c>
      <c r="Z43" s="18" t="s">
        <v>135</v>
      </c>
      <c r="AA43" s="18" t="s">
        <v>135</v>
      </c>
      <c r="AB43" s="23" t="s">
        <v>135</v>
      </c>
      <c r="AC43" s="23" t="s">
        <v>135</v>
      </c>
      <c r="AD43" s="23" t="s">
        <v>135</v>
      </c>
      <c r="AE43" s="23" t="s">
        <v>135</v>
      </c>
      <c r="AF43" s="23" t="s">
        <v>135</v>
      </c>
      <c r="AG43" s="23" t="s">
        <v>135</v>
      </c>
      <c r="AH43" s="23" t="s">
        <v>135</v>
      </c>
      <c r="AI43" s="15" t="s">
        <v>135</v>
      </c>
      <c r="AJ43" s="15" t="s">
        <v>314</v>
      </c>
      <c r="AK43" s="18" t="s">
        <v>265</v>
      </c>
      <c r="AL43" s="15" t="s">
        <v>145</v>
      </c>
      <c r="AM43" s="18" t="s">
        <v>512</v>
      </c>
      <c r="AN43" s="18" t="s">
        <v>135</v>
      </c>
      <c r="AO43" s="15" t="s">
        <v>135</v>
      </c>
      <c r="AP43" s="15" t="s">
        <v>135</v>
      </c>
      <c r="AQ43" s="15" t="s">
        <v>135</v>
      </c>
      <c r="AR43" s="18" t="s">
        <v>599</v>
      </c>
      <c r="AS43" s="18" t="s">
        <v>135</v>
      </c>
      <c r="AT43" s="18" t="s">
        <v>269</v>
      </c>
      <c r="AU43" s="18" t="s">
        <v>269</v>
      </c>
      <c r="AV43" s="18" t="s">
        <v>600</v>
      </c>
      <c r="AW43" s="18" t="s">
        <v>601</v>
      </c>
      <c r="AX43" s="18" t="s">
        <v>602</v>
      </c>
      <c r="AY43" s="20" t="n">
        <f aca="false">IF(AND(ISNUMBER($J43),ISNUMBER($M43)),$J43/$M43,"n/a")</f>
        <v>43003.25</v>
      </c>
      <c r="AZ43" s="19" t="n">
        <f aca="false">IF(AND(ISNUMBER($V43),ISNUMBER($M43)),$V43/$M43,"n/a")</f>
        <v>42.25</v>
      </c>
      <c r="BA43" s="15" t="str">
        <f aca="false">IF(NOT(ISNUMBER($J43)),"n/a",IF($J43&lt;70000,"1. &lt;Rs70k",IF($J43&lt;100000,"2. Rs70k-1L",IF($J43&lt;150000,"3. Rs1-1.5L",IF($J43&lt;200000,"4. Rs1.5-2L",IF($J43&lt;300000,"5. Rs2-3L","6. &gt;Rs3L"))))))</f>
        <v>4. Rs1.5-2L</v>
      </c>
      <c r="BB43" s="15" t="s">
        <v>28</v>
      </c>
      <c r="BC43" s="15" t="s">
        <v>209</v>
      </c>
      <c r="BD43" s="18" t="s">
        <v>373</v>
      </c>
      <c r="BE43" s="18" t="s">
        <v>603</v>
      </c>
    </row>
    <row r="44" customFormat="false" ht="57.75" hidden="false" customHeight="true" outlineLevel="0" collapsed="false">
      <c r="A44" s="8" t="s">
        <v>604</v>
      </c>
      <c r="B44" s="8" t="s">
        <v>605</v>
      </c>
      <c r="C44" s="8" t="s">
        <v>606</v>
      </c>
      <c r="D44" s="8" t="s">
        <v>607</v>
      </c>
      <c r="E44" s="8" t="s">
        <v>540</v>
      </c>
      <c r="F44" s="8" t="s">
        <v>131</v>
      </c>
      <c r="G44" s="8" t="s">
        <v>198</v>
      </c>
      <c r="H44" s="8" t="s">
        <v>608</v>
      </c>
      <c r="I44" s="9" t="n">
        <v>125000</v>
      </c>
      <c r="J44" s="9" t="n">
        <v>146000</v>
      </c>
      <c r="K44" s="8" t="s">
        <v>134</v>
      </c>
      <c r="L44" s="8" t="s">
        <v>135</v>
      </c>
      <c r="M44" s="10" t="n">
        <v>4</v>
      </c>
      <c r="N44" s="8" t="s">
        <v>136</v>
      </c>
      <c r="O44" s="8" t="s">
        <v>137</v>
      </c>
      <c r="P44" s="11" t="s">
        <v>609</v>
      </c>
      <c r="Q44" s="8" t="s">
        <v>326</v>
      </c>
      <c r="R44" s="12" t="n">
        <v>6.7</v>
      </c>
      <c r="S44" s="13" t="n">
        <v>26</v>
      </c>
      <c r="T44" s="13" t="n">
        <v>90</v>
      </c>
      <c r="U44" s="12" t="s">
        <v>135</v>
      </c>
      <c r="V44" s="13" t="n">
        <v>161</v>
      </c>
      <c r="W44" s="8" t="s">
        <v>140</v>
      </c>
      <c r="X44" s="13" t="n">
        <v>120</v>
      </c>
      <c r="Y44" s="13" t="s">
        <v>135</v>
      </c>
      <c r="Z44" s="11" t="s">
        <v>610</v>
      </c>
      <c r="AA44" s="11" t="s">
        <v>264</v>
      </c>
      <c r="AB44" s="13" t="n">
        <v>124</v>
      </c>
      <c r="AC44" s="22" t="s">
        <v>135</v>
      </c>
      <c r="AD44" s="22" t="s">
        <v>135</v>
      </c>
      <c r="AE44" s="22" t="s">
        <v>135</v>
      </c>
      <c r="AF44" s="22" t="s">
        <v>135</v>
      </c>
      <c r="AG44" s="22" t="s">
        <v>135</v>
      </c>
      <c r="AH44" s="22" t="s">
        <v>135</v>
      </c>
      <c r="AI44" s="14" t="n">
        <v>43</v>
      </c>
      <c r="AJ44" s="8" t="s">
        <v>611</v>
      </c>
      <c r="AK44" s="11" t="s">
        <v>265</v>
      </c>
      <c r="AL44" s="8" t="s">
        <v>145</v>
      </c>
      <c r="AM44" s="11" t="s">
        <v>315</v>
      </c>
      <c r="AN44" s="11" t="s">
        <v>484</v>
      </c>
      <c r="AO44" s="14" t="n">
        <v>2</v>
      </c>
      <c r="AP44" s="8" t="s">
        <v>135</v>
      </c>
      <c r="AQ44" s="8" t="s">
        <v>135</v>
      </c>
      <c r="AR44" s="11" t="s">
        <v>612</v>
      </c>
      <c r="AS44" s="11" t="s">
        <v>205</v>
      </c>
      <c r="AT44" s="11" t="s">
        <v>269</v>
      </c>
      <c r="AU44" s="11" t="s">
        <v>613</v>
      </c>
      <c r="AV44" s="11" t="s">
        <v>614</v>
      </c>
      <c r="AW44" s="11" t="s">
        <v>615</v>
      </c>
      <c r="AX44" s="11" t="s">
        <v>616</v>
      </c>
      <c r="AY44" s="13" t="n">
        <f aca="false">IF(AND(ISNUMBER($J44),ISNUMBER($M44)),$J44/$M44,"n/a")</f>
        <v>36500</v>
      </c>
      <c r="AZ44" s="12" t="n">
        <f aca="false">IF(AND(ISNUMBER($V44),ISNUMBER($M44)),$V44/$M44,"n/a")</f>
        <v>40.25</v>
      </c>
      <c r="BA44" s="8" t="str">
        <f aca="false">IF(NOT(ISNUMBER($J44)),"n/a",IF($J44&lt;70000,"1. &lt;Rs70k",IF($J44&lt;100000,"2. Rs70k-1L",IF($J44&lt;150000,"3. Rs1-1.5L",IF($J44&lt;200000,"4. Rs1.5-2L",IF($J44&lt;300000,"5. Rs2-3L","6. &gt;Rs3L"))))))</f>
        <v>3. Rs1-1.5L</v>
      </c>
      <c r="BB44" s="8" t="s">
        <v>28</v>
      </c>
      <c r="BC44" s="8" t="s">
        <v>617</v>
      </c>
      <c r="BD44" s="11" t="s">
        <v>221</v>
      </c>
      <c r="BE44" s="11" t="s">
        <v>618</v>
      </c>
    </row>
    <row r="45" customFormat="false" ht="57.75" hidden="false" customHeight="true" outlineLevel="0" collapsed="false">
      <c r="A45" s="15" t="s">
        <v>619</v>
      </c>
      <c r="B45" s="15" t="s">
        <v>620</v>
      </c>
      <c r="C45" s="15" t="s">
        <v>621</v>
      </c>
      <c r="D45" s="15" t="s">
        <v>622</v>
      </c>
      <c r="E45" s="15" t="s">
        <v>540</v>
      </c>
      <c r="F45" s="15" t="s">
        <v>131</v>
      </c>
      <c r="G45" s="15" t="s">
        <v>198</v>
      </c>
      <c r="H45" s="15" t="s">
        <v>623</v>
      </c>
      <c r="I45" s="16" t="n">
        <v>145000</v>
      </c>
      <c r="J45" s="16" t="n">
        <v>158000</v>
      </c>
      <c r="K45" s="15" t="s">
        <v>134</v>
      </c>
      <c r="L45" s="15" t="s">
        <v>135</v>
      </c>
      <c r="M45" s="17" t="n">
        <v>5</v>
      </c>
      <c r="N45" s="15" t="s">
        <v>624</v>
      </c>
      <c r="O45" s="15" t="s">
        <v>242</v>
      </c>
      <c r="P45" s="18" t="s">
        <v>135</v>
      </c>
      <c r="Q45" s="15" t="s">
        <v>625</v>
      </c>
      <c r="R45" s="19" t="n">
        <v>8.5</v>
      </c>
      <c r="S45" s="20" t="n">
        <v>72</v>
      </c>
      <c r="T45" s="20" t="n">
        <v>105</v>
      </c>
      <c r="U45" s="19" t="n">
        <v>2.77</v>
      </c>
      <c r="V45" s="20" t="n">
        <v>212</v>
      </c>
      <c r="W45" s="15" t="s">
        <v>140</v>
      </c>
      <c r="X45" s="20" t="n">
        <v>150</v>
      </c>
      <c r="Y45" s="20" t="s">
        <v>135</v>
      </c>
      <c r="Z45" s="18" t="s">
        <v>135</v>
      </c>
      <c r="AA45" s="18" t="s">
        <v>135</v>
      </c>
      <c r="AB45" s="20" t="n">
        <v>134</v>
      </c>
      <c r="AC45" s="23" t="s">
        <v>135</v>
      </c>
      <c r="AD45" s="23" t="s">
        <v>135</v>
      </c>
      <c r="AE45" s="23" t="s">
        <v>135</v>
      </c>
      <c r="AF45" s="23" t="s">
        <v>135</v>
      </c>
      <c r="AG45" s="23" t="s">
        <v>135</v>
      </c>
      <c r="AH45" s="23" t="s">
        <v>135</v>
      </c>
      <c r="AI45" s="21" t="n">
        <v>30</v>
      </c>
      <c r="AJ45" s="15" t="s">
        <v>314</v>
      </c>
      <c r="AK45" s="18" t="s">
        <v>216</v>
      </c>
      <c r="AL45" s="15" t="s">
        <v>145</v>
      </c>
      <c r="AM45" s="18" t="s">
        <v>626</v>
      </c>
      <c r="AN45" s="18" t="s">
        <v>331</v>
      </c>
      <c r="AO45" s="21" t="n">
        <v>4</v>
      </c>
      <c r="AP45" s="15" t="s">
        <v>148</v>
      </c>
      <c r="AQ45" s="15" t="s">
        <v>148</v>
      </c>
      <c r="AR45" s="18" t="s">
        <v>627</v>
      </c>
      <c r="AS45" s="18" t="s">
        <v>205</v>
      </c>
      <c r="AT45" s="18" t="s">
        <v>269</v>
      </c>
      <c r="AU45" s="18" t="s">
        <v>628</v>
      </c>
      <c r="AV45" s="18" t="s">
        <v>629</v>
      </c>
      <c r="AW45" s="18" t="s">
        <v>630</v>
      </c>
      <c r="AX45" s="18" t="s">
        <v>631</v>
      </c>
      <c r="AY45" s="20" t="n">
        <f aca="false">IF(AND(ISNUMBER($J45),ISNUMBER($M45)),$J45/$M45,"n/a")</f>
        <v>31600</v>
      </c>
      <c r="AZ45" s="19" t="n">
        <f aca="false">IF(AND(ISNUMBER($V45),ISNUMBER($M45)),$V45/$M45,"n/a")</f>
        <v>42.4</v>
      </c>
      <c r="BA45" s="15" t="str">
        <f aca="false">IF(NOT(ISNUMBER($J45)),"n/a",IF($J45&lt;70000,"1. &lt;Rs70k",IF($J45&lt;100000,"2. Rs70k-1L",IF($J45&lt;150000,"3. Rs1-1.5L",IF($J45&lt;200000,"4. Rs1.5-2L",IF($J45&lt;300000,"5. Rs2-3L","6. &gt;Rs3L"))))))</f>
        <v>4. Rs1.5-2L</v>
      </c>
      <c r="BB45" s="15" t="s">
        <v>30</v>
      </c>
      <c r="BC45" s="15" t="s">
        <v>184</v>
      </c>
      <c r="BD45" s="18" t="s">
        <v>632</v>
      </c>
      <c r="BE45" s="18" t="s">
        <v>633</v>
      </c>
    </row>
    <row r="46" customFormat="false" ht="57.75" hidden="false" customHeight="true" outlineLevel="0" collapsed="false">
      <c r="A46" s="8" t="s">
        <v>634</v>
      </c>
      <c r="B46" s="8" t="s">
        <v>621</v>
      </c>
      <c r="C46" s="8" t="s">
        <v>621</v>
      </c>
      <c r="D46" s="8" t="s">
        <v>622</v>
      </c>
      <c r="E46" s="8" t="s">
        <v>635</v>
      </c>
      <c r="F46" s="8" t="s">
        <v>131</v>
      </c>
      <c r="G46" s="8" t="s">
        <v>636</v>
      </c>
      <c r="H46" s="8" t="s">
        <v>637</v>
      </c>
      <c r="I46" s="9" t="s">
        <v>135</v>
      </c>
      <c r="J46" s="9" t="n">
        <v>235000</v>
      </c>
      <c r="K46" s="8" t="s">
        <v>134</v>
      </c>
      <c r="L46" s="8" t="s">
        <v>135</v>
      </c>
      <c r="M46" s="10" t="n">
        <v>6.5</v>
      </c>
      <c r="N46" s="8" t="s">
        <v>638</v>
      </c>
      <c r="O46" s="8" t="s">
        <v>242</v>
      </c>
      <c r="P46" s="11" t="s">
        <v>135</v>
      </c>
      <c r="Q46" s="8" t="s">
        <v>625</v>
      </c>
      <c r="R46" s="12" t="n">
        <v>8.5</v>
      </c>
      <c r="S46" s="13" t="n">
        <v>72</v>
      </c>
      <c r="T46" s="13" t="n">
        <v>105</v>
      </c>
      <c r="U46" s="12" t="s">
        <v>135</v>
      </c>
      <c r="V46" s="13" t="n">
        <v>248</v>
      </c>
      <c r="W46" s="8" t="s">
        <v>639</v>
      </c>
      <c r="X46" s="13" t="n">
        <v>170</v>
      </c>
      <c r="Y46" s="13" t="s">
        <v>135</v>
      </c>
      <c r="Z46" s="11" t="s">
        <v>135</v>
      </c>
      <c r="AA46" s="11" t="s">
        <v>135</v>
      </c>
      <c r="AB46" s="22" t="s">
        <v>135</v>
      </c>
      <c r="AC46" s="22" t="s">
        <v>135</v>
      </c>
      <c r="AD46" s="22" t="s">
        <v>135</v>
      </c>
      <c r="AE46" s="22" t="s">
        <v>135</v>
      </c>
      <c r="AF46" s="22" t="s">
        <v>135</v>
      </c>
      <c r="AG46" s="22" t="s">
        <v>135</v>
      </c>
      <c r="AH46" s="22" t="s">
        <v>135</v>
      </c>
      <c r="AI46" s="8" t="s">
        <v>135</v>
      </c>
      <c r="AJ46" s="8" t="s">
        <v>314</v>
      </c>
      <c r="AK46" s="11" t="s">
        <v>216</v>
      </c>
      <c r="AL46" s="8" t="s">
        <v>145</v>
      </c>
      <c r="AM46" s="11" t="s">
        <v>626</v>
      </c>
      <c r="AN46" s="11" t="s">
        <v>640</v>
      </c>
      <c r="AO46" s="14" t="n">
        <v>4</v>
      </c>
      <c r="AP46" s="8" t="s">
        <v>148</v>
      </c>
      <c r="AQ46" s="8" t="s">
        <v>148</v>
      </c>
      <c r="AR46" s="11" t="s">
        <v>641</v>
      </c>
      <c r="AS46" s="11" t="s">
        <v>205</v>
      </c>
      <c r="AT46" s="11" t="s">
        <v>269</v>
      </c>
      <c r="AU46" s="11" t="s">
        <v>628</v>
      </c>
      <c r="AV46" s="11" t="s">
        <v>629</v>
      </c>
      <c r="AW46" s="11" t="s">
        <v>135</v>
      </c>
      <c r="AX46" s="11" t="s">
        <v>642</v>
      </c>
      <c r="AY46" s="13" t="n">
        <f aca="false">IF(AND(ISNUMBER($J46),ISNUMBER($M46)),$J46/$M46,"n/a")</f>
        <v>36153.8461538462</v>
      </c>
      <c r="AZ46" s="12" t="n">
        <f aca="false">IF(AND(ISNUMBER($V46),ISNUMBER($M46)),$V46/$M46,"n/a")</f>
        <v>38.1538461538462</v>
      </c>
      <c r="BA46" s="8" t="str">
        <f aca="false">IF(NOT(ISNUMBER($J46)),"n/a",IF($J46&lt;70000,"1. &lt;Rs70k",IF($J46&lt;100000,"2. Rs70k-1L",IF($J46&lt;150000,"3. Rs1-1.5L",IF($J46&lt;200000,"4. Rs1.5-2L",IF($J46&lt;300000,"5. Rs2-3L","6. &gt;Rs3L"))))))</f>
        <v>5. Rs2-3L</v>
      </c>
      <c r="BB46" s="8" t="s">
        <v>32</v>
      </c>
      <c r="BC46" s="8" t="s">
        <v>643</v>
      </c>
      <c r="BD46" s="11" t="s">
        <v>644</v>
      </c>
      <c r="BE46" s="11" t="s">
        <v>645</v>
      </c>
    </row>
    <row r="47" customFormat="false" ht="57.75" hidden="false" customHeight="true" outlineLevel="0" collapsed="false">
      <c r="A47" s="15" t="s">
        <v>646</v>
      </c>
      <c r="B47" s="15" t="s">
        <v>647</v>
      </c>
      <c r="C47" s="15" t="s">
        <v>648</v>
      </c>
      <c r="D47" s="15" t="s">
        <v>649</v>
      </c>
      <c r="E47" s="15" t="s">
        <v>650</v>
      </c>
      <c r="F47" s="15" t="s">
        <v>131</v>
      </c>
      <c r="G47" s="15" t="s">
        <v>275</v>
      </c>
      <c r="H47" s="15" t="s">
        <v>262</v>
      </c>
      <c r="I47" s="16" t="n">
        <v>109900</v>
      </c>
      <c r="J47" s="16" t="n">
        <v>115000</v>
      </c>
      <c r="K47" s="15" t="s">
        <v>134</v>
      </c>
      <c r="L47" s="15" t="s">
        <v>135</v>
      </c>
      <c r="M47" s="17" t="n">
        <v>3</v>
      </c>
      <c r="N47" s="15" t="s">
        <v>136</v>
      </c>
      <c r="O47" s="15" t="s">
        <v>651</v>
      </c>
      <c r="P47" s="18" t="s">
        <v>135</v>
      </c>
      <c r="Q47" s="15" t="s">
        <v>326</v>
      </c>
      <c r="R47" s="19" t="n">
        <v>4</v>
      </c>
      <c r="S47" s="20" t="s">
        <v>135</v>
      </c>
      <c r="T47" s="20" t="n">
        <v>93</v>
      </c>
      <c r="U47" s="19" t="s">
        <v>135</v>
      </c>
      <c r="V47" s="20" t="n">
        <v>136</v>
      </c>
      <c r="W47" s="15" t="s">
        <v>140</v>
      </c>
      <c r="X47" s="20" t="n">
        <v>100</v>
      </c>
      <c r="Y47" s="20" t="s">
        <v>135</v>
      </c>
      <c r="Z47" s="18" t="s">
        <v>163</v>
      </c>
      <c r="AA47" s="18" t="s">
        <v>264</v>
      </c>
      <c r="AB47" s="23" t="s">
        <v>135</v>
      </c>
      <c r="AC47" s="23" t="s">
        <v>135</v>
      </c>
      <c r="AD47" s="23" t="s">
        <v>135</v>
      </c>
      <c r="AE47" s="23" t="s">
        <v>135</v>
      </c>
      <c r="AF47" s="23" t="s">
        <v>135</v>
      </c>
      <c r="AG47" s="23" t="s">
        <v>135</v>
      </c>
      <c r="AH47" s="23" t="s">
        <v>135</v>
      </c>
      <c r="AI47" s="21" t="n">
        <v>32</v>
      </c>
      <c r="AJ47" s="15" t="s">
        <v>314</v>
      </c>
      <c r="AK47" s="18" t="s">
        <v>265</v>
      </c>
      <c r="AL47" s="15" t="s">
        <v>145</v>
      </c>
      <c r="AM47" s="18" t="s">
        <v>512</v>
      </c>
      <c r="AN47" s="18" t="s">
        <v>652</v>
      </c>
      <c r="AO47" s="21" t="n">
        <v>3</v>
      </c>
      <c r="AP47" s="15" t="s">
        <v>148</v>
      </c>
      <c r="AQ47" s="15" t="s">
        <v>135</v>
      </c>
      <c r="AR47" s="18" t="s">
        <v>653</v>
      </c>
      <c r="AS47" s="18" t="s">
        <v>205</v>
      </c>
      <c r="AT47" s="18" t="s">
        <v>269</v>
      </c>
      <c r="AU47" s="18" t="s">
        <v>269</v>
      </c>
      <c r="AV47" s="18" t="s">
        <v>654</v>
      </c>
      <c r="AW47" s="18" t="s">
        <v>655</v>
      </c>
      <c r="AX47" s="18" t="s">
        <v>656</v>
      </c>
      <c r="AY47" s="20" t="n">
        <f aca="false">IF(AND(ISNUMBER($J47),ISNUMBER($M47)),$J47/$M47,"n/a")</f>
        <v>38333.3333333333</v>
      </c>
      <c r="AZ47" s="19" t="n">
        <f aca="false">IF(AND(ISNUMBER($V47),ISNUMBER($M47)),$V47/$M47,"n/a")</f>
        <v>45.3333333333333</v>
      </c>
      <c r="BA47" s="15" t="str">
        <f aca="false">IF(NOT(ISNUMBER($J47)),"n/a",IF($J47&lt;70000,"1. &lt;Rs70k",IF($J47&lt;100000,"2. Rs70k-1L",IF($J47&lt;150000,"3. Rs1-1.5L",IF($J47&lt;200000,"4. Rs1.5-2L",IF($J47&lt;300000,"5. Rs2-3L","6. &gt;Rs3L"))))))</f>
        <v>3. Rs1-1.5L</v>
      </c>
      <c r="BB47" s="15" t="s">
        <v>30</v>
      </c>
      <c r="BC47" s="15" t="s">
        <v>657</v>
      </c>
      <c r="BD47" s="18" t="s">
        <v>644</v>
      </c>
      <c r="BE47" s="18" t="s">
        <v>658</v>
      </c>
    </row>
    <row r="48" customFormat="false" ht="57.75" hidden="false" customHeight="true" outlineLevel="0" collapsed="false">
      <c r="A48" s="8" t="s">
        <v>659</v>
      </c>
      <c r="B48" s="8" t="s">
        <v>660</v>
      </c>
      <c r="C48" s="8" t="s">
        <v>648</v>
      </c>
      <c r="D48" s="8" t="s">
        <v>661</v>
      </c>
      <c r="E48" s="8" t="s">
        <v>540</v>
      </c>
      <c r="F48" s="8" t="s">
        <v>131</v>
      </c>
      <c r="G48" s="8" t="s">
        <v>662</v>
      </c>
      <c r="H48" s="8" t="s">
        <v>663</v>
      </c>
      <c r="I48" s="9" t="s">
        <v>135</v>
      </c>
      <c r="J48" s="9" t="n">
        <v>80000</v>
      </c>
      <c r="K48" s="8" t="s">
        <v>134</v>
      </c>
      <c r="L48" s="8" t="s">
        <v>135</v>
      </c>
      <c r="M48" s="10" t="n">
        <v>2.3</v>
      </c>
      <c r="N48" s="8" t="s">
        <v>136</v>
      </c>
      <c r="O48" s="8" t="s">
        <v>242</v>
      </c>
      <c r="P48" s="11" t="s">
        <v>135</v>
      </c>
      <c r="Q48" s="8" t="s">
        <v>244</v>
      </c>
      <c r="R48" s="12" t="n">
        <v>1.2</v>
      </c>
      <c r="S48" s="13" t="s">
        <v>135</v>
      </c>
      <c r="T48" s="13" t="n">
        <v>50</v>
      </c>
      <c r="U48" s="12" t="s">
        <v>135</v>
      </c>
      <c r="V48" s="13" t="n">
        <v>100</v>
      </c>
      <c r="W48" s="8" t="s">
        <v>664</v>
      </c>
      <c r="X48" s="13" t="n">
        <v>70</v>
      </c>
      <c r="Y48" s="13" t="s">
        <v>135</v>
      </c>
      <c r="Z48" s="11" t="s">
        <v>665</v>
      </c>
      <c r="AA48" s="11" t="s">
        <v>264</v>
      </c>
      <c r="AB48" s="22" t="s">
        <v>135</v>
      </c>
      <c r="AC48" s="22" t="s">
        <v>135</v>
      </c>
      <c r="AD48" s="22" t="s">
        <v>135</v>
      </c>
      <c r="AE48" s="22" t="s">
        <v>135</v>
      </c>
      <c r="AF48" s="22" t="s">
        <v>135</v>
      </c>
      <c r="AG48" s="22" t="s">
        <v>135</v>
      </c>
      <c r="AH48" s="22" t="s">
        <v>135</v>
      </c>
      <c r="AI48" s="8" t="s">
        <v>135</v>
      </c>
      <c r="AJ48" s="8" t="s">
        <v>314</v>
      </c>
      <c r="AK48" s="11" t="s">
        <v>247</v>
      </c>
      <c r="AL48" s="8" t="s">
        <v>145</v>
      </c>
      <c r="AM48" s="11" t="s">
        <v>315</v>
      </c>
      <c r="AN48" s="11" t="s">
        <v>571</v>
      </c>
      <c r="AO48" s="14" t="n">
        <v>2</v>
      </c>
      <c r="AP48" s="8" t="s">
        <v>135</v>
      </c>
      <c r="AQ48" s="8" t="s">
        <v>135</v>
      </c>
      <c r="AR48" s="11" t="s">
        <v>666</v>
      </c>
      <c r="AS48" s="11" t="s">
        <v>135</v>
      </c>
      <c r="AT48" s="11" t="s">
        <v>269</v>
      </c>
      <c r="AU48" s="11" t="s">
        <v>269</v>
      </c>
      <c r="AV48" s="11" t="s">
        <v>667</v>
      </c>
      <c r="AW48" s="11" t="s">
        <v>668</v>
      </c>
      <c r="AX48" s="11" t="s">
        <v>669</v>
      </c>
      <c r="AY48" s="13" t="n">
        <f aca="false">IF(AND(ISNUMBER($J48),ISNUMBER($M48)),$J48/$M48,"n/a")</f>
        <v>34782.6086956522</v>
      </c>
      <c r="AZ48" s="12" t="n">
        <f aca="false">IF(AND(ISNUMBER($V48),ISNUMBER($M48)),$V48/$M48,"n/a")</f>
        <v>43.4782608695652</v>
      </c>
      <c r="BA48" s="8" t="str">
        <f aca="false">IF(NOT(ISNUMBER($J48)),"n/a",IF($J48&lt;70000,"1. &lt;Rs70k",IF($J48&lt;100000,"2. Rs70k-1L",IF($J48&lt;150000,"3. Rs1-1.5L",IF($J48&lt;200000,"4. Rs1.5-2L",IF($J48&lt;300000,"5. Rs2-3L","6. &gt;Rs3L"))))))</f>
        <v>2. Rs70k-1L</v>
      </c>
      <c r="BB48" s="8" t="s">
        <v>32</v>
      </c>
      <c r="BC48" s="8" t="s">
        <v>419</v>
      </c>
      <c r="BD48" s="11" t="s">
        <v>135</v>
      </c>
      <c r="BE48" s="11" t="s">
        <v>670</v>
      </c>
    </row>
    <row r="49" customFormat="false" ht="57.75" hidden="false" customHeight="true" outlineLevel="0" collapsed="false">
      <c r="A49" s="15" t="s">
        <v>671</v>
      </c>
      <c r="B49" s="15" t="s">
        <v>672</v>
      </c>
      <c r="C49" s="15" t="s">
        <v>673</v>
      </c>
      <c r="D49" s="15" t="s">
        <v>674</v>
      </c>
      <c r="E49" s="15" t="s">
        <v>540</v>
      </c>
      <c r="F49" s="15" t="s">
        <v>131</v>
      </c>
      <c r="G49" s="15" t="s">
        <v>177</v>
      </c>
      <c r="H49" s="15" t="s">
        <v>675</v>
      </c>
      <c r="I49" s="16" t="n">
        <v>111499</v>
      </c>
      <c r="J49" s="16" t="n">
        <v>117499</v>
      </c>
      <c r="K49" s="15" t="s">
        <v>134</v>
      </c>
      <c r="L49" s="15" t="s">
        <v>135</v>
      </c>
      <c r="M49" s="17" t="n">
        <v>2.6</v>
      </c>
      <c r="N49" s="15" t="s">
        <v>136</v>
      </c>
      <c r="O49" s="15" t="s">
        <v>651</v>
      </c>
      <c r="P49" s="18" t="s">
        <v>135</v>
      </c>
      <c r="Q49" s="15" t="s">
        <v>244</v>
      </c>
      <c r="R49" s="19" t="s">
        <v>135</v>
      </c>
      <c r="S49" s="20" t="s">
        <v>135</v>
      </c>
      <c r="T49" s="20" t="n">
        <v>60</v>
      </c>
      <c r="U49" s="19" t="s">
        <v>135</v>
      </c>
      <c r="V49" s="20" t="n">
        <v>102</v>
      </c>
      <c r="W49" s="15" t="s">
        <v>140</v>
      </c>
      <c r="X49" s="20" t="n">
        <v>75</v>
      </c>
      <c r="Y49" s="20" t="s">
        <v>135</v>
      </c>
      <c r="Z49" s="18" t="s">
        <v>135</v>
      </c>
      <c r="AA49" s="18" t="s">
        <v>264</v>
      </c>
      <c r="AB49" s="23" t="s">
        <v>135</v>
      </c>
      <c r="AC49" s="23" t="s">
        <v>135</v>
      </c>
      <c r="AD49" s="23" t="s">
        <v>135</v>
      </c>
      <c r="AE49" s="23" t="s">
        <v>135</v>
      </c>
      <c r="AF49" s="23" t="s">
        <v>135</v>
      </c>
      <c r="AG49" s="23" t="s">
        <v>135</v>
      </c>
      <c r="AH49" s="23" t="s">
        <v>135</v>
      </c>
      <c r="AI49" s="21" t="n">
        <v>37</v>
      </c>
      <c r="AJ49" s="15" t="s">
        <v>314</v>
      </c>
      <c r="AK49" s="18" t="s">
        <v>247</v>
      </c>
      <c r="AL49" s="15" t="s">
        <v>145</v>
      </c>
      <c r="AM49" s="18" t="s">
        <v>315</v>
      </c>
      <c r="AN49" s="18" t="s">
        <v>484</v>
      </c>
      <c r="AO49" s="21" t="n">
        <v>2</v>
      </c>
      <c r="AP49" s="15" t="s">
        <v>148</v>
      </c>
      <c r="AQ49" s="15" t="s">
        <v>135</v>
      </c>
      <c r="AR49" s="18" t="s">
        <v>676</v>
      </c>
      <c r="AS49" s="18" t="s">
        <v>205</v>
      </c>
      <c r="AT49" s="18" t="s">
        <v>269</v>
      </c>
      <c r="AU49" s="18" t="s">
        <v>269</v>
      </c>
      <c r="AV49" s="18" t="s">
        <v>677</v>
      </c>
      <c r="AW49" s="18" t="s">
        <v>678</v>
      </c>
      <c r="AX49" s="18" t="s">
        <v>679</v>
      </c>
      <c r="AY49" s="20" t="n">
        <f aca="false">IF(AND(ISNUMBER($J49),ISNUMBER($M49)),$J49/$M49,"n/a")</f>
        <v>45191.9230769231</v>
      </c>
      <c r="AZ49" s="19" t="n">
        <f aca="false">IF(AND(ISNUMBER($V49),ISNUMBER($M49)),$V49/$M49,"n/a")</f>
        <v>39.2307692307692</v>
      </c>
      <c r="BA49" s="15" t="str">
        <f aca="false">IF(NOT(ISNUMBER($J49)),"n/a",IF($J49&lt;70000,"1. &lt;Rs70k",IF($J49&lt;100000,"2. Rs70k-1L",IF($J49&lt;150000,"3. Rs1-1.5L",IF($J49&lt;200000,"4. Rs1.5-2L",IF($J49&lt;300000,"5. Rs2-3L","6. &gt;Rs3L"))))))</f>
        <v>3. Rs1-1.5L</v>
      </c>
      <c r="BB49" s="15" t="s">
        <v>30</v>
      </c>
      <c r="BC49" s="15" t="s">
        <v>680</v>
      </c>
      <c r="BD49" s="18" t="s">
        <v>419</v>
      </c>
      <c r="BE49" s="18" t="s">
        <v>681</v>
      </c>
    </row>
    <row r="50" customFormat="false" ht="57.75" hidden="false" customHeight="true" outlineLevel="0" collapsed="false">
      <c r="A50" s="8" t="s">
        <v>682</v>
      </c>
      <c r="B50" s="8" t="s">
        <v>683</v>
      </c>
      <c r="C50" s="8" t="s">
        <v>684</v>
      </c>
      <c r="D50" s="8" t="s">
        <v>685</v>
      </c>
      <c r="E50" s="8" t="s">
        <v>540</v>
      </c>
      <c r="F50" s="8" t="s">
        <v>131</v>
      </c>
      <c r="G50" s="8" t="s">
        <v>275</v>
      </c>
      <c r="H50" s="8" t="s">
        <v>262</v>
      </c>
      <c r="I50" s="9" t="n">
        <v>99999</v>
      </c>
      <c r="J50" s="9" t="n">
        <v>105000</v>
      </c>
      <c r="K50" s="8" t="s">
        <v>134</v>
      </c>
      <c r="L50" s="8" t="s">
        <v>135</v>
      </c>
      <c r="M50" s="10" t="n">
        <v>3.5</v>
      </c>
      <c r="N50" s="8" t="s">
        <v>136</v>
      </c>
      <c r="O50" s="8" t="s">
        <v>242</v>
      </c>
      <c r="P50" s="11" t="s">
        <v>135</v>
      </c>
      <c r="Q50" s="8" t="s">
        <v>244</v>
      </c>
      <c r="R50" s="12" t="s">
        <v>135</v>
      </c>
      <c r="S50" s="13" t="s">
        <v>135</v>
      </c>
      <c r="T50" s="13" t="n">
        <v>75</v>
      </c>
      <c r="U50" s="12" t="s">
        <v>135</v>
      </c>
      <c r="V50" s="13" t="n">
        <v>130</v>
      </c>
      <c r="W50" s="8" t="s">
        <v>140</v>
      </c>
      <c r="X50" s="13" t="n">
        <v>95</v>
      </c>
      <c r="Y50" s="13" t="s">
        <v>135</v>
      </c>
      <c r="Z50" s="11" t="s">
        <v>135</v>
      </c>
      <c r="AA50" s="11" t="s">
        <v>264</v>
      </c>
      <c r="AB50" s="22" t="s">
        <v>135</v>
      </c>
      <c r="AC50" s="22" t="s">
        <v>135</v>
      </c>
      <c r="AD50" s="22" t="s">
        <v>135</v>
      </c>
      <c r="AE50" s="22" t="s">
        <v>135</v>
      </c>
      <c r="AF50" s="22" t="s">
        <v>135</v>
      </c>
      <c r="AG50" s="22" t="s">
        <v>135</v>
      </c>
      <c r="AH50" s="22" t="s">
        <v>135</v>
      </c>
      <c r="AI50" s="8" t="s">
        <v>135</v>
      </c>
      <c r="AJ50" s="8" t="s">
        <v>314</v>
      </c>
      <c r="AK50" s="11" t="s">
        <v>265</v>
      </c>
      <c r="AL50" s="8" t="s">
        <v>145</v>
      </c>
      <c r="AM50" s="11" t="s">
        <v>512</v>
      </c>
      <c r="AN50" s="11" t="s">
        <v>484</v>
      </c>
      <c r="AO50" s="14" t="n">
        <v>3</v>
      </c>
      <c r="AP50" s="8" t="s">
        <v>148</v>
      </c>
      <c r="AQ50" s="8" t="s">
        <v>135</v>
      </c>
      <c r="AR50" s="11" t="s">
        <v>686</v>
      </c>
      <c r="AS50" s="11" t="s">
        <v>205</v>
      </c>
      <c r="AT50" s="11" t="s">
        <v>269</v>
      </c>
      <c r="AU50" s="11" t="s">
        <v>269</v>
      </c>
      <c r="AV50" s="11" t="s">
        <v>687</v>
      </c>
      <c r="AW50" s="11" t="s">
        <v>688</v>
      </c>
      <c r="AX50" s="11" t="s">
        <v>689</v>
      </c>
      <c r="AY50" s="13" t="n">
        <f aca="false">IF(AND(ISNUMBER($J50),ISNUMBER($M50)),$J50/$M50,"n/a")</f>
        <v>30000</v>
      </c>
      <c r="AZ50" s="12" t="n">
        <f aca="false">IF(AND(ISNUMBER($V50),ISNUMBER($M50)),$V50/$M50,"n/a")</f>
        <v>37.1428571428571</v>
      </c>
      <c r="BA50" s="8" t="str">
        <f aca="false">IF(NOT(ISNUMBER($J50)),"n/a",IF($J50&lt;70000,"1. &lt;Rs70k",IF($J50&lt;100000,"2. Rs70k-1L",IF($J50&lt;150000,"3. Rs1-1.5L",IF($J50&lt;200000,"4. Rs1.5-2L",IF($J50&lt;300000,"5. Rs2-3L","6. &gt;Rs3L"))))))</f>
        <v>3. Rs1-1.5L</v>
      </c>
      <c r="BB50" s="8" t="s">
        <v>32</v>
      </c>
      <c r="BC50" s="8" t="s">
        <v>419</v>
      </c>
      <c r="BD50" s="11" t="s">
        <v>135</v>
      </c>
      <c r="BE50" s="11" t="s">
        <v>690</v>
      </c>
    </row>
    <row r="51" customFormat="false" ht="57.75" hidden="false" customHeight="true" outlineLevel="0" collapsed="false">
      <c r="A51" s="15" t="s">
        <v>691</v>
      </c>
      <c r="B51" s="15" t="s">
        <v>684</v>
      </c>
      <c r="C51" s="15" t="s">
        <v>684</v>
      </c>
      <c r="D51" s="15" t="s">
        <v>692</v>
      </c>
      <c r="E51" s="15" t="s">
        <v>540</v>
      </c>
      <c r="F51" s="15" t="s">
        <v>131</v>
      </c>
      <c r="G51" s="15" t="s">
        <v>198</v>
      </c>
      <c r="H51" s="15" t="s">
        <v>693</v>
      </c>
      <c r="I51" s="16" t="s">
        <v>135</v>
      </c>
      <c r="J51" s="16" t="n">
        <v>95000</v>
      </c>
      <c r="K51" s="15" t="s">
        <v>134</v>
      </c>
      <c r="L51" s="15" t="s">
        <v>135</v>
      </c>
      <c r="M51" s="17" t="n">
        <v>2.6</v>
      </c>
      <c r="N51" s="15" t="s">
        <v>136</v>
      </c>
      <c r="O51" s="15" t="s">
        <v>242</v>
      </c>
      <c r="P51" s="18" t="s">
        <v>135</v>
      </c>
      <c r="Q51" s="15" t="s">
        <v>244</v>
      </c>
      <c r="R51" s="19" t="s">
        <v>135</v>
      </c>
      <c r="S51" s="20" t="s">
        <v>135</v>
      </c>
      <c r="T51" s="20" t="n">
        <v>60</v>
      </c>
      <c r="U51" s="19" t="s">
        <v>135</v>
      </c>
      <c r="V51" s="20" t="n">
        <v>100</v>
      </c>
      <c r="W51" s="15" t="s">
        <v>664</v>
      </c>
      <c r="X51" s="20" t="n">
        <v>72</v>
      </c>
      <c r="Y51" s="20" t="s">
        <v>135</v>
      </c>
      <c r="Z51" s="18" t="s">
        <v>135</v>
      </c>
      <c r="AA51" s="18" t="s">
        <v>264</v>
      </c>
      <c r="AB51" s="23" t="s">
        <v>135</v>
      </c>
      <c r="AC51" s="23" t="s">
        <v>135</v>
      </c>
      <c r="AD51" s="23" t="s">
        <v>135</v>
      </c>
      <c r="AE51" s="23" t="s">
        <v>135</v>
      </c>
      <c r="AF51" s="23" t="s">
        <v>135</v>
      </c>
      <c r="AG51" s="23" t="s">
        <v>135</v>
      </c>
      <c r="AH51" s="23" t="s">
        <v>135</v>
      </c>
      <c r="AI51" s="15" t="s">
        <v>135</v>
      </c>
      <c r="AJ51" s="15" t="s">
        <v>314</v>
      </c>
      <c r="AK51" s="18" t="s">
        <v>247</v>
      </c>
      <c r="AL51" s="15" t="s">
        <v>145</v>
      </c>
      <c r="AM51" s="18" t="s">
        <v>315</v>
      </c>
      <c r="AN51" s="18" t="s">
        <v>484</v>
      </c>
      <c r="AO51" s="21" t="n">
        <v>2</v>
      </c>
      <c r="AP51" s="15" t="s">
        <v>135</v>
      </c>
      <c r="AQ51" s="15" t="s">
        <v>135</v>
      </c>
      <c r="AR51" s="18" t="s">
        <v>135</v>
      </c>
      <c r="AS51" s="18" t="s">
        <v>205</v>
      </c>
      <c r="AT51" s="18" t="s">
        <v>269</v>
      </c>
      <c r="AU51" s="18" t="s">
        <v>269</v>
      </c>
      <c r="AV51" s="18" t="s">
        <v>694</v>
      </c>
      <c r="AW51" s="18" t="s">
        <v>695</v>
      </c>
      <c r="AX51" s="18" t="s">
        <v>135</v>
      </c>
      <c r="AY51" s="20" t="n">
        <f aca="false">IF(AND(ISNUMBER($J51),ISNUMBER($M51)),$J51/$M51,"n/a")</f>
        <v>36538.4615384615</v>
      </c>
      <c r="AZ51" s="19" t="n">
        <f aca="false">IF(AND(ISNUMBER($V51),ISNUMBER($M51)),$V51/$M51,"n/a")</f>
        <v>38.4615384615385</v>
      </c>
      <c r="BA51" s="15" t="str">
        <f aca="false">IF(NOT(ISNUMBER($J51)),"n/a",IF($J51&lt;70000,"1. &lt;Rs70k",IF($J51&lt;100000,"2. Rs70k-1L",IF($J51&lt;150000,"3. Rs1-1.5L",IF($J51&lt;200000,"4. Rs1.5-2L",IF($J51&lt;300000,"5. Rs2-3L","6. &gt;Rs3L"))))))</f>
        <v>2. Rs70k-1L</v>
      </c>
      <c r="BB51" s="15" t="s">
        <v>32</v>
      </c>
      <c r="BC51" s="15" t="s">
        <v>419</v>
      </c>
      <c r="BD51" s="18" t="s">
        <v>135</v>
      </c>
      <c r="BE51" s="18" t="s">
        <v>135</v>
      </c>
    </row>
    <row r="52" customFormat="false" ht="57.75" hidden="false" customHeight="true" outlineLevel="0" collapsed="false">
      <c r="A52" s="8" t="s">
        <v>696</v>
      </c>
      <c r="B52" s="8" t="s">
        <v>697</v>
      </c>
      <c r="C52" s="8" t="s">
        <v>698</v>
      </c>
      <c r="D52" s="8" t="s">
        <v>699</v>
      </c>
      <c r="E52" s="8" t="s">
        <v>540</v>
      </c>
      <c r="F52" s="8" t="s">
        <v>131</v>
      </c>
      <c r="G52" s="8" t="s">
        <v>198</v>
      </c>
      <c r="H52" s="8" t="s">
        <v>700</v>
      </c>
      <c r="I52" s="9" t="s">
        <v>135</v>
      </c>
      <c r="J52" s="9" t="n">
        <v>67999</v>
      </c>
      <c r="K52" s="8" t="s">
        <v>134</v>
      </c>
      <c r="L52" s="8" t="s">
        <v>135</v>
      </c>
      <c r="M52" s="10" t="n">
        <v>1.5</v>
      </c>
      <c r="N52" s="8" t="s">
        <v>136</v>
      </c>
      <c r="O52" s="8" t="s">
        <v>242</v>
      </c>
      <c r="P52" s="11" t="s">
        <v>135</v>
      </c>
      <c r="Q52" s="8" t="s">
        <v>244</v>
      </c>
      <c r="R52" s="12" t="n">
        <v>0.25</v>
      </c>
      <c r="S52" s="13" t="s">
        <v>135</v>
      </c>
      <c r="T52" s="13" t="n">
        <v>25</v>
      </c>
      <c r="U52" s="12" t="s">
        <v>135</v>
      </c>
      <c r="V52" s="13" t="n">
        <v>60</v>
      </c>
      <c r="W52" s="8" t="s">
        <v>664</v>
      </c>
      <c r="X52" s="13" t="n">
        <v>45</v>
      </c>
      <c r="Y52" s="13" t="s">
        <v>135</v>
      </c>
      <c r="Z52" s="11" t="s">
        <v>135</v>
      </c>
      <c r="AA52" s="11" t="s">
        <v>264</v>
      </c>
      <c r="AB52" s="22" t="s">
        <v>135</v>
      </c>
      <c r="AC52" s="22" t="s">
        <v>135</v>
      </c>
      <c r="AD52" s="22" t="s">
        <v>135</v>
      </c>
      <c r="AE52" s="22" t="s">
        <v>135</v>
      </c>
      <c r="AF52" s="22" t="s">
        <v>135</v>
      </c>
      <c r="AG52" s="22" t="s">
        <v>135</v>
      </c>
      <c r="AH52" s="22" t="s">
        <v>135</v>
      </c>
      <c r="AI52" s="8" t="s">
        <v>135</v>
      </c>
      <c r="AJ52" s="8" t="s">
        <v>701</v>
      </c>
      <c r="AK52" s="11" t="s">
        <v>247</v>
      </c>
      <c r="AL52" s="8" t="s">
        <v>135</v>
      </c>
      <c r="AM52" s="11" t="s">
        <v>315</v>
      </c>
      <c r="AN52" s="11" t="s">
        <v>571</v>
      </c>
      <c r="AO52" s="14" t="n">
        <v>1</v>
      </c>
      <c r="AP52" s="8" t="s">
        <v>135</v>
      </c>
      <c r="AQ52" s="8" t="s">
        <v>135</v>
      </c>
      <c r="AR52" s="11" t="s">
        <v>702</v>
      </c>
      <c r="AS52" s="11" t="s">
        <v>135</v>
      </c>
      <c r="AT52" s="11" t="s">
        <v>703</v>
      </c>
      <c r="AU52" s="11" t="s">
        <v>703</v>
      </c>
      <c r="AV52" s="11" t="s">
        <v>135</v>
      </c>
      <c r="AW52" s="11" t="s">
        <v>704</v>
      </c>
      <c r="AX52" s="11" t="s">
        <v>705</v>
      </c>
      <c r="AY52" s="13" t="n">
        <f aca="false">IF(AND(ISNUMBER($J52),ISNUMBER($M52)),$J52/$M52,"n/a")</f>
        <v>45332.6666666667</v>
      </c>
      <c r="AZ52" s="12" t="n">
        <f aca="false">IF(AND(ISNUMBER($V52),ISNUMBER($M52)),$V52/$M52,"n/a")</f>
        <v>40</v>
      </c>
      <c r="BA52" s="8" t="str">
        <f aca="false">IF(NOT(ISNUMBER($J52)),"n/a",IF($J52&lt;70000,"1. &lt;Rs70k",IF($J52&lt;100000,"2. Rs70k-1L",IF($J52&lt;150000,"3. Rs1-1.5L",IF($J52&lt;200000,"4. Rs1.5-2L",IF($J52&lt;300000,"5. Rs2-3L","6. &gt;Rs3L"))))))</f>
        <v>1. &lt;Rs70k</v>
      </c>
      <c r="BB52" s="8" t="s">
        <v>30</v>
      </c>
      <c r="BC52" s="8" t="s">
        <v>706</v>
      </c>
      <c r="BD52" s="11" t="s">
        <v>135</v>
      </c>
      <c r="BE52" s="11" t="s">
        <v>707</v>
      </c>
    </row>
    <row r="53" customFormat="false" ht="57.75" hidden="false" customHeight="true" outlineLevel="0" collapsed="false">
      <c r="A53" s="15" t="s">
        <v>708</v>
      </c>
      <c r="B53" s="15" t="s">
        <v>709</v>
      </c>
      <c r="C53" s="15" t="s">
        <v>710</v>
      </c>
      <c r="D53" s="15" t="s">
        <v>711</v>
      </c>
      <c r="E53" s="15" t="s">
        <v>540</v>
      </c>
      <c r="F53" s="15" t="s">
        <v>712</v>
      </c>
      <c r="G53" s="15" t="s">
        <v>662</v>
      </c>
      <c r="H53" s="15" t="s">
        <v>713</v>
      </c>
      <c r="I53" s="16" t="s">
        <v>135</v>
      </c>
      <c r="J53" s="16" t="n">
        <v>79000</v>
      </c>
      <c r="K53" s="15" t="s">
        <v>134</v>
      </c>
      <c r="L53" s="15" t="s">
        <v>714</v>
      </c>
      <c r="M53" s="17" t="n">
        <v>1.9</v>
      </c>
      <c r="N53" s="15" t="s">
        <v>715</v>
      </c>
      <c r="O53" s="15" t="s">
        <v>242</v>
      </c>
      <c r="P53" s="18" t="s">
        <v>135</v>
      </c>
      <c r="Q53" s="15" t="s">
        <v>244</v>
      </c>
      <c r="R53" s="19" t="n">
        <v>1.5</v>
      </c>
      <c r="S53" s="20" t="s">
        <v>135</v>
      </c>
      <c r="T53" s="20" t="n">
        <v>65</v>
      </c>
      <c r="U53" s="19" t="s">
        <v>135</v>
      </c>
      <c r="V53" s="20" t="n">
        <v>85</v>
      </c>
      <c r="W53" s="15" t="s">
        <v>664</v>
      </c>
      <c r="X53" s="20" t="n">
        <v>60</v>
      </c>
      <c r="Y53" s="20" t="s">
        <v>135</v>
      </c>
      <c r="Z53" s="18" t="s">
        <v>135</v>
      </c>
      <c r="AA53" s="18" t="s">
        <v>716</v>
      </c>
      <c r="AB53" s="23" t="s">
        <v>135</v>
      </c>
      <c r="AC53" s="23" t="s">
        <v>135</v>
      </c>
      <c r="AD53" s="23" t="s">
        <v>135</v>
      </c>
      <c r="AE53" s="23" t="s">
        <v>135</v>
      </c>
      <c r="AF53" s="23" t="s">
        <v>135</v>
      </c>
      <c r="AG53" s="23" t="s">
        <v>135</v>
      </c>
      <c r="AH53" s="23" t="s">
        <v>135</v>
      </c>
      <c r="AI53" s="15" t="s">
        <v>135</v>
      </c>
      <c r="AJ53" s="15" t="s">
        <v>314</v>
      </c>
      <c r="AK53" s="18" t="s">
        <v>247</v>
      </c>
      <c r="AL53" s="15" t="s">
        <v>145</v>
      </c>
      <c r="AM53" s="18" t="s">
        <v>315</v>
      </c>
      <c r="AN53" s="18" t="s">
        <v>484</v>
      </c>
      <c r="AO53" s="21" t="n">
        <v>2</v>
      </c>
      <c r="AP53" s="15" t="s">
        <v>135</v>
      </c>
      <c r="AQ53" s="15" t="s">
        <v>135</v>
      </c>
      <c r="AR53" s="18" t="s">
        <v>717</v>
      </c>
      <c r="AS53" s="18" t="s">
        <v>135</v>
      </c>
      <c r="AT53" s="18" t="s">
        <v>269</v>
      </c>
      <c r="AU53" s="18" t="s">
        <v>718</v>
      </c>
      <c r="AV53" s="18" t="s">
        <v>135</v>
      </c>
      <c r="AW53" s="18" t="s">
        <v>719</v>
      </c>
      <c r="AX53" s="18" t="s">
        <v>720</v>
      </c>
      <c r="AY53" s="20" t="n">
        <f aca="false">IF(AND(ISNUMBER($J53),ISNUMBER($M53)),$J53/$M53,"n/a")</f>
        <v>41578.9473684211</v>
      </c>
      <c r="AZ53" s="19" t="n">
        <f aca="false">IF(AND(ISNUMBER($V53),ISNUMBER($M53)),$V53/$M53,"n/a")</f>
        <v>44.7368421052632</v>
      </c>
      <c r="BA53" s="15" t="str">
        <f aca="false">IF(NOT(ISNUMBER($J53)),"n/a",IF($J53&lt;70000,"1. &lt;Rs70k",IF($J53&lt;100000,"2. Rs70k-1L",IF($J53&lt;150000,"3. Rs1-1.5L",IF($J53&lt;200000,"4. Rs1.5-2L",IF($J53&lt;300000,"5. Rs2-3L","6. &gt;Rs3L"))))))</f>
        <v>2. Rs70k-1L</v>
      </c>
      <c r="BB53" s="15" t="s">
        <v>32</v>
      </c>
      <c r="BC53" s="15" t="s">
        <v>721</v>
      </c>
      <c r="BD53" s="18" t="s">
        <v>135</v>
      </c>
      <c r="BE53" s="18" t="s">
        <v>722</v>
      </c>
    </row>
    <row r="54" customFormat="false" ht="57.75" hidden="false" customHeight="true" outlineLevel="0" collapsed="false">
      <c r="A54" s="8" t="s">
        <v>723</v>
      </c>
      <c r="B54" s="8" t="s">
        <v>724</v>
      </c>
      <c r="C54" s="8" t="s">
        <v>725</v>
      </c>
      <c r="D54" s="8" t="s">
        <v>726</v>
      </c>
      <c r="E54" s="8" t="s">
        <v>540</v>
      </c>
      <c r="F54" s="8" t="s">
        <v>131</v>
      </c>
      <c r="G54" s="8" t="s">
        <v>198</v>
      </c>
      <c r="H54" s="8" t="s">
        <v>693</v>
      </c>
      <c r="I54" s="9" t="s">
        <v>135</v>
      </c>
      <c r="J54" s="9" t="n">
        <v>95000</v>
      </c>
      <c r="K54" s="8" t="s">
        <v>134</v>
      </c>
      <c r="L54" s="8" t="s">
        <v>135</v>
      </c>
      <c r="M54" s="10" t="n">
        <v>2.5</v>
      </c>
      <c r="N54" s="8" t="s">
        <v>482</v>
      </c>
      <c r="O54" s="8" t="s">
        <v>242</v>
      </c>
      <c r="P54" s="11" t="s">
        <v>135</v>
      </c>
      <c r="Q54" s="8" t="s">
        <v>244</v>
      </c>
      <c r="R54" s="12" t="n">
        <v>2.2</v>
      </c>
      <c r="S54" s="13" t="s">
        <v>135</v>
      </c>
      <c r="T54" s="13" t="n">
        <v>60</v>
      </c>
      <c r="U54" s="12" t="s">
        <v>135</v>
      </c>
      <c r="V54" s="13" t="n">
        <v>120</v>
      </c>
      <c r="W54" s="8" t="s">
        <v>664</v>
      </c>
      <c r="X54" s="13" t="n">
        <v>85</v>
      </c>
      <c r="Y54" s="13" t="s">
        <v>135</v>
      </c>
      <c r="Z54" s="11" t="s">
        <v>135</v>
      </c>
      <c r="AA54" s="11" t="s">
        <v>264</v>
      </c>
      <c r="AB54" s="22" t="s">
        <v>135</v>
      </c>
      <c r="AC54" s="22" t="s">
        <v>135</v>
      </c>
      <c r="AD54" s="22" t="s">
        <v>135</v>
      </c>
      <c r="AE54" s="22" t="s">
        <v>135</v>
      </c>
      <c r="AF54" s="22" t="s">
        <v>135</v>
      </c>
      <c r="AG54" s="22" t="s">
        <v>135</v>
      </c>
      <c r="AH54" s="22" t="s">
        <v>135</v>
      </c>
      <c r="AI54" s="8" t="s">
        <v>135</v>
      </c>
      <c r="AJ54" s="8" t="s">
        <v>314</v>
      </c>
      <c r="AK54" s="11" t="s">
        <v>247</v>
      </c>
      <c r="AL54" s="8" t="s">
        <v>145</v>
      </c>
      <c r="AM54" s="11" t="s">
        <v>315</v>
      </c>
      <c r="AN54" s="11" t="s">
        <v>484</v>
      </c>
      <c r="AO54" s="14" t="n">
        <v>2</v>
      </c>
      <c r="AP54" s="8" t="s">
        <v>135</v>
      </c>
      <c r="AQ54" s="8" t="s">
        <v>135</v>
      </c>
      <c r="AR54" s="11" t="s">
        <v>727</v>
      </c>
      <c r="AS54" s="11" t="s">
        <v>135</v>
      </c>
      <c r="AT54" s="11" t="s">
        <v>269</v>
      </c>
      <c r="AU54" s="11" t="s">
        <v>269</v>
      </c>
      <c r="AV54" s="11" t="s">
        <v>135</v>
      </c>
      <c r="AW54" s="11" t="s">
        <v>704</v>
      </c>
      <c r="AX54" s="11" t="s">
        <v>728</v>
      </c>
      <c r="AY54" s="13" t="n">
        <f aca="false">IF(AND(ISNUMBER($J54),ISNUMBER($M54)),$J54/$M54,"n/a")</f>
        <v>38000</v>
      </c>
      <c r="AZ54" s="12" t="n">
        <f aca="false">IF(AND(ISNUMBER($V54),ISNUMBER($M54)),$V54/$M54,"n/a")</f>
        <v>48</v>
      </c>
      <c r="BA54" s="8" t="str">
        <f aca="false">IF(NOT(ISNUMBER($J54)),"n/a",IF($J54&lt;70000,"1. &lt;Rs70k",IF($J54&lt;100000,"2. Rs70k-1L",IF($J54&lt;150000,"3. Rs1-1.5L",IF($J54&lt;200000,"4. Rs1.5-2L",IF($J54&lt;300000,"5. Rs2-3L","6. &gt;Rs3L"))))))</f>
        <v>2. Rs70k-1L</v>
      </c>
      <c r="BB54" s="8" t="s">
        <v>32</v>
      </c>
      <c r="BC54" s="8" t="s">
        <v>419</v>
      </c>
      <c r="BD54" s="11" t="s">
        <v>135</v>
      </c>
      <c r="BE54" s="11" t="s">
        <v>729</v>
      </c>
    </row>
    <row r="55" customFormat="false" ht="57.75" hidden="false" customHeight="true" outlineLevel="0" collapsed="false">
      <c r="A55" s="15" t="s">
        <v>730</v>
      </c>
      <c r="B55" s="15" t="s">
        <v>731</v>
      </c>
      <c r="C55" s="15" t="s">
        <v>732</v>
      </c>
      <c r="D55" s="15" t="s">
        <v>733</v>
      </c>
      <c r="E55" s="15" t="s">
        <v>540</v>
      </c>
      <c r="F55" s="15" t="s">
        <v>734</v>
      </c>
      <c r="G55" s="15" t="s">
        <v>735</v>
      </c>
      <c r="H55" s="15" t="s">
        <v>693</v>
      </c>
      <c r="I55" s="16" t="s">
        <v>135</v>
      </c>
      <c r="J55" s="16" t="n">
        <v>90000</v>
      </c>
      <c r="K55" s="15" t="s">
        <v>134</v>
      </c>
      <c r="L55" s="15" t="s">
        <v>135</v>
      </c>
      <c r="M55" s="17" t="n">
        <v>2</v>
      </c>
      <c r="N55" s="15" t="s">
        <v>482</v>
      </c>
      <c r="O55" s="15" t="s">
        <v>242</v>
      </c>
      <c r="P55" s="18" t="s">
        <v>135</v>
      </c>
      <c r="Q55" s="15" t="s">
        <v>244</v>
      </c>
      <c r="R55" s="19" t="n">
        <v>1</v>
      </c>
      <c r="S55" s="20" t="s">
        <v>135</v>
      </c>
      <c r="T55" s="20" t="n">
        <v>58</v>
      </c>
      <c r="U55" s="19" t="s">
        <v>135</v>
      </c>
      <c r="V55" s="20" t="n">
        <v>88</v>
      </c>
      <c r="W55" s="15" t="s">
        <v>664</v>
      </c>
      <c r="X55" s="20" t="n">
        <v>65</v>
      </c>
      <c r="Y55" s="20" t="s">
        <v>135</v>
      </c>
      <c r="Z55" s="18" t="s">
        <v>135</v>
      </c>
      <c r="AA55" s="18" t="s">
        <v>264</v>
      </c>
      <c r="AB55" s="23" t="s">
        <v>135</v>
      </c>
      <c r="AC55" s="23" t="s">
        <v>135</v>
      </c>
      <c r="AD55" s="23" t="s">
        <v>135</v>
      </c>
      <c r="AE55" s="23" t="s">
        <v>135</v>
      </c>
      <c r="AF55" s="23" t="s">
        <v>135</v>
      </c>
      <c r="AG55" s="23" t="s">
        <v>135</v>
      </c>
      <c r="AH55" s="23" t="s">
        <v>135</v>
      </c>
      <c r="AI55" s="15" t="s">
        <v>135</v>
      </c>
      <c r="AJ55" s="15" t="s">
        <v>314</v>
      </c>
      <c r="AK55" s="18" t="s">
        <v>247</v>
      </c>
      <c r="AL55" s="15" t="s">
        <v>145</v>
      </c>
      <c r="AM55" s="18" t="s">
        <v>315</v>
      </c>
      <c r="AN55" s="18" t="s">
        <v>484</v>
      </c>
      <c r="AO55" s="21" t="n">
        <v>2</v>
      </c>
      <c r="AP55" s="15" t="s">
        <v>135</v>
      </c>
      <c r="AQ55" s="15" t="s">
        <v>135</v>
      </c>
      <c r="AR55" s="18" t="s">
        <v>135</v>
      </c>
      <c r="AS55" s="18" t="s">
        <v>135</v>
      </c>
      <c r="AT55" s="18" t="s">
        <v>269</v>
      </c>
      <c r="AU55" s="18" t="s">
        <v>269</v>
      </c>
      <c r="AV55" s="18" t="s">
        <v>135</v>
      </c>
      <c r="AW55" s="18" t="s">
        <v>719</v>
      </c>
      <c r="AX55" s="18" t="s">
        <v>736</v>
      </c>
      <c r="AY55" s="20" t="n">
        <f aca="false">IF(AND(ISNUMBER($J55),ISNUMBER($M55)),$J55/$M55,"n/a")</f>
        <v>45000</v>
      </c>
      <c r="AZ55" s="19" t="n">
        <f aca="false">IF(AND(ISNUMBER($V55),ISNUMBER($M55)),$V55/$M55,"n/a")</f>
        <v>44</v>
      </c>
      <c r="BA55" s="15" t="str">
        <f aca="false">IF(NOT(ISNUMBER($J55)),"n/a",IF($J55&lt;70000,"1. &lt;Rs70k",IF($J55&lt;100000,"2. Rs70k-1L",IF($J55&lt;150000,"3. Rs1-1.5L",IF($J55&lt;200000,"4. Rs1.5-2L",IF($J55&lt;300000,"5. Rs2-3L","6. &gt;Rs3L"))))))</f>
        <v>2. Rs70k-1L</v>
      </c>
      <c r="BB55" s="15" t="s">
        <v>32</v>
      </c>
      <c r="BC55" s="15" t="s">
        <v>737</v>
      </c>
      <c r="BD55" s="18" t="s">
        <v>135</v>
      </c>
      <c r="BE55" s="18" t="s">
        <v>738</v>
      </c>
    </row>
    <row r="56" customFormat="false" ht="57.75" hidden="false" customHeight="true" outlineLevel="0" collapsed="false">
      <c r="A56" s="8" t="s">
        <v>739</v>
      </c>
      <c r="B56" s="8" t="s">
        <v>740</v>
      </c>
      <c r="C56" s="8" t="s">
        <v>741</v>
      </c>
      <c r="D56" s="8" t="s">
        <v>742</v>
      </c>
      <c r="E56" s="8" t="s">
        <v>540</v>
      </c>
      <c r="F56" s="8" t="s">
        <v>743</v>
      </c>
      <c r="G56" s="8" t="s">
        <v>744</v>
      </c>
      <c r="H56" s="8" t="s">
        <v>693</v>
      </c>
      <c r="I56" s="9" t="s">
        <v>135</v>
      </c>
      <c r="J56" s="9" t="s">
        <v>135</v>
      </c>
      <c r="K56" s="8" t="s">
        <v>745</v>
      </c>
      <c r="L56" s="8" t="s">
        <v>135</v>
      </c>
      <c r="M56" s="10" t="n">
        <v>1.5</v>
      </c>
      <c r="N56" s="8" t="s">
        <v>482</v>
      </c>
      <c r="O56" s="8" t="s">
        <v>242</v>
      </c>
      <c r="P56" s="11" t="s">
        <v>135</v>
      </c>
      <c r="Q56" s="8" t="s">
        <v>244</v>
      </c>
      <c r="R56" s="12" t="n">
        <v>1.2</v>
      </c>
      <c r="S56" s="13" t="s">
        <v>135</v>
      </c>
      <c r="T56" s="13" t="n">
        <v>45</v>
      </c>
      <c r="U56" s="12" t="s">
        <v>135</v>
      </c>
      <c r="V56" s="13" t="n">
        <v>82</v>
      </c>
      <c r="W56" s="8" t="s">
        <v>664</v>
      </c>
      <c r="X56" s="13" t="n">
        <v>60</v>
      </c>
      <c r="Y56" s="13" t="s">
        <v>135</v>
      </c>
      <c r="Z56" s="11" t="s">
        <v>135</v>
      </c>
      <c r="AA56" s="11" t="s">
        <v>264</v>
      </c>
      <c r="AB56" s="22" t="s">
        <v>135</v>
      </c>
      <c r="AC56" s="22" t="s">
        <v>135</v>
      </c>
      <c r="AD56" s="22" t="s">
        <v>135</v>
      </c>
      <c r="AE56" s="22" t="s">
        <v>135</v>
      </c>
      <c r="AF56" s="22" t="s">
        <v>135</v>
      </c>
      <c r="AG56" s="22" t="s">
        <v>135</v>
      </c>
      <c r="AH56" s="22" t="s">
        <v>135</v>
      </c>
      <c r="AI56" s="8" t="s">
        <v>135</v>
      </c>
      <c r="AJ56" s="8" t="s">
        <v>314</v>
      </c>
      <c r="AK56" s="11" t="s">
        <v>247</v>
      </c>
      <c r="AL56" s="8" t="s">
        <v>135</v>
      </c>
      <c r="AM56" s="11" t="s">
        <v>315</v>
      </c>
      <c r="AN56" s="11" t="s">
        <v>571</v>
      </c>
      <c r="AO56" s="14" t="n">
        <v>2</v>
      </c>
      <c r="AP56" s="8" t="s">
        <v>135</v>
      </c>
      <c r="AQ56" s="8" t="s">
        <v>135</v>
      </c>
      <c r="AR56" s="11" t="s">
        <v>135</v>
      </c>
      <c r="AS56" s="11" t="s">
        <v>135</v>
      </c>
      <c r="AT56" s="11" t="s">
        <v>135</v>
      </c>
      <c r="AU56" s="11" t="s">
        <v>135</v>
      </c>
      <c r="AV56" s="11" t="s">
        <v>135</v>
      </c>
      <c r="AW56" s="11" t="s">
        <v>746</v>
      </c>
      <c r="AX56" s="11" t="s">
        <v>747</v>
      </c>
      <c r="AY56" s="13" t="str">
        <f aca="false">IF(AND(ISNUMBER($J56),ISNUMBER($M56)),$J56/$M56,"n/a")</f>
        <v>n/a</v>
      </c>
      <c r="AZ56" s="12" t="n">
        <f aca="false">IF(AND(ISNUMBER($V56),ISNUMBER($M56)),$V56/$M56,"n/a")</f>
        <v>54.6666666666667</v>
      </c>
      <c r="BA56" s="8" t="str">
        <f aca="false">IF(NOT(ISNUMBER($J56)),"n/a",IF($J56&lt;70000,"1. &lt;Rs70k",IF($J56&lt;100000,"2. Rs70k-1L",IF($J56&lt;150000,"3. Rs1-1.5L",IF($J56&lt;200000,"4. Rs1.5-2L",IF($J56&lt;300000,"5. Rs2-3L","6. &gt;Rs3L"))))))</f>
        <v>n/a</v>
      </c>
      <c r="BB56" s="8" t="s">
        <v>28</v>
      </c>
      <c r="BC56" s="8" t="s">
        <v>748</v>
      </c>
      <c r="BD56" s="11" t="s">
        <v>749</v>
      </c>
      <c r="BE56" s="11" t="s">
        <v>750</v>
      </c>
    </row>
    <row r="57" customFormat="false" ht="57.75" hidden="false" customHeight="true" outlineLevel="0" collapsed="false">
      <c r="A57" s="15" t="s">
        <v>751</v>
      </c>
      <c r="B57" s="15" t="s">
        <v>752</v>
      </c>
      <c r="C57" s="15" t="s">
        <v>753</v>
      </c>
      <c r="D57" s="15" t="s">
        <v>754</v>
      </c>
      <c r="E57" s="15" t="s">
        <v>540</v>
      </c>
      <c r="F57" s="15" t="s">
        <v>131</v>
      </c>
      <c r="G57" s="15" t="s">
        <v>755</v>
      </c>
      <c r="H57" s="15" t="s">
        <v>693</v>
      </c>
      <c r="I57" s="16" t="s">
        <v>135</v>
      </c>
      <c r="J57" s="16" t="n">
        <v>105000</v>
      </c>
      <c r="K57" s="15" t="s">
        <v>134</v>
      </c>
      <c r="L57" s="15" t="s">
        <v>135</v>
      </c>
      <c r="M57" s="17" t="n">
        <v>2.9</v>
      </c>
      <c r="N57" s="15" t="s">
        <v>482</v>
      </c>
      <c r="O57" s="15" t="s">
        <v>242</v>
      </c>
      <c r="P57" s="18" t="s">
        <v>135</v>
      </c>
      <c r="Q57" s="15" t="s">
        <v>244</v>
      </c>
      <c r="R57" s="19" t="n">
        <v>2.5</v>
      </c>
      <c r="S57" s="20" t="s">
        <v>135</v>
      </c>
      <c r="T57" s="20" t="n">
        <v>75</v>
      </c>
      <c r="U57" s="19" t="s">
        <v>135</v>
      </c>
      <c r="V57" s="20" t="n">
        <v>110</v>
      </c>
      <c r="W57" s="15" t="s">
        <v>664</v>
      </c>
      <c r="X57" s="20" t="n">
        <v>78</v>
      </c>
      <c r="Y57" s="20" t="s">
        <v>135</v>
      </c>
      <c r="Z57" s="18" t="s">
        <v>135</v>
      </c>
      <c r="AA57" s="18" t="s">
        <v>264</v>
      </c>
      <c r="AB57" s="23" t="s">
        <v>135</v>
      </c>
      <c r="AC57" s="23" t="s">
        <v>135</v>
      </c>
      <c r="AD57" s="23" t="s">
        <v>135</v>
      </c>
      <c r="AE57" s="23" t="s">
        <v>135</v>
      </c>
      <c r="AF57" s="23" t="s">
        <v>135</v>
      </c>
      <c r="AG57" s="23" t="s">
        <v>135</v>
      </c>
      <c r="AH57" s="23" t="s">
        <v>135</v>
      </c>
      <c r="AI57" s="15" t="s">
        <v>135</v>
      </c>
      <c r="AJ57" s="15" t="s">
        <v>314</v>
      </c>
      <c r="AK57" s="18" t="s">
        <v>265</v>
      </c>
      <c r="AL57" s="15" t="s">
        <v>145</v>
      </c>
      <c r="AM57" s="18" t="s">
        <v>315</v>
      </c>
      <c r="AN57" s="18" t="s">
        <v>484</v>
      </c>
      <c r="AO57" s="21" t="n">
        <v>3</v>
      </c>
      <c r="AP57" s="15" t="s">
        <v>135</v>
      </c>
      <c r="AQ57" s="15" t="s">
        <v>135</v>
      </c>
      <c r="AR57" s="18" t="s">
        <v>135</v>
      </c>
      <c r="AS57" s="18" t="s">
        <v>205</v>
      </c>
      <c r="AT57" s="18" t="s">
        <v>269</v>
      </c>
      <c r="AU57" s="18" t="s">
        <v>269</v>
      </c>
      <c r="AV57" s="18" t="s">
        <v>135</v>
      </c>
      <c r="AW57" s="18" t="s">
        <v>756</v>
      </c>
      <c r="AX57" s="18" t="s">
        <v>757</v>
      </c>
      <c r="AY57" s="20" t="n">
        <f aca="false">IF(AND(ISNUMBER($J57),ISNUMBER($M57)),$J57/$M57,"n/a")</f>
        <v>36206.8965517241</v>
      </c>
      <c r="AZ57" s="19" t="n">
        <f aca="false">IF(AND(ISNUMBER($V57),ISNUMBER($M57)),$V57/$M57,"n/a")</f>
        <v>37.9310344827586</v>
      </c>
      <c r="BA57" s="15" t="str">
        <f aca="false">IF(NOT(ISNUMBER($J57)),"n/a",IF($J57&lt;70000,"1. &lt;Rs70k",IF($J57&lt;100000,"2. Rs70k-1L",IF($J57&lt;150000,"3. Rs1-1.5L",IF($J57&lt;200000,"4. Rs1.5-2L",IF($J57&lt;300000,"5. Rs2-3L","6. &gt;Rs3L"))))))</f>
        <v>3. Rs1-1.5L</v>
      </c>
      <c r="BB57" s="15" t="s">
        <v>32</v>
      </c>
      <c r="BC57" s="15" t="s">
        <v>419</v>
      </c>
      <c r="BD57" s="18" t="s">
        <v>135</v>
      </c>
      <c r="BE57" s="18" t="s">
        <v>758</v>
      </c>
    </row>
    <row r="58" customFormat="false" ht="57.75" hidden="false" customHeight="true" outlineLevel="0" collapsed="false">
      <c r="A58" s="8" t="s">
        <v>759</v>
      </c>
      <c r="B58" s="8" t="s">
        <v>760</v>
      </c>
      <c r="C58" s="8" t="s">
        <v>761</v>
      </c>
      <c r="D58" s="8" t="s">
        <v>762</v>
      </c>
      <c r="E58" s="8" t="s">
        <v>540</v>
      </c>
      <c r="F58" s="8" t="s">
        <v>131</v>
      </c>
      <c r="G58" s="8" t="s">
        <v>755</v>
      </c>
      <c r="H58" s="8" t="s">
        <v>693</v>
      </c>
      <c r="I58" s="9" t="s">
        <v>135</v>
      </c>
      <c r="J58" s="9" t="n">
        <v>85000</v>
      </c>
      <c r="K58" s="8" t="s">
        <v>134</v>
      </c>
      <c r="L58" s="8" t="s">
        <v>135</v>
      </c>
      <c r="M58" s="10" t="n">
        <v>2</v>
      </c>
      <c r="N58" s="8" t="s">
        <v>482</v>
      </c>
      <c r="O58" s="8" t="s">
        <v>242</v>
      </c>
      <c r="P58" s="11" t="s">
        <v>135</v>
      </c>
      <c r="Q58" s="8" t="s">
        <v>244</v>
      </c>
      <c r="R58" s="12" t="n">
        <v>1.5</v>
      </c>
      <c r="S58" s="13" t="s">
        <v>135</v>
      </c>
      <c r="T58" s="13" t="n">
        <v>60</v>
      </c>
      <c r="U58" s="12" t="s">
        <v>135</v>
      </c>
      <c r="V58" s="13" t="n">
        <v>90</v>
      </c>
      <c r="W58" s="8" t="s">
        <v>664</v>
      </c>
      <c r="X58" s="13" t="n">
        <v>65</v>
      </c>
      <c r="Y58" s="13" t="s">
        <v>135</v>
      </c>
      <c r="Z58" s="11" t="s">
        <v>135</v>
      </c>
      <c r="AA58" s="11" t="s">
        <v>264</v>
      </c>
      <c r="AB58" s="22" t="s">
        <v>135</v>
      </c>
      <c r="AC58" s="22" t="s">
        <v>135</v>
      </c>
      <c r="AD58" s="22" t="s">
        <v>135</v>
      </c>
      <c r="AE58" s="22" t="s">
        <v>135</v>
      </c>
      <c r="AF58" s="22" t="s">
        <v>135</v>
      </c>
      <c r="AG58" s="22" t="s">
        <v>135</v>
      </c>
      <c r="AH58" s="22" t="s">
        <v>135</v>
      </c>
      <c r="AI58" s="8" t="s">
        <v>135</v>
      </c>
      <c r="AJ58" s="8" t="s">
        <v>314</v>
      </c>
      <c r="AK58" s="11" t="s">
        <v>247</v>
      </c>
      <c r="AL58" s="8" t="s">
        <v>145</v>
      </c>
      <c r="AM58" s="11" t="s">
        <v>315</v>
      </c>
      <c r="AN58" s="11" t="s">
        <v>571</v>
      </c>
      <c r="AO58" s="14" t="n">
        <v>2</v>
      </c>
      <c r="AP58" s="8" t="s">
        <v>135</v>
      </c>
      <c r="AQ58" s="8" t="s">
        <v>135</v>
      </c>
      <c r="AR58" s="11" t="s">
        <v>135</v>
      </c>
      <c r="AS58" s="11" t="s">
        <v>135</v>
      </c>
      <c r="AT58" s="11" t="s">
        <v>269</v>
      </c>
      <c r="AU58" s="11" t="s">
        <v>269</v>
      </c>
      <c r="AV58" s="11" t="s">
        <v>135</v>
      </c>
      <c r="AW58" s="11" t="s">
        <v>763</v>
      </c>
      <c r="AX58" s="11" t="s">
        <v>135</v>
      </c>
      <c r="AY58" s="13" t="n">
        <f aca="false">IF(AND(ISNUMBER($J58),ISNUMBER($M58)),$J58/$M58,"n/a")</f>
        <v>42500</v>
      </c>
      <c r="AZ58" s="12" t="n">
        <f aca="false">IF(AND(ISNUMBER($V58),ISNUMBER($M58)),$V58/$M58,"n/a")</f>
        <v>45</v>
      </c>
      <c r="BA58" s="8" t="str">
        <f aca="false">IF(NOT(ISNUMBER($J58)),"n/a",IF($J58&lt;70000,"1. &lt;Rs70k",IF($J58&lt;100000,"2. Rs70k-1L",IF($J58&lt;150000,"3. Rs1-1.5L",IF($J58&lt;200000,"4. Rs1.5-2L",IF($J58&lt;300000,"5. Rs2-3L","6. &gt;Rs3L"))))))</f>
        <v>2. Rs70k-1L</v>
      </c>
      <c r="BB58" s="8" t="s">
        <v>32</v>
      </c>
      <c r="BC58" s="8" t="s">
        <v>419</v>
      </c>
      <c r="BD58" s="11" t="s">
        <v>135</v>
      </c>
      <c r="BE58" s="11" t="s">
        <v>135</v>
      </c>
    </row>
    <row r="59" customFormat="false" ht="57.75" hidden="false" customHeight="true" outlineLevel="0" collapsed="false">
      <c r="A59" s="15" t="s">
        <v>764</v>
      </c>
      <c r="B59" s="15" t="s">
        <v>765</v>
      </c>
      <c r="C59" s="15" t="s">
        <v>766</v>
      </c>
      <c r="D59" s="15" t="s">
        <v>767</v>
      </c>
      <c r="E59" s="15" t="s">
        <v>540</v>
      </c>
      <c r="F59" s="15" t="s">
        <v>131</v>
      </c>
      <c r="G59" s="15" t="s">
        <v>755</v>
      </c>
      <c r="H59" s="15" t="s">
        <v>768</v>
      </c>
      <c r="I59" s="16" t="s">
        <v>135</v>
      </c>
      <c r="J59" s="16" t="n">
        <v>75000</v>
      </c>
      <c r="K59" s="15" t="s">
        <v>134</v>
      </c>
      <c r="L59" s="15" t="s">
        <v>135</v>
      </c>
      <c r="M59" s="17" t="n">
        <v>1.8</v>
      </c>
      <c r="N59" s="15" t="s">
        <v>482</v>
      </c>
      <c r="O59" s="15" t="s">
        <v>769</v>
      </c>
      <c r="P59" s="18" t="s">
        <v>135</v>
      </c>
      <c r="Q59" s="15" t="s">
        <v>244</v>
      </c>
      <c r="R59" s="19" t="n">
        <v>1</v>
      </c>
      <c r="S59" s="20" t="s">
        <v>135</v>
      </c>
      <c r="T59" s="20" t="n">
        <v>45</v>
      </c>
      <c r="U59" s="19" t="s">
        <v>135</v>
      </c>
      <c r="V59" s="20" t="n">
        <v>80</v>
      </c>
      <c r="W59" s="15" t="s">
        <v>664</v>
      </c>
      <c r="X59" s="20" t="n">
        <v>55</v>
      </c>
      <c r="Y59" s="20" t="s">
        <v>135</v>
      </c>
      <c r="Z59" s="18" t="s">
        <v>135</v>
      </c>
      <c r="AA59" s="18" t="s">
        <v>264</v>
      </c>
      <c r="AB59" s="23" t="s">
        <v>135</v>
      </c>
      <c r="AC59" s="23" t="s">
        <v>135</v>
      </c>
      <c r="AD59" s="23" t="s">
        <v>135</v>
      </c>
      <c r="AE59" s="23" t="s">
        <v>135</v>
      </c>
      <c r="AF59" s="23" t="s">
        <v>135</v>
      </c>
      <c r="AG59" s="23" t="s">
        <v>135</v>
      </c>
      <c r="AH59" s="23" t="s">
        <v>135</v>
      </c>
      <c r="AI59" s="15" t="s">
        <v>135</v>
      </c>
      <c r="AJ59" s="15" t="s">
        <v>770</v>
      </c>
      <c r="AK59" s="18" t="s">
        <v>247</v>
      </c>
      <c r="AL59" s="15" t="s">
        <v>135</v>
      </c>
      <c r="AM59" s="18" t="s">
        <v>315</v>
      </c>
      <c r="AN59" s="18" t="s">
        <v>571</v>
      </c>
      <c r="AO59" s="21" t="n">
        <v>1</v>
      </c>
      <c r="AP59" s="15" t="s">
        <v>135</v>
      </c>
      <c r="AQ59" s="15" t="s">
        <v>135</v>
      </c>
      <c r="AR59" s="18" t="s">
        <v>771</v>
      </c>
      <c r="AS59" s="18" t="s">
        <v>135</v>
      </c>
      <c r="AT59" s="18" t="s">
        <v>772</v>
      </c>
      <c r="AU59" s="18" t="s">
        <v>772</v>
      </c>
      <c r="AV59" s="18" t="s">
        <v>135</v>
      </c>
      <c r="AW59" s="18" t="s">
        <v>773</v>
      </c>
      <c r="AX59" s="18" t="s">
        <v>774</v>
      </c>
      <c r="AY59" s="20" t="n">
        <f aca="false">IF(AND(ISNUMBER($J59),ISNUMBER($M59)),$J59/$M59,"n/a")</f>
        <v>41666.6666666667</v>
      </c>
      <c r="AZ59" s="19" t="n">
        <f aca="false">IF(AND(ISNUMBER($V59),ISNUMBER($M59)),$V59/$M59,"n/a")</f>
        <v>44.4444444444444</v>
      </c>
      <c r="BA59" s="15" t="str">
        <f aca="false">IF(NOT(ISNUMBER($J59)),"n/a",IF($J59&lt;70000,"1. &lt;Rs70k",IF($J59&lt;100000,"2. Rs70k-1L",IF($J59&lt;150000,"3. Rs1-1.5L",IF($J59&lt;200000,"4. Rs1.5-2L",IF($J59&lt;300000,"5. Rs2-3L","6. &gt;Rs3L"))))))</f>
        <v>2. Rs70k-1L</v>
      </c>
      <c r="BB59" s="15" t="s">
        <v>32</v>
      </c>
      <c r="BC59" s="15" t="s">
        <v>775</v>
      </c>
      <c r="BD59" s="18" t="s">
        <v>135</v>
      </c>
      <c r="BE59" s="18" t="s">
        <v>776</v>
      </c>
    </row>
    <row r="60" customFormat="false" ht="57.75" hidden="false" customHeight="true" outlineLevel="0" collapsed="false">
      <c r="A60" s="8" t="s">
        <v>777</v>
      </c>
      <c r="B60" s="8" t="s">
        <v>778</v>
      </c>
      <c r="C60" s="8" t="s">
        <v>779</v>
      </c>
      <c r="D60" s="8" t="s">
        <v>780</v>
      </c>
      <c r="E60" s="8" t="s">
        <v>781</v>
      </c>
      <c r="F60" s="8" t="s">
        <v>782</v>
      </c>
      <c r="G60" s="8" t="s">
        <v>783</v>
      </c>
      <c r="H60" s="8" t="s">
        <v>784</v>
      </c>
      <c r="I60" s="9" t="n">
        <v>120000</v>
      </c>
      <c r="J60" s="9" t="s">
        <v>135</v>
      </c>
      <c r="K60" s="8" t="s">
        <v>134</v>
      </c>
      <c r="L60" s="8" t="s">
        <v>135</v>
      </c>
      <c r="M60" s="10" t="n">
        <v>6</v>
      </c>
      <c r="N60" s="8" t="s">
        <v>136</v>
      </c>
      <c r="O60" s="8" t="s">
        <v>242</v>
      </c>
      <c r="P60" s="11" t="s">
        <v>785</v>
      </c>
      <c r="Q60" s="8" t="s">
        <v>326</v>
      </c>
      <c r="R60" s="12" t="n">
        <v>14</v>
      </c>
      <c r="S60" s="13" t="s">
        <v>135</v>
      </c>
      <c r="T60" s="13" t="n">
        <v>125</v>
      </c>
      <c r="U60" s="12" t="n">
        <v>2.9</v>
      </c>
      <c r="V60" s="13" t="n">
        <v>261</v>
      </c>
      <c r="W60" s="8" t="s">
        <v>140</v>
      </c>
      <c r="X60" s="13" t="n">
        <v>180</v>
      </c>
      <c r="Y60" s="13" t="s">
        <v>135</v>
      </c>
      <c r="Z60" s="11" t="s">
        <v>135</v>
      </c>
      <c r="AA60" s="11" t="s">
        <v>148</v>
      </c>
      <c r="AB60" s="22" t="s">
        <v>135</v>
      </c>
      <c r="AC60" s="22" t="s">
        <v>135</v>
      </c>
      <c r="AD60" s="22" t="s">
        <v>135</v>
      </c>
      <c r="AE60" s="22" t="s">
        <v>135</v>
      </c>
      <c r="AF60" s="22" t="s">
        <v>135</v>
      </c>
      <c r="AG60" s="22" t="s">
        <v>135</v>
      </c>
      <c r="AH60" s="22" t="s">
        <v>135</v>
      </c>
      <c r="AI60" s="14" t="n">
        <v>34</v>
      </c>
      <c r="AJ60" s="8" t="s">
        <v>786</v>
      </c>
      <c r="AK60" s="11" t="s">
        <v>216</v>
      </c>
      <c r="AL60" s="8" t="s">
        <v>329</v>
      </c>
      <c r="AM60" s="11" t="s">
        <v>787</v>
      </c>
      <c r="AN60" s="11" t="s">
        <v>331</v>
      </c>
      <c r="AO60" s="14" t="n">
        <v>4</v>
      </c>
      <c r="AP60" s="8" t="s">
        <v>148</v>
      </c>
      <c r="AQ60" s="8" t="s">
        <v>148</v>
      </c>
      <c r="AR60" s="11" t="s">
        <v>788</v>
      </c>
      <c r="AS60" s="11" t="s">
        <v>135</v>
      </c>
      <c r="AT60" s="11" t="s">
        <v>269</v>
      </c>
      <c r="AU60" s="11" t="s">
        <v>789</v>
      </c>
      <c r="AV60" s="11" t="s">
        <v>790</v>
      </c>
      <c r="AW60" s="11" t="s">
        <v>791</v>
      </c>
      <c r="AX60" s="11" t="s">
        <v>792</v>
      </c>
      <c r="AY60" s="13" t="str">
        <f aca="false">IF(AND(ISNUMBER($J60),ISNUMBER($M60)),$J60/$M60,"n/a")</f>
        <v>n/a</v>
      </c>
      <c r="AZ60" s="12" t="n">
        <f aca="false">IF(AND(ISNUMBER($V60),ISNUMBER($M60)),$V60/$M60,"n/a")</f>
        <v>43.5</v>
      </c>
      <c r="BA60" s="8" t="str">
        <f aca="false">IF(NOT(ISNUMBER($J60)),"n/a",IF($J60&lt;70000,"1. &lt;Rs70k",IF($J60&lt;100000,"2. Rs70k-1L",IF($J60&lt;150000,"3. Rs1-1.5L",IF($J60&lt;200000,"4. Rs1.5-2L",IF($J60&lt;300000,"5. Rs2-3L","6. &gt;Rs3L"))))))</f>
        <v>n/a</v>
      </c>
      <c r="BB60" s="8" t="s">
        <v>30</v>
      </c>
      <c r="BC60" s="8" t="s">
        <v>793</v>
      </c>
      <c r="BD60" s="11" t="s">
        <v>794</v>
      </c>
      <c r="BE60" s="11" t="s">
        <v>795</v>
      </c>
    </row>
    <row r="61" customFormat="false" ht="57.75" hidden="false" customHeight="true" outlineLevel="0" collapsed="false">
      <c r="A61" s="15" t="s">
        <v>796</v>
      </c>
      <c r="B61" s="15" t="s">
        <v>797</v>
      </c>
      <c r="C61" s="15" t="s">
        <v>798</v>
      </c>
      <c r="D61" s="15" t="s">
        <v>799</v>
      </c>
      <c r="E61" s="15" t="s">
        <v>540</v>
      </c>
      <c r="F61" s="15" t="s">
        <v>800</v>
      </c>
      <c r="G61" s="15" t="s">
        <v>198</v>
      </c>
      <c r="H61" s="15" t="s">
        <v>801</v>
      </c>
      <c r="I61" s="16" t="n">
        <v>1490000</v>
      </c>
      <c r="J61" s="16" t="n">
        <v>1890000</v>
      </c>
      <c r="K61" s="15" t="s">
        <v>134</v>
      </c>
      <c r="L61" s="15" t="s">
        <v>135</v>
      </c>
      <c r="M61" s="17" t="n">
        <v>8.9</v>
      </c>
      <c r="N61" s="15" t="s">
        <v>136</v>
      </c>
      <c r="O61" s="15" t="s">
        <v>242</v>
      </c>
      <c r="P61" s="18" t="s">
        <v>135</v>
      </c>
      <c r="Q61" s="15" t="s">
        <v>802</v>
      </c>
      <c r="R61" s="19" t="n">
        <v>31</v>
      </c>
      <c r="S61" s="20" t="n">
        <v>62</v>
      </c>
      <c r="T61" s="20" t="n">
        <v>120</v>
      </c>
      <c r="U61" s="19" t="n">
        <v>2.6</v>
      </c>
      <c r="V61" s="20" t="n">
        <v>130</v>
      </c>
      <c r="W61" s="15" t="s">
        <v>803</v>
      </c>
      <c r="X61" s="20" t="n">
        <v>110</v>
      </c>
      <c r="Y61" s="20" t="s">
        <v>135</v>
      </c>
      <c r="Z61" s="18" t="s">
        <v>804</v>
      </c>
      <c r="AA61" s="18" t="s">
        <v>148</v>
      </c>
      <c r="AB61" s="20" t="n">
        <v>231</v>
      </c>
      <c r="AC61" s="23" t="s">
        <v>135</v>
      </c>
      <c r="AD61" s="23" t="s">
        <v>135</v>
      </c>
      <c r="AE61" s="23" t="s">
        <v>135</v>
      </c>
      <c r="AF61" s="20" t="n">
        <v>1675</v>
      </c>
      <c r="AG61" s="23" t="s">
        <v>135</v>
      </c>
      <c r="AH61" s="20" t="n">
        <v>780</v>
      </c>
      <c r="AI61" s="15" t="s">
        <v>135</v>
      </c>
      <c r="AJ61" s="15" t="s">
        <v>805</v>
      </c>
      <c r="AK61" s="18" t="s">
        <v>216</v>
      </c>
      <c r="AL61" s="15" t="s">
        <v>806</v>
      </c>
      <c r="AM61" s="18" t="s">
        <v>807</v>
      </c>
      <c r="AN61" s="18" t="s">
        <v>808</v>
      </c>
      <c r="AO61" s="21" t="n">
        <v>3</v>
      </c>
      <c r="AP61" s="15" t="s">
        <v>148</v>
      </c>
      <c r="AQ61" s="15" t="s">
        <v>148</v>
      </c>
      <c r="AR61" s="18" t="s">
        <v>809</v>
      </c>
      <c r="AS61" s="18" t="s">
        <v>135</v>
      </c>
      <c r="AT61" s="18" t="s">
        <v>269</v>
      </c>
      <c r="AU61" s="18" t="s">
        <v>269</v>
      </c>
      <c r="AV61" s="18" t="s">
        <v>810</v>
      </c>
      <c r="AW61" s="18" t="s">
        <v>811</v>
      </c>
      <c r="AX61" s="18" t="s">
        <v>812</v>
      </c>
      <c r="AY61" s="20" t="n">
        <f aca="false">IF(AND(ISNUMBER($J61),ISNUMBER($M61)),$J61/$M61,"n/a")</f>
        <v>212359.550561798</v>
      </c>
      <c r="AZ61" s="19" t="n">
        <f aca="false">IF(AND(ISNUMBER($V61),ISNUMBER($M61)),$V61/$M61,"n/a")</f>
        <v>14.6067415730337</v>
      </c>
      <c r="BA61" s="15" t="str">
        <f aca="false">IF(NOT(ISNUMBER($J61)),"n/a",IF($J61&lt;70000,"1. &lt;Rs70k",IF($J61&lt;100000,"2. Rs70k-1L",IF($J61&lt;150000,"3. Rs1-1.5L",IF($J61&lt;200000,"4. Rs1.5-2L",IF($J61&lt;300000,"5. Rs2-3L","6. &gt;Rs3L"))))))</f>
        <v>6. &gt;Rs3L</v>
      </c>
      <c r="BB61" s="15" t="s">
        <v>30</v>
      </c>
      <c r="BC61" s="15" t="s">
        <v>221</v>
      </c>
      <c r="BD61" s="18" t="s">
        <v>813</v>
      </c>
      <c r="BE61" s="18" t="s">
        <v>814</v>
      </c>
    </row>
  </sheetData>
  <autoFilter ref="A3:BE61"/>
  <mergeCells count="2">
    <mergeCell ref="A1:L1"/>
    <mergeCell ref="A2:N2"/>
  </mergeCells>
  <conditionalFormatting sqref="BB4:BB61">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B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4"/>
    <col collapsed="false" customWidth="true" hidden="false" outlineLevel="0" max="5" min="4" style="0" width="18"/>
    <col collapsed="false" customWidth="true" hidden="false" outlineLevel="0" max="7" min="6" style="0" width="13"/>
    <col collapsed="false" customWidth="true" hidden="false" outlineLevel="0" max="8" min="8"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2" min="12" style="0" width="20"/>
    <col collapsed="false" customWidth="true" hidden="false" outlineLevel="0" max="13" min="13" style="0" width="9"/>
    <col collapsed="false" customWidth="true" hidden="false" outlineLevel="0" max="14" min="14" style="0" width="14"/>
    <col collapsed="false" customWidth="true" hidden="false" outlineLevel="0" max="15" min="15" style="0" width="16"/>
    <col collapsed="false" customWidth="true" hidden="false" outlineLevel="0" max="16" min="16" style="0" width="26"/>
    <col collapsed="false" customWidth="true" hidden="false" outlineLevel="0" max="17" min="17" style="0" width="20"/>
    <col collapsed="false" customWidth="true" hidden="false" outlineLevel="0" max="19" min="18" style="0" width="9"/>
    <col collapsed="false" customWidth="true" hidden="false" outlineLevel="0" max="20" min="20" style="0" width="10"/>
    <col collapsed="false" customWidth="true" hidden="false" outlineLevel="0" max="21" min="21" style="0" width="9"/>
    <col collapsed="false" customWidth="true" hidden="false" outlineLevel="0" max="22" min="22" style="0" width="10"/>
    <col collapsed="false" customWidth="true" hidden="false" outlineLevel="0" max="23" min="23" style="0" width="14"/>
    <col collapsed="false" customWidth="true" hidden="false" outlineLevel="0" max="24" min="24" style="0" width="12"/>
    <col collapsed="false" customWidth="true" hidden="false" outlineLevel="0" max="25" min="25" style="0" width="9"/>
    <col collapsed="false" customWidth="true" hidden="false" outlineLevel="0" max="26" min="26" style="0" width="22"/>
    <col collapsed="false" customWidth="true" hidden="false" outlineLevel="0" max="27" min="27" style="0" width="24"/>
    <col collapsed="false" customWidth="true" hidden="false" outlineLevel="0" max="29" min="28" style="0" width="9"/>
    <col collapsed="false" customWidth="true" hidden="false" outlineLevel="0" max="31" min="30" style="0" width="8"/>
    <col collapsed="false" customWidth="true" hidden="false" outlineLevel="0" max="32" min="32" style="0" width="10"/>
    <col collapsed="false" customWidth="true" hidden="false" outlineLevel="0" max="33" min="33" style="0" width="11"/>
    <col collapsed="false" customWidth="true" hidden="false" outlineLevel="0" max="34" min="34" style="0" width="10"/>
    <col collapsed="false" customWidth="true" hidden="false" outlineLevel="0" max="36" min="35" style="0" width="16"/>
    <col collapsed="false" customWidth="true" hidden="false" outlineLevel="0" max="37" min="37" style="0" width="18"/>
    <col collapsed="false" customWidth="true" hidden="false" outlineLevel="0" max="38" min="38" style="0" width="13"/>
    <col collapsed="false" customWidth="true" hidden="false" outlineLevel="0" max="39" min="39" style="0" width="22"/>
    <col collapsed="false" customWidth="true" hidden="false" outlineLevel="0" max="40" min="40" style="0" width="26"/>
    <col collapsed="false" customWidth="true" hidden="false" outlineLevel="0" max="43" min="41" style="0" width="8"/>
    <col collapsed="false" customWidth="true" hidden="false" outlineLevel="0" max="44" min="44" style="0" width="40"/>
    <col collapsed="false" customWidth="true" hidden="false" outlineLevel="0" max="45" min="45" style="0" width="14"/>
    <col collapsed="false" customWidth="true" hidden="false" outlineLevel="0" max="46" min="46" style="0" width="16"/>
    <col collapsed="false" customWidth="true" hidden="false" outlineLevel="0" max="47" min="47" style="0" width="24"/>
    <col collapsed="false" customWidth="true" hidden="false" outlineLevel="0" max="48" min="48" style="0" width="20"/>
    <col collapsed="false" customWidth="true" hidden="false" outlineLevel="0" max="49" min="49" style="0" width="22"/>
    <col collapsed="false" customWidth="true" hidden="false" outlineLevel="0" max="50" min="50" style="0" width="42"/>
    <col collapsed="false" customWidth="true" hidden="false" outlineLevel="0" max="51" min="51" style="0" width="11"/>
    <col collapsed="false" customWidth="true" hidden="false" outlineLevel="0" max="52" min="52" style="0" width="10"/>
    <col collapsed="false" customWidth="true" hidden="false" outlineLevel="0" max="53" min="53" style="0" width="13"/>
    <col collapsed="false" customWidth="true" hidden="false" outlineLevel="0" max="54" min="54" style="0" width="11"/>
    <col collapsed="false" customWidth="true" hidden="false" outlineLevel="0" max="55" min="55" style="0" width="32"/>
    <col collapsed="false" customWidth="true" hidden="false" outlineLevel="0" max="56" min="56" style="0" width="30"/>
    <col collapsed="false" customWidth="true" hidden="false" outlineLevel="0" max="57" min="57" style="0" width="52"/>
  </cols>
  <sheetData>
    <row r="1" customFormat="false" ht="21.75" hidden="false" customHeight="true" outlineLevel="0" collapsed="false">
      <c r="A1" s="1" t="s">
        <v>815</v>
      </c>
      <c r="B1" s="1"/>
      <c r="C1" s="1"/>
      <c r="D1" s="1"/>
      <c r="E1" s="1"/>
      <c r="F1" s="1"/>
      <c r="G1" s="1"/>
      <c r="H1" s="1"/>
      <c r="I1" s="1"/>
      <c r="J1" s="1"/>
      <c r="K1" s="1"/>
      <c r="L1" s="1"/>
    </row>
    <row r="2" customFormat="false" ht="13.5" hidden="false" customHeight="true" outlineLevel="0" collapsed="false">
      <c r="A2" s="2" t="s">
        <v>816</v>
      </c>
      <c r="B2" s="2"/>
      <c r="C2" s="2"/>
      <c r="D2" s="2"/>
      <c r="E2" s="2"/>
      <c r="F2" s="2"/>
      <c r="G2" s="2"/>
      <c r="H2" s="2"/>
      <c r="I2" s="2"/>
      <c r="J2" s="2"/>
      <c r="K2" s="2"/>
      <c r="L2" s="2"/>
      <c r="M2" s="2"/>
      <c r="N2" s="2"/>
    </row>
    <row r="3" customFormat="false" ht="42" hidden="false" customHeight="true" outlineLevel="0" collapsed="false">
      <c r="A3" s="7" t="s">
        <v>69</v>
      </c>
      <c r="B3" s="7" t="s">
        <v>70</v>
      </c>
      <c r="C3" s="7" t="s">
        <v>71</v>
      </c>
      <c r="D3" s="7" t="s">
        <v>72</v>
      </c>
      <c r="E3" s="7" t="s">
        <v>73</v>
      </c>
      <c r="F3" s="7" t="s">
        <v>74</v>
      </c>
      <c r="G3" s="7" t="s">
        <v>75</v>
      </c>
      <c r="H3" s="7" t="s">
        <v>76</v>
      </c>
      <c r="I3" s="7" t="s">
        <v>77</v>
      </c>
      <c r="J3" s="7" t="s">
        <v>78</v>
      </c>
      <c r="K3" s="7" t="s">
        <v>79</v>
      </c>
      <c r="L3" s="7" t="s">
        <v>80</v>
      </c>
      <c r="M3" s="7" t="s">
        <v>81</v>
      </c>
      <c r="N3" s="7" t="s">
        <v>82</v>
      </c>
      <c r="O3" s="7" t="s">
        <v>83</v>
      </c>
      <c r="P3" s="7" t="s">
        <v>84</v>
      </c>
      <c r="Q3" s="7" t="s">
        <v>85</v>
      </c>
      <c r="R3" s="7" t="s">
        <v>86</v>
      </c>
      <c r="S3" s="7" t="s">
        <v>87</v>
      </c>
      <c r="T3" s="7" t="s">
        <v>88</v>
      </c>
      <c r="U3" s="7" t="s">
        <v>89</v>
      </c>
      <c r="V3" s="7" t="s">
        <v>90</v>
      </c>
      <c r="W3" s="7" t="s">
        <v>91</v>
      </c>
      <c r="X3" s="7" t="s">
        <v>92</v>
      </c>
      <c r="Y3" s="7" t="s">
        <v>93</v>
      </c>
      <c r="Z3" s="7" t="s">
        <v>94</v>
      </c>
      <c r="AA3" s="7" t="s">
        <v>95</v>
      </c>
      <c r="AB3" s="7" t="s">
        <v>96</v>
      </c>
      <c r="AC3" s="7" t="s">
        <v>97</v>
      </c>
      <c r="AD3" s="7" t="s">
        <v>98</v>
      </c>
      <c r="AE3" s="7" t="s">
        <v>99</v>
      </c>
      <c r="AF3" s="7" t="s">
        <v>100</v>
      </c>
      <c r="AG3" s="7" t="s">
        <v>101</v>
      </c>
      <c r="AH3" s="7" t="s">
        <v>102</v>
      </c>
      <c r="AI3" s="7" t="s">
        <v>817</v>
      </c>
      <c r="AJ3" s="7" t="s">
        <v>104</v>
      </c>
      <c r="AK3" s="7" t="s">
        <v>105</v>
      </c>
      <c r="AL3" s="7" t="s">
        <v>106</v>
      </c>
      <c r="AM3" s="7" t="s">
        <v>107</v>
      </c>
      <c r="AN3" s="7" t="s">
        <v>108</v>
      </c>
      <c r="AO3" s="7" t="s">
        <v>109</v>
      </c>
      <c r="AP3" s="7" t="s">
        <v>110</v>
      </c>
      <c r="AQ3" s="7" t="s">
        <v>111</v>
      </c>
      <c r="AR3" s="7" t="s">
        <v>112</v>
      </c>
      <c r="AS3" s="7" t="s">
        <v>113</v>
      </c>
      <c r="AT3" s="7" t="s">
        <v>114</v>
      </c>
      <c r="AU3" s="7" t="s">
        <v>115</v>
      </c>
      <c r="AV3" s="7" t="s">
        <v>116</v>
      </c>
      <c r="AW3" s="7" t="s">
        <v>117</v>
      </c>
      <c r="AX3" s="7" t="s">
        <v>118</v>
      </c>
      <c r="AY3" s="7" t="s">
        <v>119</v>
      </c>
      <c r="AZ3" s="7" t="s">
        <v>120</v>
      </c>
      <c r="BA3" s="7" t="s">
        <v>121</v>
      </c>
      <c r="BB3" s="7" t="s">
        <v>122</v>
      </c>
      <c r="BC3" s="7" t="s">
        <v>123</v>
      </c>
      <c r="BD3" s="7" t="s">
        <v>124</v>
      </c>
      <c r="BE3" s="7" t="s">
        <v>125</v>
      </c>
    </row>
    <row r="4" customFormat="false" ht="57.75" hidden="false" customHeight="true" outlineLevel="0" collapsed="false">
      <c r="A4" s="8" t="s">
        <v>818</v>
      </c>
      <c r="B4" s="8" t="s">
        <v>819</v>
      </c>
      <c r="C4" s="8" t="s">
        <v>779</v>
      </c>
      <c r="D4" s="8" t="s">
        <v>820</v>
      </c>
      <c r="E4" s="8" t="s">
        <v>821</v>
      </c>
      <c r="F4" s="8" t="s">
        <v>131</v>
      </c>
      <c r="G4" s="8" t="s">
        <v>822</v>
      </c>
      <c r="H4" s="8" t="s">
        <v>823</v>
      </c>
      <c r="I4" s="9" t="n">
        <v>299000</v>
      </c>
      <c r="J4" s="9" t="n">
        <v>309000</v>
      </c>
      <c r="K4" s="8" t="s">
        <v>134</v>
      </c>
      <c r="L4" s="8" t="s">
        <v>135</v>
      </c>
      <c r="M4" s="10" t="n">
        <v>7.1</v>
      </c>
      <c r="N4" s="8" t="s">
        <v>136</v>
      </c>
      <c r="O4" s="8" t="s">
        <v>824</v>
      </c>
      <c r="P4" s="11" t="s">
        <v>825</v>
      </c>
      <c r="Q4" s="8" t="s">
        <v>826</v>
      </c>
      <c r="R4" s="12" t="n">
        <v>27</v>
      </c>
      <c r="S4" s="13" t="n">
        <v>100</v>
      </c>
      <c r="T4" s="13" t="n">
        <v>155</v>
      </c>
      <c r="U4" s="12" t="n">
        <v>2.9</v>
      </c>
      <c r="V4" s="13" t="n">
        <v>211</v>
      </c>
      <c r="W4" s="8" t="s">
        <v>140</v>
      </c>
      <c r="X4" s="13" t="n">
        <v>150</v>
      </c>
      <c r="Y4" s="13" t="s">
        <v>135</v>
      </c>
      <c r="Z4" s="11" t="s">
        <v>827</v>
      </c>
      <c r="AA4" s="11" t="s">
        <v>828</v>
      </c>
      <c r="AB4" s="13" t="n">
        <v>207</v>
      </c>
      <c r="AC4" s="22" t="s">
        <v>135</v>
      </c>
      <c r="AD4" s="22" t="s">
        <v>135</v>
      </c>
      <c r="AE4" s="22" t="s">
        <v>135</v>
      </c>
      <c r="AF4" s="13" t="n">
        <v>1380</v>
      </c>
      <c r="AG4" s="22" t="s">
        <v>135</v>
      </c>
      <c r="AH4" s="13" t="n">
        <v>800</v>
      </c>
      <c r="AI4" s="8" t="s">
        <v>829</v>
      </c>
      <c r="AJ4" s="8" t="s">
        <v>830</v>
      </c>
      <c r="AK4" s="11" t="s">
        <v>216</v>
      </c>
      <c r="AL4" s="8" t="s">
        <v>806</v>
      </c>
      <c r="AM4" s="11" t="s">
        <v>831</v>
      </c>
      <c r="AN4" s="11" t="s">
        <v>832</v>
      </c>
      <c r="AO4" s="14" t="n">
        <v>4</v>
      </c>
      <c r="AP4" s="8" t="s">
        <v>148</v>
      </c>
      <c r="AQ4" s="8" t="s">
        <v>148</v>
      </c>
      <c r="AR4" s="11" t="s">
        <v>833</v>
      </c>
      <c r="AS4" s="11" t="s">
        <v>205</v>
      </c>
      <c r="AT4" s="11" t="s">
        <v>269</v>
      </c>
      <c r="AU4" s="11" t="s">
        <v>789</v>
      </c>
      <c r="AV4" s="11" t="s">
        <v>834</v>
      </c>
      <c r="AW4" s="11" t="s">
        <v>835</v>
      </c>
      <c r="AX4" s="11" t="s">
        <v>836</v>
      </c>
      <c r="AY4" s="13" t="n">
        <f aca="false">IF(AND(ISNUMBER($J4),ISNUMBER($M4)),$J4/$M4,"n/a")</f>
        <v>43521.1267605634</v>
      </c>
      <c r="AZ4" s="12" t="n">
        <f aca="false">IF(AND(ISNUMBER($V4),ISNUMBER($M4)),$V4/$M4,"n/a")</f>
        <v>29.7183098591549</v>
      </c>
      <c r="BA4" s="8" t="str">
        <f aca="false">IF(NOT(ISNUMBER($J4)),"n/a",IF($J4&lt;70000,"1. &lt;Rs70k",IF($J4&lt;100000,"2. Rs70k-1L",IF($J4&lt;150000,"3. Rs1-1.5L",IF($J4&lt;200000,"4. Rs1.5-2L",IF($J4&lt;300000,"5. Rs2-3L","6. &gt;Rs3L"))))))</f>
        <v>6. &gt;Rs3L</v>
      </c>
      <c r="BB4" s="8" t="s">
        <v>28</v>
      </c>
      <c r="BC4" s="8" t="s">
        <v>837</v>
      </c>
      <c r="BD4" s="11" t="s">
        <v>838</v>
      </c>
      <c r="BE4" s="11" t="s">
        <v>839</v>
      </c>
    </row>
    <row r="5" customFormat="false" ht="57.75" hidden="false" customHeight="true" outlineLevel="0" collapsed="false">
      <c r="A5" s="15" t="s">
        <v>840</v>
      </c>
      <c r="B5" s="15" t="s">
        <v>779</v>
      </c>
      <c r="C5" s="15" t="s">
        <v>779</v>
      </c>
      <c r="D5" s="15" t="s">
        <v>820</v>
      </c>
      <c r="E5" s="15" t="s">
        <v>841</v>
      </c>
      <c r="F5" s="15" t="s">
        <v>131</v>
      </c>
      <c r="G5" s="15" t="s">
        <v>275</v>
      </c>
      <c r="H5" s="15" t="s">
        <v>823</v>
      </c>
      <c r="I5" s="16" t="s">
        <v>135</v>
      </c>
      <c r="J5" s="16" t="n">
        <v>424000</v>
      </c>
      <c r="K5" s="15" t="s">
        <v>134</v>
      </c>
      <c r="L5" s="15" t="s">
        <v>135</v>
      </c>
      <c r="M5" s="17" t="n">
        <v>10.3</v>
      </c>
      <c r="N5" s="15" t="s">
        <v>136</v>
      </c>
      <c r="O5" s="15" t="s">
        <v>824</v>
      </c>
      <c r="P5" s="18" t="s">
        <v>842</v>
      </c>
      <c r="Q5" s="15" t="s">
        <v>826</v>
      </c>
      <c r="R5" s="19" t="n">
        <v>30</v>
      </c>
      <c r="S5" s="20" t="n">
        <v>100</v>
      </c>
      <c r="T5" s="20" t="n">
        <v>155</v>
      </c>
      <c r="U5" s="19" t="n">
        <v>2.8</v>
      </c>
      <c r="V5" s="20" t="n">
        <v>323</v>
      </c>
      <c r="W5" s="15" t="s">
        <v>843</v>
      </c>
      <c r="X5" s="20" t="n">
        <v>210</v>
      </c>
      <c r="Y5" s="20" t="s">
        <v>135</v>
      </c>
      <c r="Z5" s="18" t="s">
        <v>844</v>
      </c>
      <c r="AA5" s="18" t="s">
        <v>845</v>
      </c>
      <c r="AB5" s="20" t="n">
        <v>207</v>
      </c>
      <c r="AC5" s="23" t="s">
        <v>135</v>
      </c>
      <c r="AD5" s="23" t="s">
        <v>135</v>
      </c>
      <c r="AE5" s="23" t="s">
        <v>135</v>
      </c>
      <c r="AF5" s="20" t="n">
        <v>1380</v>
      </c>
      <c r="AG5" s="23" t="s">
        <v>135</v>
      </c>
      <c r="AH5" s="20" t="n">
        <v>800</v>
      </c>
      <c r="AI5" s="15" t="s">
        <v>829</v>
      </c>
      <c r="AJ5" s="15" t="s">
        <v>830</v>
      </c>
      <c r="AK5" s="18" t="s">
        <v>216</v>
      </c>
      <c r="AL5" s="15" t="s">
        <v>806</v>
      </c>
      <c r="AM5" s="18" t="s">
        <v>512</v>
      </c>
      <c r="AN5" s="18" t="s">
        <v>331</v>
      </c>
      <c r="AO5" s="21" t="n">
        <v>4</v>
      </c>
      <c r="AP5" s="15" t="s">
        <v>148</v>
      </c>
      <c r="AQ5" s="15" t="s">
        <v>148</v>
      </c>
      <c r="AR5" s="18" t="s">
        <v>846</v>
      </c>
      <c r="AS5" s="18" t="s">
        <v>205</v>
      </c>
      <c r="AT5" s="18" t="s">
        <v>269</v>
      </c>
      <c r="AU5" s="18" t="s">
        <v>789</v>
      </c>
      <c r="AV5" s="18" t="s">
        <v>834</v>
      </c>
      <c r="AW5" s="18" t="s">
        <v>791</v>
      </c>
      <c r="AX5" s="18" t="s">
        <v>847</v>
      </c>
      <c r="AY5" s="20" t="n">
        <f aca="false">IF(AND(ISNUMBER($J5),ISNUMBER($M5)),$J5/$M5,"n/a")</f>
        <v>41165.0485436893</v>
      </c>
      <c r="AZ5" s="19" t="n">
        <f aca="false">IF(AND(ISNUMBER($V5),ISNUMBER($M5)),$V5/$M5,"n/a")</f>
        <v>31.3592233009709</v>
      </c>
      <c r="BA5" s="15" t="str">
        <f aca="false">IF(NOT(ISNUMBER($J5)),"n/a",IF($J5&lt;70000,"1. &lt;Rs70k",IF($J5&lt;100000,"2. Rs70k-1L",IF($J5&lt;150000,"3. Rs1-1.5L",IF($J5&lt;200000,"4. Rs1.5-2L",IF($J5&lt;300000,"5. Rs2-3L","6. &gt;Rs3L"))))))</f>
        <v>6. &gt;Rs3L</v>
      </c>
      <c r="BB5" s="15" t="s">
        <v>28</v>
      </c>
      <c r="BC5" s="15" t="s">
        <v>848</v>
      </c>
      <c r="BD5" s="18" t="s">
        <v>431</v>
      </c>
      <c r="BE5" s="18" t="s">
        <v>849</v>
      </c>
    </row>
    <row r="6" customFormat="false" ht="57.75" hidden="false" customHeight="true" outlineLevel="0" collapsed="false">
      <c r="A6" s="8" t="s">
        <v>850</v>
      </c>
      <c r="B6" s="8" t="s">
        <v>779</v>
      </c>
      <c r="C6" s="8" t="s">
        <v>779</v>
      </c>
      <c r="D6" s="8" t="s">
        <v>851</v>
      </c>
      <c r="E6" s="8" t="s">
        <v>540</v>
      </c>
      <c r="F6" s="8" t="s">
        <v>131</v>
      </c>
      <c r="G6" s="8" t="s">
        <v>177</v>
      </c>
      <c r="H6" s="8" t="s">
        <v>325</v>
      </c>
      <c r="I6" s="9" t="n">
        <v>249000</v>
      </c>
      <c r="J6" s="9" t="n">
        <v>249000</v>
      </c>
      <c r="K6" s="8" t="s">
        <v>134</v>
      </c>
      <c r="L6" s="8" t="s">
        <v>135</v>
      </c>
      <c r="M6" s="10" t="n">
        <v>7.1</v>
      </c>
      <c r="N6" s="8" t="s">
        <v>136</v>
      </c>
      <c r="O6" s="8" t="s">
        <v>242</v>
      </c>
      <c r="P6" s="11" t="s">
        <v>785</v>
      </c>
      <c r="Q6" s="8" t="s">
        <v>826</v>
      </c>
      <c r="R6" s="12" t="n">
        <v>27</v>
      </c>
      <c r="S6" s="13" t="n">
        <v>100</v>
      </c>
      <c r="T6" s="13" t="n">
        <v>145</v>
      </c>
      <c r="U6" s="12" t="s">
        <v>135</v>
      </c>
      <c r="V6" s="13" t="n">
        <v>211</v>
      </c>
      <c r="W6" s="8" t="s">
        <v>140</v>
      </c>
      <c r="X6" s="13" t="n">
        <v>150</v>
      </c>
      <c r="Y6" s="13" t="s">
        <v>135</v>
      </c>
      <c r="Z6" s="11" t="s">
        <v>844</v>
      </c>
      <c r="AA6" s="11" t="s">
        <v>852</v>
      </c>
      <c r="AB6" s="22" t="s">
        <v>135</v>
      </c>
      <c r="AC6" s="22" t="s">
        <v>135</v>
      </c>
      <c r="AD6" s="22" t="s">
        <v>135</v>
      </c>
      <c r="AE6" s="22" t="s">
        <v>135</v>
      </c>
      <c r="AF6" s="22" t="s">
        <v>135</v>
      </c>
      <c r="AG6" s="22" t="s">
        <v>135</v>
      </c>
      <c r="AH6" s="22" t="s">
        <v>135</v>
      </c>
      <c r="AI6" s="8" t="s">
        <v>829</v>
      </c>
      <c r="AJ6" s="8" t="s">
        <v>853</v>
      </c>
      <c r="AK6" s="11" t="s">
        <v>216</v>
      </c>
      <c r="AL6" s="8" t="s">
        <v>806</v>
      </c>
      <c r="AM6" s="11" t="s">
        <v>512</v>
      </c>
      <c r="AN6" s="11" t="s">
        <v>331</v>
      </c>
      <c r="AO6" s="14" t="n">
        <v>4</v>
      </c>
      <c r="AP6" s="8" t="s">
        <v>148</v>
      </c>
      <c r="AQ6" s="8" t="s">
        <v>148</v>
      </c>
      <c r="AR6" s="11" t="s">
        <v>854</v>
      </c>
      <c r="AS6" s="11" t="s">
        <v>205</v>
      </c>
      <c r="AT6" s="11" t="s">
        <v>269</v>
      </c>
      <c r="AU6" s="11" t="s">
        <v>789</v>
      </c>
      <c r="AV6" s="11" t="s">
        <v>834</v>
      </c>
      <c r="AW6" s="11" t="s">
        <v>791</v>
      </c>
      <c r="AX6" s="11" t="s">
        <v>855</v>
      </c>
      <c r="AY6" s="13" t="n">
        <f aca="false">IF(AND(ISNUMBER($J6),ISNUMBER($M6)),$J6/$M6,"n/a")</f>
        <v>35070.4225352113</v>
      </c>
      <c r="AZ6" s="12" t="n">
        <f aca="false">IF(AND(ISNUMBER($V6),ISNUMBER($M6)),$V6/$M6,"n/a")</f>
        <v>29.7183098591549</v>
      </c>
      <c r="BA6" s="8" t="str">
        <f aca="false">IF(NOT(ISNUMBER($J6)),"n/a",IF($J6&lt;70000,"1. &lt;Rs70k",IF($J6&lt;100000,"2. Rs70k-1L",IF($J6&lt;150000,"3. Rs1-1.5L",IF($J6&lt;200000,"4. Rs1.5-2L",IF($J6&lt;300000,"5. Rs2-3L","6. &gt;Rs3L"))))))</f>
        <v>5. Rs2-3L</v>
      </c>
      <c r="BB6" s="8" t="s">
        <v>28</v>
      </c>
      <c r="BC6" s="8" t="s">
        <v>838</v>
      </c>
      <c r="BD6" s="11" t="s">
        <v>848</v>
      </c>
      <c r="BE6" s="11" t="s">
        <v>135</v>
      </c>
    </row>
    <row r="7" customFormat="false" ht="57.75" hidden="false" customHeight="true" outlineLevel="0" collapsed="false">
      <c r="A7" s="15" t="s">
        <v>856</v>
      </c>
      <c r="B7" s="15" t="s">
        <v>393</v>
      </c>
      <c r="C7" s="15" t="s">
        <v>394</v>
      </c>
      <c r="D7" s="15" t="s">
        <v>857</v>
      </c>
      <c r="E7" s="15" t="s">
        <v>858</v>
      </c>
      <c r="F7" s="15" t="s">
        <v>131</v>
      </c>
      <c r="G7" s="15" t="s">
        <v>177</v>
      </c>
      <c r="H7" s="15" t="s">
        <v>859</v>
      </c>
      <c r="I7" s="16" t="n">
        <v>74999</v>
      </c>
      <c r="J7" s="16" t="n">
        <v>79999</v>
      </c>
      <c r="K7" s="15" t="s">
        <v>134</v>
      </c>
      <c r="L7" s="15" t="s">
        <v>135</v>
      </c>
      <c r="M7" s="17" t="n">
        <v>2.5</v>
      </c>
      <c r="N7" s="15" t="s">
        <v>136</v>
      </c>
      <c r="O7" s="15" t="s">
        <v>242</v>
      </c>
      <c r="P7" s="18" t="s">
        <v>135</v>
      </c>
      <c r="Q7" s="15" t="s">
        <v>860</v>
      </c>
      <c r="R7" s="19" t="n">
        <v>7</v>
      </c>
      <c r="S7" s="20" t="s">
        <v>135</v>
      </c>
      <c r="T7" s="20" t="n">
        <v>105</v>
      </c>
      <c r="U7" s="19" t="s">
        <v>135</v>
      </c>
      <c r="V7" s="20" t="n">
        <v>117</v>
      </c>
      <c r="W7" s="15" t="s">
        <v>140</v>
      </c>
      <c r="X7" s="20" t="n">
        <v>80</v>
      </c>
      <c r="Y7" s="20" t="s">
        <v>135</v>
      </c>
      <c r="Z7" s="18" t="s">
        <v>135</v>
      </c>
      <c r="AA7" s="18" t="s">
        <v>410</v>
      </c>
      <c r="AB7" s="23" t="s">
        <v>135</v>
      </c>
      <c r="AC7" s="23" t="s">
        <v>135</v>
      </c>
      <c r="AD7" s="23" t="s">
        <v>135</v>
      </c>
      <c r="AE7" s="23" t="s">
        <v>135</v>
      </c>
      <c r="AF7" s="23" t="s">
        <v>135</v>
      </c>
      <c r="AG7" s="23" t="s">
        <v>135</v>
      </c>
      <c r="AH7" s="23" t="s">
        <v>135</v>
      </c>
      <c r="AI7" s="15" t="s">
        <v>861</v>
      </c>
      <c r="AJ7" s="15" t="s">
        <v>853</v>
      </c>
      <c r="AK7" s="18" t="s">
        <v>265</v>
      </c>
      <c r="AL7" s="15" t="s">
        <v>145</v>
      </c>
      <c r="AM7" s="18" t="s">
        <v>862</v>
      </c>
      <c r="AN7" s="18" t="s">
        <v>401</v>
      </c>
      <c r="AO7" s="21" t="n">
        <v>3</v>
      </c>
      <c r="AP7" s="15" t="s">
        <v>148</v>
      </c>
      <c r="AQ7" s="15" t="s">
        <v>148</v>
      </c>
      <c r="AR7" s="18" t="s">
        <v>863</v>
      </c>
      <c r="AS7" s="18" t="s">
        <v>205</v>
      </c>
      <c r="AT7" s="18" t="s">
        <v>269</v>
      </c>
      <c r="AU7" s="18" t="s">
        <v>269</v>
      </c>
      <c r="AV7" s="18" t="s">
        <v>864</v>
      </c>
      <c r="AW7" s="18" t="s">
        <v>865</v>
      </c>
      <c r="AX7" s="18" t="s">
        <v>866</v>
      </c>
      <c r="AY7" s="20" t="n">
        <f aca="false">IF(AND(ISNUMBER($J7),ISNUMBER($M7)),$J7/$M7,"n/a")</f>
        <v>31999.6</v>
      </c>
      <c r="AZ7" s="19" t="n">
        <f aca="false">IF(AND(ISNUMBER($V7),ISNUMBER($M7)),$V7/$M7,"n/a")</f>
        <v>46.8</v>
      </c>
      <c r="BA7" s="15" t="str">
        <f aca="false">IF(NOT(ISNUMBER($J7)),"n/a",IF($J7&lt;70000,"1. &lt;Rs70k",IF($J7&lt;100000,"2. Rs70k-1L",IF($J7&lt;150000,"3. Rs1-1.5L",IF($J7&lt;200000,"4. Rs1.5-2L",IF($J7&lt;300000,"5. Rs2-3L","6. &gt;Rs3L"))))))</f>
        <v>2. Rs70k-1L</v>
      </c>
      <c r="BB7" s="15" t="s">
        <v>30</v>
      </c>
      <c r="BC7" s="15" t="s">
        <v>867</v>
      </c>
      <c r="BD7" s="18" t="s">
        <v>644</v>
      </c>
      <c r="BE7" s="18" t="s">
        <v>868</v>
      </c>
    </row>
    <row r="8" customFormat="false" ht="57.75" hidden="false" customHeight="true" outlineLevel="0" collapsed="false">
      <c r="A8" s="8" t="s">
        <v>869</v>
      </c>
      <c r="B8" s="8" t="s">
        <v>394</v>
      </c>
      <c r="C8" s="8" t="s">
        <v>394</v>
      </c>
      <c r="D8" s="8" t="s">
        <v>857</v>
      </c>
      <c r="E8" s="8" t="s">
        <v>274</v>
      </c>
      <c r="F8" s="8" t="s">
        <v>131</v>
      </c>
      <c r="G8" s="8" t="s">
        <v>177</v>
      </c>
      <c r="H8" s="8" t="s">
        <v>870</v>
      </c>
      <c r="I8" s="9" t="s">
        <v>135</v>
      </c>
      <c r="J8" s="9" t="n">
        <v>94999</v>
      </c>
      <c r="K8" s="8" t="s">
        <v>134</v>
      </c>
      <c r="L8" s="8" t="s">
        <v>135</v>
      </c>
      <c r="M8" s="10" t="n">
        <v>3.5</v>
      </c>
      <c r="N8" s="8" t="s">
        <v>136</v>
      </c>
      <c r="O8" s="8" t="s">
        <v>242</v>
      </c>
      <c r="P8" s="11" t="s">
        <v>135</v>
      </c>
      <c r="Q8" s="8" t="s">
        <v>860</v>
      </c>
      <c r="R8" s="12" t="n">
        <v>8.5</v>
      </c>
      <c r="S8" s="13" t="s">
        <v>135</v>
      </c>
      <c r="T8" s="13" t="n">
        <v>118</v>
      </c>
      <c r="U8" s="12" t="s">
        <v>135</v>
      </c>
      <c r="V8" s="13" t="n">
        <v>163</v>
      </c>
      <c r="W8" s="8" t="s">
        <v>140</v>
      </c>
      <c r="X8" s="13" t="n">
        <v>110</v>
      </c>
      <c r="Y8" s="13" t="s">
        <v>135</v>
      </c>
      <c r="Z8" s="11" t="s">
        <v>135</v>
      </c>
      <c r="AA8" s="11" t="s">
        <v>410</v>
      </c>
      <c r="AB8" s="22" t="s">
        <v>135</v>
      </c>
      <c r="AC8" s="22" t="s">
        <v>135</v>
      </c>
      <c r="AD8" s="22" t="s">
        <v>135</v>
      </c>
      <c r="AE8" s="22" t="s">
        <v>135</v>
      </c>
      <c r="AF8" s="22" t="s">
        <v>135</v>
      </c>
      <c r="AG8" s="22" t="s">
        <v>135</v>
      </c>
      <c r="AH8" s="22" t="s">
        <v>135</v>
      </c>
      <c r="AI8" s="8" t="s">
        <v>861</v>
      </c>
      <c r="AJ8" s="8" t="s">
        <v>853</v>
      </c>
      <c r="AK8" s="11" t="s">
        <v>265</v>
      </c>
      <c r="AL8" s="8" t="s">
        <v>145</v>
      </c>
      <c r="AM8" s="11" t="s">
        <v>862</v>
      </c>
      <c r="AN8" s="11" t="s">
        <v>411</v>
      </c>
      <c r="AO8" s="14" t="n">
        <v>3</v>
      </c>
      <c r="AP8" s="8" t="s">
        <v>148</v>
      </c>
      <c r="AQ8" s="8" t="s">
        <v>148</v>
      </c>
      <c r="AR8" s="11" t="s">
        <v>135</v>
      </c>
      <c r="AS8" s="11" t="s">
        <v>205</v>
      </c>
      <c r="AT8" s="11" t="s">
        <v>269</v>
      </c>
      <c r="AU8" s="11" t="s">
        <v>269</v>
      </c>
      <c r="AV8" s="11" t="s">
        <v>864</v>
      </c>
      <c r="AW8" s="11" t="s">
        <v>871</v>
      </c>
      <c r="AX8" s="11" t="s">
        <v>135</v>
      </c>
      <c r="AY8" s="13" t="n">
        <f aca="false">IF(AND(ISNUMBER($J8),ISNUMBER($M8)),$J8/$M8,"n/a")</f>
        <v>27142.5714285714</v>
      </c>
      <c r="AZ8" s="12" t="n">
        <f aca="false">IF(AND(ISNUMBER($V8),ISNUMBER($M8)),$V8/$M8,"n/a")</f>
        <v>46.5714285714286</v>
      </c>
      <c r="BA8" s="8" t="str">
        <f aca="false">IF(NOT(ISNUMBER($J8)),"n/a",IF($J8&lt;70000,"1. &lt;Rs70k",IF($J8&lt;100000,"2. Rs70k-1L",IF($J8&lt;150000,"3. Rs1-1.5L",IF($J8&lt;200000,"4. Rs1.5-2L",IF($J8&lt;300000,"5. Rs2-3L","6. &gt;Rs3L"))))))</f>
        <v>2. Rs70k-1L</v>
      </c>
      <c r="BB8" s="8" t="s">
        <v>30</v>
      </c>
      <c r="BC8" s="8" t="s">
        <v>867</v>
      </c>
      <c r="BD8" s="11" t="s">
        <v>135</v>
      </c>
      <c r="BE8" s="11" t="s">
        <v>135</v>
      </c>
    </row>
    <row r="9" customFormat="false" ht="57.75" hidden="false" customHeight="true" outlineLevel="0" collapsed="false">
      <c r="A9" s="15" t="s">
        <v>872</v>
      </c>
      <c r="B9" s="15" t="s">
        <v>394</v>
      </c>
      <c r="C9" s="15" t="s">
        <v>394</v>
      </c>
      <c r="D9" s="15" t="s">
        <v>857</v>
      </c>
      <c r="E9" s="15" t="s">
        <v>873</v>
      </c>
      <c r="F9" s="15" t="s">
        <v>131</v>
      </c>
      <c r="G9" s="15" t="s">
        <v>177</v>
      </c>
      <c r="H9" s="15" t="s">
        <v>874</v>
      </c>
      <c r="I9" s="16" t="s">
        <v>135</v>
      </c>
      <c r="J9" s="16" t="n">
        <v>114999</v>
      </c>
      <c r="K9" s="15" t="s">
        <v>134</v>
      </c>
      <c r="L9" s="15" t="s">
        <v>135</v>
      </c>
      <c r="M9" s="17" t="n">
        <v>4.5</v>
      </c>
      <c r="N9" s="15" t="s">
        <v>136</v>
      </c>
      <c r="O9" s="15" t="s">
        <v>242</v>
      </c>
      <c r="P9" s="18" t="s">
        <v>135</v>
      </c>
      <c r="Q9" s="15" t="s">
        <v>860</v>
      </c>
      <c r="R9" s="19" t="n">
        <v>11</v>
      </c>
      <c r="S9" s="20" t="s">
        <v>135</v>
      </c>
      <c r="T9" s="20" t="n">
        <v>125</v>
      </c>
      <c r="U9" s="19" t="s">
        <v>135</v>
      </c>
      <c r="V9" s="20" t="n">
        <v>208</v>
      </c>
      <c r="W9" s="15" t="s">
        <v>140</v>
      </c>
      <c r="X9" s="20" t="n">
        <v>140</v>
      </c>
      <c r="Y9" s="20" t="s">
        <v>135</v>
      </c>
      <c r="Z9" s="18" t="s">
        <v>135</v>
      </c>
      <c r="AA9" s="18" t="s">
        <v>410</v>
      </c>
      <c r="AB9" s="23" t="s">
        <v>135</v>
      </c>
      <c r="AC9" s="23" t="s">
        <v>135</v>
      </c>
      <c r="AD9" s="23" t="s">
        <v>135</v>
      </c>
      <c r="AE9" s="23" t="s">
        <v>135</v>
      </c>
      <c r="AF9" s="23" t="s">
        <v>135</v>
      </c>
      <c r="AG9" s="23" t="s">
        <v>135</v>
      </c>
      <c r="AH9" s="23" t="s">
        <v>135</v>
      </c>
      <c r="AI9" s="15" t="s">
        <v>861</v>
      </c>
      <c r="AJ9" s="15" t="s">
        <v>853</v>
      </c>
      <c r="AK9" s="18" t="s">
        <v>216</v>
      </c>
      <c r="AL9" s="15" t="s">
        <v>145</v>
      </c>
      <c r="AM9" s="18" t="s">
        <v>862</v>
      </c>
      <c r="AN9" s="18" t="s">
        <v>411</v>
      </c>
      <c r="AO9" s="21" t="n">
        <v>3</v>
      </c>
      <c r="AP9" s="15" t="s">
        <v>148</v>
      </c>
      <c r="AQ9" s="15" t="s">
        <v>148</v>
      </c>
      <c r="AR9" s="18" t="s">
        <v>135</v>
      </c>
      <c r="AS9" s="18" t="s">
        <v>205</v>
      </c>
      <c r="AT9" s="18" t="s">
        <v>269</v>
      </c>
      <c r="AU9" s="18" t="s">
        <v>269</v>
      </c>
      <c r="AV9" s="18" t="s">
        <v>864</v>
      </c>
      <c r="AW9" s="18" t="s">
        <v>871</v>
      </c>
      <c r="AX9" s="18" t="s">
        <v>135</v>
      </c>
      <c r="AY9" s="20" t="n">
        <f aca="false">IF(AND(ISNUMBER($J9),ISNUMBER($M9)),$J9/$M9,"n/a")</f>
        <v>25555.3333333333</v>
      </c>
      <c r="AZ9" s="19" t="n">
        <f aca="false">IF(AND(ISNUMBER($V9),ISNUMBER($M9)),$V9/$M9,"n/a")</f>
        <v>46.2222222222222</v>
      </c>
      <c r="BA9" s="15" t="str">
        <f aca="false">IF(NOT(ISNUMBER($J9)),"n/a",IF($J9&lt;70000,"1. &lt;Rs70k",IF($J9&lt;100000,"2. Rs70k-1L",IF($J9&lt;150000,"3. Rs1-1.5L",IF($J9&lt;200000,"4. Rs1.5-2L",IF($J9&lt;300000,"5. Rs2-3L","6. &gt;Rs3L"))))))</f>
        <v>3. Rs1-1.5L</v>
      </c>
      <c r="BB9" s="15" t="s">
        <v>30</v>
      </c>
      <c r="BC9" s="15" t="s">
        <v>867</v>
      </c>
      <c r="BD9" s="18" t="s">
        <v>135</v>
      </c>
      <c r="BE9" s="18" t="s">
        <v>135</v>
      </c>
    </row>
    <row r="10" customFormat="false" ht="57.75" hidden="false" customHeight="true" outlineLevel="0" collapsed="false">
      <c r="A10" s="8" t="s">
        <v>875</v>
      </c>
      <c r="B10" s="8" t="s">
        <v>394</v>
      </c>
      <c r="C10" s="8" t="s">
        <v>394</v>
      </c>
      <c r="D10" s="8" t="s">
        <v>876</v>
      </c>
      <c r="E10" s="8" t="s">
        <v>873</v>
      </c>
      <c r="F10" s="8" t="s">
        <v>131</v>
      </c>
      <c r="G10" s="8" t="s">
        <v>177</v>
      </c>
      <c r="H10" s="8" t="s">
        <v>877</v>
      </c>
      <c r="I10" s="9" t="s">
        <v>135</v>
      </c>
      <c r="J10" s="9" t="n">
        <v>149999</v>
      </c>
      <c r="K10" s="8" t="s">
        <v>134</v>
      </c>
      <c r="L10" s="8" t="s">
        <v>135</v>
      </c>
      <c r="M10" s="10" t="n">
        <v>4.5</v>
      </c>
      <c r="N10" s="8" t="s">
        <v>136</v>
      </c>
      <c r="O10" s="8" t="s">
        <v>242</v>
      </c>
      <c r="P10" s="11" t="s">
        <v>135</v>
      </c>
      <c r="Q10" s="8" t="s">
        <v>860</v>
      </c>
      <c r="R10" s="12" t="n">
        <v>11</v>
      </c>
      <c r="S10" s="13" t="s">
        <v>135</v>
      </c>
      <c r="T10" s="13" t="n">
        <v>125</v>
      </c>
      <c r="U10" s="12" t="s">
        <v>135</v>
      </c>
      <c r="V10" s="13" t="n">
        <v>208</v>
      </c>
      <c r="W10" s="8" t="s">
        <v>140</v>
      </c>
      <c r="X10" s="13" t="n">
        <v>140</v>
      </c>
      <c r="Y10" s="13" t="s">
        <v>135</v>
      </c>
      <c r="Z10" s="11" t="s">
        <v>135</v>
      </c>
      <c r="AA10" s="11" t="s">
        <v>410</v>
      </c>
      <c r="AB10" s="22" t="s">
        <v>135</v>
      </c>
      <c r="AC10" s="22" t="s">
        <v>135</v>
      </c>
      <c r="AD10" s="22" t="s">
        <v>135</v>
      </c>
      <c r="AE10" s="22" t="s">
        <v>135</v>
      </c>
      <c r="AF10" s="22" t="s">
        <v>135</v>
      </c>
      <c r="AG10" s="22" t="s">
        <v>135</v>
      </c>
      <c r="AH10" s="22" t="s">
        <v>135</v>
      </c>
      <c r="AI10" s="8" t="s">
        <v>861</v>
      </c>
      <c r="AJ10" s="8" t="s">
        <v>853</v>
      </c>
      <c r="AK10" s="11" t="s">
        <v>216</v>
      </c>
      <c r="AL10" s="8" t="s">
        <v>329</v>
      </c>
      <c r="AM10" s="11" t="s">
        <v>878</v>
      </c>
      <c r="AN10" s="11" t="s">
        <v>455</v>
      </c>
      <c r="AO10" s="14" t="n">
        <v>4</v>
      </c>
      <c r="AP10" s="8" t="s">
        <v>148</v>
      </c>
      <c r="AQ10" s="8" t="s">
        <v>148</v>
      </c>
      <c r="AR10" s="11" t="s">
        <v>879</v>
      </c>
      <c r="AS10" s="11" t="s">
        <v>205</v>
      </c>
      <c r="AT10" s="11" t="s">
        <v>269</v>
      </c>
      <c r="AU10" s="11" t="s">
        <v>269</v>
      </c>
      <c r="AV10" s="11" t="s">
        <v>864</v>
      </c>
      <c r="AW10" s="11" t="s">
        <v>871</v>
      </c>
      <c r="AX10" s="11" t="s">
        <v>135</v>
      </c>
      <c r="AY10" s="13" t="n">
        <f aca="false">IF(AND(ISNUMBER($J10),ISNUMBER($M10)),$J10/$M10,"n/a")</f>
        <v>33333.1111111111</v>
      </c>
      <c r="AZ10" s="12" t="n">
        <f aca="false">IF(AND(ISNUMBER($V10),ISNUMBER($M10)),$V10/$M10,"n/a")</f>
        <v>46.2222222222222</v>
      </c>
      <c r="BA10" s="8" t="str">
        <f aca="false">IF(NOT(ISNUMBER($J10)),"n/a",IF($J10&lt;70000,"1. &lt;Rs70k",IF($J10&lt;100000,"2. Rs70k-1L",IF($J10&lt;150000,"3. Rs1-1.5L",IF($J10&lt;200000,"4. Rs1.5-2L",IF($J10&lt;300000,"5. Rs2-3L","6. &gt;Rs3L"))))))</f>
        <v>3. Rs1-1.5L</v>
      </c>
      <c r="BB10" s="8" t="s">
        <v>30</v>
      </c>
      <c r="BC10" s="8" t="s">
        <v>867</v>
      </c>
      <c r="BD10" s="11" t="s">
        <v>135</v>
      </c>
      <c r="BE10" s="11" t="s">
        <v>135</v>
      </c>
    </row>
    <row r="11" customFormat="false" ht="57.75" hidden="false" customHeight="true" outlineLevel="0" collapsed="false">
      <c r="A11" s="15" t="s">
        <v>880</v>
      </c>
      <c r="B11" s="15" t="s">
        <v>394</v>
      </c>
      <c r="C11" s="15" t="s">
        <v>394</v>
      </c>
      <c r="D11" s="15" t="s">
        <v>876</v>
      </c>
      <c r="E11" s="15" t="s">
        <v>881</v>
      </c>
      <c r="F11" s="15" t="s">
        <v>131</v>
      </c>
      <c r="G11" s="15" t="s">
        <v>882</v>
      </c>
      <c r="H11" s="15" t="s">
        <v>199</v>
      </c>
      <c r="I11" s="16" t="s">
        <v>135</v>
      </c>
      <c r="J11" s="16" t="n">
        <v>190000</v>
      </c>
      <c r="K11" s="15" t="s">
        <v>134</v>
      </c>
      <c r="L11" s="15" t="s">
        <v>135</v>
      </c>
      <c r="M11" s="17" t="n">
        <v>9.1</v>
      </c>
      <c r="N11" s="15" t="s">
        <v>136</v>
      </c>
      <c r="O11" s="15" t="s">
        <v>452</v>
      </c>
      <c r="P11" s="18" t="s">
        <v>883</v>
      </c>
      <c r="Q11" s="15" t="s">
        <v>884</v>
      </c>
      <c r="R11" s="19" t="n">
        <v>11</v>
      </c>
      <c r="S11" s="20" t="s">
        <v>135</v>
      </c>
      <c r="T11" s="20" t="n">
        <v>125</v>
      </c>
      <c r="U11" s="19" t="s">
        <v>135</v>
      </c>
      <c r="V11" s="20" t="n">
        <v>320</v>
      </c>
      <c r="W11" s="15" t="s">
        <v>140</v>
      </c>
      <c r="X11" s="20" t="n">
        <v>200</v>
      </c>
      <c r="Y11" s="20" t="s">
        <v>135</v>
      </c>
      <c r="Z11" s="18" t="s">
        <v>135</v>
      </c>
      <c r="AA11" s="18" t="s">
        <v>410</v>
      </c>
      <c r="AB11" s="23" t="s">
        <v>135</v>
      </c>
      <c r="AC11" s="23" t="s">
        <v>135</v>
      </c>
      <c r="AD11" s="23" t="s">
        <v>135</v>
      </c>
      <c r="AE11" s="23" t="s">
        <v>135</v>
      </c>
      <c r="AF11" s="23" t="s">
        <v>135</v>
      </c>
      <c r="AG11" s="23" t="s">
        <v>135</v>
      </c>
      <c r="AH11" s="23" t="s">
        <v>135</v>
      </c>
      <c r="AI11" s="15" t="s">
        <v>861</v>
      </c>
      <c r="AJ11" s="15" t="s">
        <v>853</v>
      </c>
      <c r="AK11" s="18" t="s">
        <v>216</v>
      </c>
      <c r="AL11" s="15" t="s">
        <v>329</v>
      </c>
      <c r="AM11" s="18" t="s">
        <v>878</v>
      </c>
      <c r="AN11" s="18" t="s">
        <v>885</v>
      </c>
      <c r="AO11" s="21" t="n">
        <v>4</v>
      </c>
      <c r="AP11" s="15" t="s">
        <v>148</v>
      </c>
      <c r="AQ11" s="15" t="s">
        <v>148</v>
      </c>
      <c r="AR11" s="18" t="s">
        <v>886</v>
      </c>
      <c r="AS11" s="18" t="s">
        <v>205</v>
      </c>
      <c r="AT11" s="18" t="s">
        <v>269</v>
      </c>
      <c r="AU11" s="18" t="s">
        <v>269</v>
      </c>
      <c r="AV11" s="18" t="s">
        <v>864</v>
      </c>
      <c r="AW11" s="18" t="s">
        <v>887</v>
      </c>
      <c r="AX11" s="18" t="s">
        <v>888</v>
      </c>
      <c r="AY11" s="20" t="n">
        <f aca="false">IF(AND(ISNUMBER($J11),ISNUMBER($M11)),$J11/$M11,"n/a")</f>
        <v>20879.1208791209</v>
      </c>
      <c r="AZ11" s="19" t="n">
        <f aca="false">IF(AND(ISNUMBER($V11),ISNUMBER($M11)),$V11/$M11,"n/a")</f>
        <v>35.1648351648352</v>
      </c>
      <c r="BA11" s="15" t="str">
        <f aca="false">IF(NOT(ISNUMBER($J11)),"n/a",IF($J11&lt;70000,"1. &lt;Rs70k",IF($J11&lt;100000,"2. Rs70k-1L",IF($J11&lt;150000,"3. Rs1-1.5L",IF($J11&lt;200000,"4. Rs1.5-2L",IF($J11&lt;300000,"5. Rs2-3L","6. &gt;Rs3L"))))))</f>
        <v>4. Rs1.5-2L</v>
      </c>
      <c r="BB11" s="15" t="s">
        <v>30</v>
      </c>
      <c r="BC11" s="15" t="s">
        <v>889</v>
      </c>
      <c r="BD11" s="18" t="s">
        <v>644</v>
      </c>
      <c r="BE11" s="18" t="s">
        <v>890</v>
      </c>
    </row>
    <row r="12" customFormat="false" ht="57.75" hidden="false" customHeight="true" outlineLevel="0" collapsed="false">
      <c r="A12" s="8" t="s">
        <v>891</v>
      </c>
      <c r="B12" s="8" t="s">
        <v>394</v>
      </c>
      <c r="C12" s="8" t="s">
        <v>394</v>
      </c>
      <c r="D12" s="8" t="s">
        <v>892</v>
      </c>
      <c r="E12" s="8" t="s">
        <v>893</v>
      </c>
      <c r="F12" s="8" t="s">
        <v>894</v>
      </c>
      <c r="G12" s="8" t="s">
        <v>636</v>
      </c>
      <c r="H12" s="8" t="s">
        <v>895</v>
      </c>
      <c r="I12" s="9" t="s">
        <v>135</v>
      </c>
      <c r="J12" s="9" t="s">
        <v>135</v>
      </c>
      <c r="K12" s="8" t="s">
        <v>134</v>
      </c>
      <c r="L12" s="8" t="s">
        <v>135</v>
      </c>
      <c r="M12" s="10" t="n">
        <v>16</v>
      </c>
      <c r="N12" s="8" t="s">
        <v>136</v>
      </c>
      <c r="O12" s="8" t="s">
        <v>242</v>
      </c>
      <c r="P12" s="11" t="s">
        <v>135</v>
      </c>
      <c r="Q12" s="8" t="s">
        <v>625</v>
      </c>
      <c r="R12" s="12" t="s">
        <v>135</v>
      </c>
      <c r="S12" s="13" t="s">
        <v>135</v>
      </c>
      <c r="T12" s="13" t="n">
        <v>194</v>
      </c>
      <c r="U12" s="12" t="n">
        <v>1.2</v>
      </c>
      <c r="V12" s="13" t="n">
        <v>579</v>
      </c>
      <c r="W12" s="8" t="s">
        <v>896</v>
      </c>
      <c r="X12" s="13" t="s">
        <v>135</v>
      </c>
      <c r="Y12" s="13" t="s">
        <v>135</v>
      </c>
      <c r="Z12" s="11" t="s">
        <v>135</v>
      </c>
      <c r="AA12" s="11" t="s">
        <v>410</v>
      </c>
      <c r="AB12" s="22" t="s">
        <v>135</v>
      </c>
      <c r="AC12" s="22" t="s">
        <v>135</v>
      </c>
      <c r="AD12" s="22" t="s">
        <v>135</v>
      </c>
      <c r="AE12" s="22" t="s">
        <v>135</v>
      </c>
      <c r="AF12" s="22" t="s">
        <v>135</v>
      </c>
      <c r="AG12" s="22" t="s">
        <v>135</v>
      </c>
      <c r="AH12" s="22" t="s">
        <v>135</v>
      </c>
      <c r="AI12" s="8" t="s">
        <v>861</v>
      </c>
      <c r="AJ12" s="8" t="s">
        <v>853</v>
      </c>
      <c r="AK12" s="11" t="s">
        <v>216</v>
      </c>
      <c r="AL12" s="8" t="s">
        <v>329</v>
      </c>
      <c r="AM12" s="11" t="s">
        <v>512</v>
      </c>
      <c r="AN12" s="11" t="s">
        <v>411</v>
      </c>
      <c r="AO12" s="14" t="n">
        <v>4</v>
      </c>
      <c r="AP12" s="8" t="s">
        <v>148</v>
      </c>
      <c r="AQ12" s="8" t="s">
        <v>148</v>
      </c>
      <c r="AR12" s="11" t="s">
        <v>135</v>
      </c>
      <c r="AS12" s="11" t="s">
        <v>135</v>
      </c>
      <c r="AT12" s="11" t="s">
        <v>269</v>
      </c>
      <c r="AU12" s="11" t="s">
        <v>269</v>
      </c>
      <c r="AV12" s="11" t="s">
        <v>864</v>
      </c>
      <c r="AW12" s="11" t="s">
        <v>871</v>
      </c>
      <c r="AX12" s="11" t="s">
        <v>897</v>
      </c>
      <c r="AY12" s="13" t="str">
        <f aca="false">IF(AND(ISNUMBER($J12),ISNUMBER($M12)),$J12/$M12,"n/a")</f>
        <v>n/a</v>
      </c>
      <c r="AZ12" s="12" t="n">
        <f aca="false">IF(AND(ISNUMBER($V12),ISNUMBER($M12)),$V12/$M12,"n/a")</f>
        <v>36.1875</v>
      </c>
      <c r="BA12" s="8" t="str">
        <f aca="false">IF(NOT(ISNUMBER($J12)),"n/a",IF($J12&lt;70000,"1. &lt;Rs70k",IF($J12&lt;100000,"2. Rs70k-1L",IF($J12&lt;150000,"3. Rs1-1.5L",IF($J12&lt;200000,"4. Rs1.5-2L",IF($J12&lt;300000,"5. Rs2-3L","6. &gt;Rs3L"))))))</f>
        <v>n/a</v>
      </c>
      <c r="BB12" s="8" t="s">
        <v>32</v>
      </c>
      <c r="BC12" s="8" t="s">
        <v>898</v>
      </c>
      <c r="BD12" s="11" t="s">
        <v>644</v>
      </c>
      <c r="BE12" s="11" t="s">
        <v>899</v>
      </c>
    </row>
    <row r="13" customFormat="false" ht="57.75" hidden="false" customHeight="true" outlineLevel="0" collapsed="false">
      <c r="A13" s="15" t="s">
        <v>900</v>
      </c>
      <c r="B13" s="15" t="s">
        <v>901</v>
      </c>
      <c r="C13" s="15" t="s">
        <v>902</v>
      </c>
      <c r="D13" s="15" t="s">
        <v>903</v>
      </c>
      <c r="E13" s="15" t="s">
        <v>540</v>
      </c>
      <c r="F13" s="15" t="s">
        <v>131</v>
      </c>
      <c r="G13" s="15" t="s">
        <v>904</v>
      </c>
      <c r="H13" s="15" t="s">
        <v>905</v>
      </c>
      <c r="I13" s="16" t="s">
        <v>135</v>
      </c>
      <c r="J13" s="16" t="n">
        <v>142934</v>
      </c>
      <c r="K13" s="15" t="s">
        <v>134</v>
      </c>
      <c r="L13" s="15" t="s">
        <v>135</v>
      </c>
      <c r="M13" s="17" t="n">
        <v>3.24</v>
      </c>
      <c r="N13" s="15" t="s">
        <v>482</v>
      </c>
      <c r="O13" s="15" t="s">
        <v>242</v>
      </c>
      <c r="P13" s="18" t="s">
        <v>135</v>
      </c>
      <c r="Q13" s="15" t="s">
        <v>906</v>
      </c>
      <c r="R13" s="19" t="n">
        <v>3</v>
      </c>
      <c r="S13" s="20" t="n">
        <v>54</v>
      </c>
      <c r="T13" s="20" t="n">
        <v>85</v>
      </c>
      <c r="U13" s="19" t="s">
        <v>135</v>
      </c>
      <c r="V13" s="20" t="n">
        <v>150</v>
      </c>
      <c r="W13" s="15" t="s">
        <v>140</v>
      </c>
      <c r="X13" s="20" t="n">
        <v>110</v>
      </c>
      <c r="Y13" s="20" t="s">
        <v>135</v>
      </c>
      <c r="Z13" s="18" t="s">
        <v>907</v>
      </c>
      <c r="AA13" s="18" t="s">
        <v>264</v>
      </c>
      <c r="AB13" s="20" t="n">
        <v>108</v>
      </c>
      <c r="AC13" s="20" t="n">
        <v>2043</v>
      </c>
      <c r="AD13" s="20" t="n">
        <v>806</v>
      </c>
      <c r="AE13" s="20" t="n">
        <v>1100</v>
      </c>
      <c r="AF13" s="20" t="n">
        <v>1350</v>
      </c>
      <c r="AG13" s="20" t="n">
        <v>215</v>
      </c>
      <c r="AH13" s="20" t="n">
        <v>814</v>
      </c>
      <c r="AI13" s="15" t="s">
        <v>861</v>
      </c>
      <c r="AJ13" s="15" t="s">
        <v>853</v>
      </c>
      <c r="AK13" s="18" t="s">
        <v>216</v>
      </c>
      <c r="AL13" s="15" t="s">
        <v>145</v>
      </c>
      <c r="AM13" s="18" t="s">
        <v>315</v>
      </c>
      <c r="AN13" s="18" t="s">
        <v>908</v>
      </c>
      <c r="AO13" s="21" t="n">
        <v>3</v>
      </c>
      <c r="AP13" s="15" t="s">
        <v>135</v>
      </c>
      <c r="AQ13" s="15" t="s">
        <v>148</v>
      </c>
      <c r="AR13" s="18" t="s">
        <v>909</v>
      </c>
      <c r="AS13" s="18" t="s">
        <v>135</v>
      </c>
      <c r="AT13" s="18" t="s">
        <v>910</v>
      </c>
      <c r="AU13" s="18" t="s">
        <v>910</v>
      </c>
      <c r="AV13" s="18" t="s">
        <v>911</v>
      </c>
      <c r="AW13" s="18" t="s">
        <v>912</v>
      </c>
      <c r="AX13" s="18" t="s">
        <v>913</v>
      </c>
      <c r="AY13" s="20" t="n">
        <f aca="false">IF(AND(ISNUMBER($J13),ISNUMBER($M13)),$J13/$M13,"n/a")</f>
        <v>44115.4320987654</v>
      </c>
      <c r="AZ13" s="19" t="n">
        <f aca="false">IF(AND(ISNUMBER($V13),ISNUMBER($M13)),$V13/$M13,"n/a")</f>
        <v>46.2962962962963</v>
      </c>
      <c r="BA13" s="15" t="str">
        <f aca="false">IF(NOT(ISNUMBER($J13)),"n/a",IF($J13&lt;70000,"1. &lt;Rs70k",IF($J13&lt;100000,"2. Rs70k-1L",IF($J13&lt;150000,"3. Rs1-1.5L",IF($J13&lt;200000,"4. Rs1.5-2L",IF($J13&lt;300000,"5. Rs2-3L","6. &gt;Rs3L"))))))</f>
        <v>3. Rs1-1.5L</v>
      </c>
      <c r="BB13" s="15" t="s">
        <v>28</v>
      </c>
      <c r="BC13" s="15" t="s">
        <v>221</v>
      </c>
      <c r="BD13" s="18" t="s">
        <v>914</v>
      </c>
      <c r="BE13" s="18" t="s">
        <v>915</v>
      </c>
    </row>
    <row r="14" customFormat="false" ht="57.75" hidden="false" customHeight="true" outlineLevel="0" collapsed="false">
      <c r="A14" s="8" t="s">
        <v>916</v>
      </c>
      <c r="B14" s="8" t="s">
        <v>917</v>
      </c>
      <c r="C14" s="8" t="s">
        <v>902</v>
      </c>
      <c r="D14" s="8" t="s">
        <v>918</v>
      </c>
      <c r="E14" s="8" t="s">
        <v>540</v>
      </c>
      <c r="F14" s="8" t="s">
        <v>131</v>
      </c>
      <c r="G14" s="8" t="s">
        <v>198</v>
      </c>
      <c r="H14" s="8" t="s">
        <v>919</v>
      </c>
      <c r="I14" s="9" t="s">
        <v>135</v>
      </c>
      <c r="J14" s="9" t="n">
        <v>129950</v>
      </c>
      <c r="K14" s="8" t="s">
        <v>134</v>
      </c>
      <c r="L14" s="8" t="s">
        <v>135</v>
      </c>
      <c r="M14" s="10" t="n">
        <v>3.24</v>
      </c>
      <c r="N14" s="8" t="s">
        <v>482</v>
      </c>
      <c r="O14" s="8" t="s">
        <v>242</v>
      </c>
      <c r="P14" s="11" t="s">
        <v>135</v>
      </c>
      <c r="Q14" s="8" t="s">
        <v>906</v>
      </c>
      <c r="R14" s="12" t="n">
        <v>3</v>
      </c>
      <c r="S14" s="13" t="n">
        <v>54</v>
      </c>
      <c r="T14" s="13" t="n">
        <v>85</v>
      </c>
      <c r="U14" s="12" t="s">
        <v>135</v>
      </c>
      <c r="V14" s="13" t="n">
        <v>150</v>
      </c>
      <c r="W14" s="8" t="s">
        <v>140</v>
      </c>
      <c r="X14" s="13" t="n">
        <v>110</v>
      </c>
      <c r="Y14" s="13" t="s">
        <v>135</v>
      </c>
      <c r="Z14" s="11" t="s">
        <v>163</v>
      </c>
      <c r="AA14" s="11" t="s">
        <v>264</v>
      </c>
      <c r="AB14" s="13" t="n">
        <v>108</v>
      </c>
      <c r="AC14" s="13" t="n">
        <v>2043</v>
      </c>
      <c r="AD14" s="13" t="n">
        <v>806</v>
      </c>
      <c r="AE14" s="13" t="n">
        <v>1100</v>
      </c>
      <c r="AF14" s="13" t="n">
        <v>1350</v>
      </c>
      <c r="AG14" s="13" t="n">
        <v>215</v>
      </c>
      <c r="AH14" s="13" t="n">
        <v>814</v>
      </c>
      <c r="AI14" s="8" t="s">
        <v>861</v>
      </c>
      <c r="AJ14" s="8" t="s">
        <v>853</v>
      </c>
      <c r="AK14" s="11" t="s">
        <v>216</v>
      </c>
      <c r="AL14" s="8" t="s">
        <v>145</v>
      </c>
      <c r="AM14" s="11" t="s">
        <v>315</v>
      </c>
      <c r="AN14" s="11" t="s">
        <v>920</v>
      </c>
      <c r="AO14" s="14" t="n">
        <v>3</v>
      </c>
      <c r="AP14" s="8" t="s">
        <v>135</v>
      </c>
      <c r="AQ14" s="8" t="s">
        <v>148</v>
      </c>
      <c r="AR14" s="11" t="s">
        <v>921</v>
      </c>
      <c r="AS14" s="11" t="s">
        <v>135</v>
      </c>
      <c r="AT14" s="11" t="s">
        <v>910</v>
      </c>
      <c r="AU14" s="11" t="s">
        <v>910</v>
      </c>
      <c r="AV14" s="11" t="s">
        <v>911</v>
      </c>
      <c r="AW14" s="11" t="s">
        <v>922</v>
      </c>
      <c r="AX14" s="11" t="s">
        <v>135</v>
      </c>
      <c r="AY14" s="13" t="n">
        <f aca="false">IF(AND(ISNUMBER($J14),ISNUMBER($M14)),$J14/$M14,"n/a")</f>
        <v>40108.024691358</v>
      </c>
      <c r="AZ14" s="12" t="n">
        <f aca="false">IF(AND(ISNUMBER($V14),ISNUMBER($M14)),$V14/$M14,"n/a")</f>
        <v>46.2962962962963</v>
      </c>
      <c r="BA14" s="8" t="str">
        <f aca="false">IF(NOT(ISNUMBER($J14)),"n/a",IF($J14&lt;70000,"1. &lt;Rs70k",IF($J14&lt;100000,"2. Rs70k-1L",IF($J14&lt;150000,"3. Rs1-1.5L",IF($J14&lt;200000,"4. Rs1.5-2L",IF($J14&lt;300000,"5. Rs2-3L","6. &gt;Rs3L"))))))</f>
        <v>3. Rs1-1.5L</v>
      </c>
      <c r="BB14" s="8" t="s">
        <v>28</v>
      </c>
      <c r="BC14" s="8" t="s">
        <v>923</v>
      </c>
      <c r="BD14" s="11" t="s">
        <v>135</v>
      </c>
      <c r="BE14" s="11" t="s">
        <v>135</v>
      </c>
    </row>
    <row r="15" customFormat="false" ht="57.75" hidden="false" customHeight="true" outlineLevel="0" collapsed="false">
      <c r="A15" s="15" t="s">
        <v>924</v>
      </c>
      <c r="B15" s="15" t="s">
        <v>917</v>
      </c>
      <c r="C15" s="15" t="s">
        <v>902</v>
      </c>
      <c r="D15" s="15" t="s">
        <v>925</v>
      </c>
      <c r="E15" s="15" t="s">
        <v>540</v>
      </c>
      <c r="F15" s="15" t="s">
        <v>131</v>
      </c>
      <c r="G15" s="15" t="s">
        <v>177</v>
      </c>
      <c r="H15" s="15" t="s">
        <v>905</v>
      </c>
      <c r="I15" s="16" t="n">
        <v>124000</v>
      </c>
      <c r="J15" s="16" t="n">
        <v>132000</v>
      </c>
      <c r="K15" s="15" t="s">
        <v>134</v>
      </c>
      <c r="L15" s="15" t="s">
        <v>135</v>
      </c>
      <c r="M15" s="17" t="n">
        <v>3.24</v>
      </c>
      <c r="N15" s="15" t="s">
        <v>482</v>
      </c>
      <c r="O15" s="15" t="s">
        <v>242</v>
      </c>
      <c r="P15" s="18" t="s">
        <v>135</v>
      </c>
      <c r="Q15" s="15" t="s">
        <v>906</v>
      </c>
      <c r="R15" s="19" t="n">
        <v>4.5</v>
      </c>
      <c r="S15" s="20" t="s">
        <v>135</v>
      </c>
      <c r="T15" s="20" t="n">
        <v>90</v>
      </c>
      <c r="U15" s="19" t="s">
        <v>135</v>
      </c>
      <c r="V15" s="20" t="n">
        <v>150</v>
      </c>
      <c r="W15" s="15" t="s">
        <v>140</v>
      </c>
      <c r="X15" s="20" t="n">
        <v>110</v>
      </c>
      <c r="Y15" s="20" t="s">
        <v>135</v>
      </c>
      <c r="Z15" s="18" t="s">
        <v>285</v>
      </c>
      <c r="AA15" s="18" t="s">
        <v>264</v>
      </c>
      <c r="AB15" s="23" t="s">
        <v>135</v>
      </c>
      <c r="AC15" s="23" t="s">
        <v>135</v>
      </c>
      <c r="AD15" s="23" t="s">
        <v>135</v>
      </c>
      <c r="AE15" s="23" t="s">
        <v>135</v>
      </c>
      <c r="AF15" s="23" t="s">
        <v>135</v>
      </c>
      <c r="AG15" s="23" t="s">
        <v>135</v>
      </c>
      <c r="AH15" s="23" t="s">
        <v>135</v>
      </c>
      <c r="AI15" s="15" t="s">
        <v>861</v>
      </c>
      <c r="AJ15" s="15" t="s">
        <v>853</v>
      </c>
      <c r="AK15" s="18" t="s">
        <v>216</v>
      </c>
      <c r="AL15" s="15" t="s">
        <v>145</v>
      </c>
      <c r="AM15" s="18" t="s">
        <v>512</v>
      </c>
      <c r="AN15" s="18" t="s">
        <v>926</v>
      </c>
      <c r="AO15" s="21" t="n">
        <v>3</v>
      </c>
      <c r="AP15" s="15" t="s">
        <v>135</v>
      </c>
      <c r="AQ15" s="15" t="s">
        <v>148</v>
      </c>
      <c r="AR15" s="18" t="s">
        <v>927</v>
      </c>
      <c r="AS15" s="18" t="s">
        <v>135</v>
      </c>
      <c r="AT15" s="18" t="s">
        <v>910</v>
      </c>
      <c r="AU15" s="18" t="s">
        <v>613</v>
      </c>
      <c r="AV15" s="18" t="s">
        <v>911</v>
      </c>
      <c r="AW15" s="18" t="s">
        <v>922</v>
      </c>
      <c r="AX15" s="18" t="s">
        <v>135</v>
      </c>
      <c r="AY15" s="20" t="n">
        <f aca="false">IF(AND(ISNUMBER($J15),ISNUMBER($M15)),$J15/$M15,"n/a")</f>
        <v>40740.7407407407</v>
      </c>
      <c r="AZ15" s="19" t="n">
        <f aca="false">IF(AND(ISNUMBER($V15),ISNUMBER($M15)),$V15/$M15,"n/a")</f>
        <v>46.2962962962963</v>
      </c>
      <c r="BA15" s="15" t="str">
        <f aca="false">IF(NOT(ISNUMBER($J15)),"n/a",IF($J15&lt;70000,"1. &lt;Rs70k",IF($J15&lt;100000,"2. Rs70k-1L",IF($J15&lt;150000,"3. Rs1-1.5L",IF($J15&lt;200000,"4. Rs1.5-2L",IF($J15&lt;300000,"5. Rs2-3L","6. &gt;Rs3L"))))))</f>
        <v>3. Rs1-1.5L</v>
      </c>
      <c r="BB15" s="15" t="s">
        <v>30</v>
      </c>
      <c r="BC15" s="15" t="s">
        <v>928</v>
      </c>
      <c r="BD15" s="18" t="s">
        <v>135</v>
      </c>
      <c r="BE15" s="18" t="s">
        <v>135</v>
      </c>
    </row>
    <row r="16" customFormat="false" ht="57.75" hidden="false" customHeight="true" outlineLevel="0" collapsed="false">
      <c r="A16" s="8" t="s">
        <v>929</v>
      </c>
      <c r="B16" s="8" t="s">
        <v>917</v>
      </c>
      <c r="C16" s="8" t="s">
        <v>902</v>
      </c>
      <c r="D16" s="8" t="s">
        <v>930</v>
      </c>
      <c r="E16" s="8" t="s">
        <v>540</v>
      </c>
      <c r="F16" s="8" t="s">
        <v>131</v>
      </c>
      <c r="G16" s="8" t="s">
        <v>275</v>
      </c>
      <c r="H16" s="8" t="s">
        <v>859</v>
      </c>
      <c r="I16" s="9" t="n">
        <v>84990</v>
      </c>
      <c r="J16" s="9" t="n">
        <v>95000</v>
      </c>
      <c r="K16" s="8" t="s">
        <v>134</v>
      </c>
      <c r="L16" s="8" t="s">
        <v>135</v>
      </c>
      <c r="M16" s="10" t="n">
        <v>2.2</v>
      </c>
      <c r="N16" s="8" t="s">
        <v>482</v>
      </c>
      <c r="O16" s="8" t="s">
        <v>242</v>
      </c>
      <c r="P16" s="11" t="s">
        <v>135</v>
      </c>
      <c r="Q16" s="8" t="s">
        <v>906</v>
      </c>
      <c r="R16" s="12" t="n">
        <v>3</v>
      </c>
      <c r="S16" s="13" t="s">
        <v>135</v>
      </c>
      <c r="T16" s="13" t="n">
        <v>70</v>
      </c>
      <c r="U16" s="12" t="s">
        <v>135</v>
      </c>
      <c r="V16" s="13" t="n">
        <v>100</v>
      </c>
      <c r="W16" s="8" t="s">
        <v>140</v>
      </c>
      <c r="X16" s="13" t="n">
        <v>72</v>
      </c>
      <c r="Y16" s="13" t="s">
        <v>135</v>
      </c>
      <c r="Z16" s="11" t="s">
        <v>931</v>
      </c>
      <c r="AA16" s="11" t="s">
        <v>264</v>
      </c>
      <c r="AB16" s="22" t="s">
        <v>135</v>
      </c>
      <c r="AC16" s="22" t="s">
        <v>135</v>
      </c>
      <c r="AD16" s="22" t="s">
        <v>135</v>
      </c>
      <c r="AE16" s="22" t="s">
        <v>135</v>
      </c>
      <c r="AF16" s="22" t="s">
        <v>135</v>
      </c>
      <c r="AG16" s="22" t="s">
        <v>135</v>
      </c>
      <c r="AH16" s="22" t="s">
        <v>135</v>
      </c>
      <c r="AI16" s="8" t="s">
        <v>861</v>
      </c>
      <c r="AJ16" s="8" t="s">
        <v>853</v>
      </c>
      <c r="AK16" s="11" t="s">
        <v>265</v>
      </c>
      <c r="AL16" s="8" t="s">
        <v>145</v>
      </c>
      <c r="AM16" s="11" t="s">
        <v>315</v>
      </c>
      <c r="AN16" s="11" t="s">
        <v>920</v>
      </c>
      <c r="AO16" s="14" t="n">
        <v>2</v>
      </c>
      <c r="AP16" s="8" t="s">
        <v>135</v>
      </c>
      <c r="AQ16" s="8" t="s">
        <v>135</v>
      </c>
      <c r="AR16" s="11" t="s">
        <v>932</v>
      </c>
      <c r="AS16" s="11" t="s">
        <v>135</v>
      </c>
      <c r="AT16" s="11" t="s">
        <v>910</v>
      </c>
      <c r="AU16" s="11" t="s">
        <v>613</v>
      </c>
      <c r="AV16" s="11" t="s">
        <v>933</v>
      </c>
      <c r="AW16" s="11" t="s">
        <v>922</v>
      </c>
      <c r="AX16" s="11" t="s">
        <v>934</v>
      </c>
      <c r="AY16" s="13" t="n">
        <f aca="false">IF(AND(ISNUMBER($J16),ISNUMBER($M16)),$J16/$M16,"n/a")</f>
        <v>43181.8181818182</v>
      </c>
      <c r="AZ16" s="12" t="n">
        <f aca="false">IF(AND(ISNUMBER($V16),ISNUMBER($M16)),$V16/$M16,"n/a")</f>
        <v>45.4545454545455</v>
      </c>
      <c r="BA16" s="8" t="str">
        <f aca="false">IF(NOT(ISNUMBER($J16)),"n/a",IF($J16&lt;70000,"1. &lt;Rs70k",IF($J16&lt;100000,"2. Rs70k-1L",IF($J16&lt;150000,"3. Rs1-1.5L",IF($J16&lt;200000,"4. Rs1.5-2L",IF($J16&lt;300000,"5. Rs2-3L","6. &gt;Rs3L"))))))</f>
        <v>2. Rs70k-1L</v>
      </c>
      <c r="BB16" s="8" t="s">
        <v>30</v>
      </c>
      <c r="BC16" s="8" t="s">
        <v>935</v>
      </c>
      <c r="BD16" s="11" t="s">
        <v>644</v>
      </c>
      <c r="BE16" s="11" t="s">
        <v>936</v>
      </c>
    </row>
    <row r="17" customFormat="false" ht="57.75" hidden="false" customHeight="true" outlineLevel="0" collapsed="false">
      <c r="A17" s="15" t="s">
        <v>937</v>
      </c>
      <c r="B17" s="15" t="s">
        <v>917</v>
      </c>
      <c r="C17" s="15" t="s">
        <v>902</v>
      </c>
      <c r="D17" s="15" t="s">
        <v>938</v>
      </c>
      <c r="E17" s="15" t="s">
        <v>540</v>
      </c>
      <c r="F17" s="15" t="s">
        <v>131</v>
      </c>
      <c r="G17" s="15" t="s">
        <v>275</v>
      </c>
      <c r="H17" s="15" t="s">
        <v>859</v>
      </c>
      <c r="I17" s="16" t="n">
        <v>89990</v>
      </c>
      <c r="J17" s="16" t="n">
        <v>105000</v>
      </c>
      <c r="K17" s="15" t="s">
        <v>134</v>
      </c>
      <c r="L17" s="15" t="s">
        <v>135</v>
      </c>
      <c r="M17" s="17" t="n">
        <v>3.24</v>
      </c>
      <c r="N17" s="15" t="s">
        <v>482</v>
      </c>
      <c r="O17" s="15" t="s">
        <v>242</v>
      </c>
      <c r="P17" s="18" t="s">
        <v>135</v>
      </c>
      <c r="Q17" s="15" t="s">
        <v>906</v>
      </c>
      <c r="R17" s="19" t="n">
        <v>3</v>
      </c>
      <c r="S17" s="20" t="s">
        <v>135</v>
      </c>
      <c r="T17" s="20" t="n">
        <v>70</v>
      </c>
      <c r="U17" s="19" t="s">
        <v>135</v>
      </c>
      <c r="V17" s="20" t="n">
        <v>160</v>
      </c>
      <c r="W17" s="15" t="s">
        <v>140</v>
      </c>
      <c r="X17" s="20" t="n">
        <v>115</v>
      </c>
      <c r="Y17" s="20" t="s">
        <v>135</v>
      </c>
      <c r="Z17" s="18" t="s">
        <v>285</v>
      </c>
      <c r="AA17" s="18" t="s">
        <v>264</v>
      </c>
      <c r="AB17" s="23" t="s">
        <v>135</v>
      </c>
      <c r="AC17" s="23" t="s">
        <v>135</v>
      </c>
      <c r="AD17" s="23" t="s">
        <v>135</v>
      </c>
      <c r="AE17" s="23" t="s">
        <v>135</v>
      </c>
      <c r="AF17" s="23" t="s">
        <v>135</v>
      </c>
      <c r="AG17" s="23" t="s">
        <v>135</v>
      </c>
      <c r="AH17" s="23" t="s">
        <v>135</v>
      </c>
      <c r="AI17" s="15" t="s">
        <v>861</v>
      </c>
      <c r="AJ17" s="15" t="s">
        <v>853</v>
      </c>
      <c r="AK17" s="18" t="s">
        <v>265</v>
      </c>
      <c r="AL17" s="15" t="s">
        <v>145</v>
      </c>
      <c r="AM17" s="18" t="s">
        <v>315</v>
      </c>
      <c r="AN17" s="18" t="s">
        <v>920</v>
      </c>
      <c r="AO17" s="21" t="n">
        <v>2</v>
      </c>
      <c r="AP17" s="15" t="s">
        <v>135</v>
      </c>
      <c r="AQ17" s="15" t="s">
        <v>135</v>
      </c>
      <c r="AR17" s="18" t="s">
        <v>135</v>
      </c>
      <c r="AS17" s="18" t="s">
        <v>135</v>
      </c>
      <c r="AT17" s="18" t="s">
        <v>910</v>
      </c>
      <c r="AU17" s="18" t="s">
        <v>613</v>
      </c>
      <c r="AV17" s="18" t="s">
        <v>933</v>
      </c>
      <c r="AW17" s="18" t="s">
        <v>922</v>
      </c>
      <c r="AX17" s="18" t="s">
        <v>135</v>
      </c>
      <c r="AY17" s="20" t="n">
        <f aca="false">IF(AND(ISNUMBER($J17),ISNUMBER($M17)),$J17/$M17,"n/a")</f>
        <v>32407.4074074074</v>
      </c>
      <c r="AZ17" s="19" t="n">
        <f aca="false">IF(AND(ISNUMBER($V17),ISNUMBER($M17)),$V17/$M17,"n/a")</f>
        <v>49.3827160493827</v>
      </c>
      <c r="BA17" s="15" t="str">
        <f aca="false">IF(NOT(ISNUMBER($J17)),"n/a",IF($J17&lt;70000,"1. &lt;Rs70k",IF($J17&lt;100000,"2. Rs70k-1L",IF($J17&lt;150000,"3. Rs1-1.5L",IF($J17&lt;200000,"4. Rs1.5-2L",IF($J17&lt;300000,"5. Rs2-3L","6. &gt;Rs3L"))))))</f>
        <v>3. Rs1-1.5L</v>
      </c>
      <c r="BB17" s="15" t="s">
        <v>30</v>
      </c>
      <c r="BC17" s="15" t="s">
        <v>935</v>
      </c>
      <c r="BD17" s="18" t="s">
        <v>135</v>
      </c>
      <c r="BE17" s="18" t="s">
        <v>135</v>
      </c>
    </row>
    <row r="18" customFormat="false" ht="57.75" hidden="false" customHeight="true" outlineLevel="0" collapsed="false">
      <c r="A18" s="8" t="s">
        <v>939</v>
      </c>
      <c r="B18" s="8" t="s">
        <v>940</v>
      </c>
      <c r="C18" s="8" t="s">
        <v>941</v>
      </c>
      <c r="D18" s="8" t="s">
        <v>942</v>
      </c>
      <c r="E18" s="8" t="s">
        <v>540</v>
      </c>
      <c r="F18" s="8" t="s">
        <v>131</v>
      </c>
      <c r="G18" s="8" t="s">
        <v>198</v>
      </c>
      <c r="H18" s="8" t="s">
        <v>943</v>
      </c>
      <c r="I18" s="9" t="n">
        <v>149000</v>
      </c>
      <c r="J18" s="9" t="n">
        <v>149000</v>
      </c>
      <c r="K18" s="8" t="s">
        <v>134</v>
      </c>
      <c r="L18" s="8" t="s">
        <v>135</v>
      </c>
      <c r="M18" s="10" t="n">
        <v>4.4</v>
      </c>
      <c r="N18" s="8" t="s">
        <v>136</v>
      </c>
      <c r="O18" s="8" t="s">
        <v>944</v>
      </c>
      <c r="P18" s="11" t="s">
        <v>945</v>
      </c>
      <c r="Q18" s="8" t="s">
        <v>946</v>
      </c>
      <c r="R18" s="12" t="n">
        <v>7.5</v>
      </c>
      <c r="S18" s="13" t="n">
        <v>62</v>
      </c>
      <c r="T18" s="13" t="n">
        <v>100</v>
      </c>
      <c r="U18" s="12" t="n">
        <v>3</v>
      </c>
      <c r="V18" s="13" t="n">
        <v>187</v>
      </c>
      <c r="W18" s="8" t="s">
        <v>140</v>
      </c>
      <c r="X18" s="13" t="n">
        <v>130</v>
      </c>
      <c r="Y18" s="13" t="s">
        <v>135</v>
      </c>
      <c r="Z18" s="11" t="s">
        <v>947</v>
      </c>
      <c r="AA18" s="11" t="s">
        <v>264</v>
      </c>
      <c r="AB18" s="13" t="n">
        <v>130</v>
      </c>
      <c r="AC18" s="22" t="s">
        <v>135</v>
      </c>
      <c r="AD18" s="22" t="s">
        <v>135</v>
      </c>
      <c r="AE18" s="22" t="s">
        <v>135</v>
      </c>
      <c r="AF18" s="13" t="n">
        <v>1350</v>
      </c>
      <c r="AG18" s="13" t="n">
        <v>220</v>
      </c>
      <c r="AH18" s="22" t="s">
        <v>135</v>
      </c>
      <c r="AI18" s="8" t="s">
        <v>861</v>
      </c>
      <c r="AJ18" s="8" t="s">
        <v>853</v>
      </c>
      <c r="AK18" s="11" t="s">
        <v>216</v>
      </c>
      <c r="AL18" s="8" t="s">
        <v>145</v>
      </c>
      <c r="AM18" s="11" t="s">
        <v>315</v>
      </c>
      <c r="AN18" s="11" t="s">
        <v>948</v>
      </c>
      <c r="AO18" s="14" t="n">
        <v>3</v>
      </c>
      <c r="AP18" s="8" t="s">
        <v>135</v>
      </c>
      <c r="AQ18" s="8" t="s">
        <v>135</v>
      </c>
      <c r="AR18" s="11" t="s">
        <v>949</v>
      </c>
      <c r="AS18" s="11" t="s">
        <v>205</v>
      </c>
      <c r="AT18" s="11" t="s">
        <v>269</v>
      </c>
      <c r="AU18" s="11" t="s">
        <v>950</v>
      </c>
      <c r="AV18" s="11" t="s">
        <v>951</v>
      </c>
      <c r="AW18" s="11" t="s">
        <v>791</v>
      </c>
      <c r="AX18" s="11" t="s">
        <v>952</v>
      </c>
      <c r="AY18" s="13" t="n">
        <f aca="false">IF(AND(ISNUMBER($J18),ISNUMBER($M18)),$J18/$M18,"n/a")</f>
        <v>33863.6363636364</v>
      </c>
      <c r="AZ18" s="12" t="n">
        <f aca="false">IF(AND(ISNUMBER($V18),ISNUMBER($M18)),$V18/$M18,"n/a")</f>
        <v>42.5</v>
      </c>
      <c r="BA18" s="8" t="str">
        <f aca="false">IF(NOT(ISNUMBER($J18)),"n/a",IF($J18&lt;70000,"1. &lt;Rs70k",IF($J18&lt;100000,"2. Rs70k-1L",IF($J18&lt;150000,"3. Rs1-1.5L",IF($J18&lt;200000,"4. Rs1.5-2L",IF($J18&lt;300000,"5. Rs2-3L","6. &gt;Rs3L"))))))</f>
        <v>3. Rs1-1.5L</v>
      </c>
      <c r="BB18" s="8" t="s">
        <v>30</v>
      </c>
      <c r="BC18" s="8" t="s">
        <v>953</v>
      </c>
      <c r="BD18" s="11" t="s">
        <v>644</v>
      </c>
      <c r="BE18" s="11" t="s">
        <v>954</v>
      </c>
    </row>
    <row r="19" customFormat="false" ht="57.75" hidden="false" customHeight="true" outlineLevel="0" collapsed="false">
      <c r="A19" s="15" t="s">
        <v>955</v>
      </c>
      <c r="B19" s="15" t="s">
        <v>956</v>
      </c>
      <c r="C19" s="15" t="s">
        <v>941</v>
      </c>
      <c r="D19" s="15" t="s">
        <v>957</v>
      </c>
      <c r="E19" s="15" t="s">
        <v>958</v>
      </c>
      <c r="F19" s="15" t="s">
        <v>131</v>
      </c>
      <c r="G19" s="15" t="s">
        <v>177</v>
      </c>
      <c r="H19" s="15" t="s">
        <v>959</v>
      </c>
      <c r="I19" s="16" t="n">
        <v>89999</v>
      </c>
      <c r="J19" s="16" t="n">
        <v>99999</v>
      </c>
      <c r="K19" s="15" t="s">
        <v>134</v>
      </c>
      <c r="L19" s="15" t="s">
        <v>135</v>
      </c>
      <c r="M19" s="17" t="n">
        <v>4.4</v>
      </c>
      <c r="N19" s="15" t="s">
        <v>136</v>
      </c>
      <c r="O19" s="15" t="s">
        <v>960</v>
      </c>
      <c r="P19" s="18" t="s">
        <v>945</v>
      </c>
      <c r="Q19" s="15" t="s">
        <v>946</v>
      </c>
      <c r="R19" s="19" t="n">
        <v>7.5</v>
      </c>
      <c r="S19" s="20" t="n">
        <v>62</v>
      </c>
      <c r="T19" s="20" t="n">
        <v>95</v>
      </c>
      <c r="U19" s="19" t="n">
        <v>3.3</v>
      </c>
      <c r="V19" s="20" t="n">
        <v>175</v>
      </c>
      <c r="W19" s="15" t="s">
        <v>140</v>
      </c>
      <c r="X19" s="20" t="n">
        <v>125</v>
      </c>
      <c r="Y19" s="20" t="s">
        <v>135</v>
      </c>
      <c r="Z19" s="18" t="s">
        <v>947</v>
      </c>
      <c r="AA19" s="18" t="s">
        <v>264</v>
      </c>
      <c r="AB19" s="23" t="s">
        <v>135</v>
      </c>
      <c r="AC19" s="23" t="s">
        <v>135</v>
      </c>
      <c r="AD19" s="23" t="s">
        <v>135</v>
      </c>
      <c r="AE19" s="23" t="s">
        <v>135</v>
      </c>
      <c r="AF19" s="23" t="s">
        <v>135</v>
      </c>
      <c r="AG19" s="20" t="n">
        <v>220</v>
      </c>
      <c r="AH19" s="23" t="s">
        <v>135</v>
      </c>
      <c r="AI19" s="15" t="s">
        <v>861</v>
      </c>
      <c r="AJ19" s="15" t="s">
        <v>853</v>
      </c>
      <c r="AK19" s="18" t="s">
        <v>216</v>
      </c>
      <c r="AL19" s="15" t="s">
        <v>145</v>
      </c>
      <c r="AM19" s="18" t="s">
        <v>315</v>
      </c>
      <c r="AN19" s="18" t="s">
        <v>948</v>
      </c>
      <c r="AO19" s="21" t="n">
        <v>3</v>
      </c>
      <c r="AP19" s="15" t="s">
        <v>135</v>
      </c>
      <c r="AQ19" s="15" t="s">
        <v>135</v>
      </c>
      <c r="AR19" s="18" t="s">
        <v>961</v>
      </c>
      <c r="AS19" s="18" t="s">
        <v>205</v>
      </c>
      <c r="AT19" s="18" t="s">
        <v>269</v>
      </c>
      <c r="AU19" s="18" t="s">
        <v>962</v>
      </c>
      <c r="AV19" s="18" t="s">
        <v>951</v>
      </c>
      <c r="AW19" s="18" t="s">
        <v>791</v>
      </c>
      <c r="AX19" s="18" t="s">
        <v>963</v>
      </c>
      <c r="AY19" s="20" t="n">
        <f aca="false">IF(AND(ISNUMBER($J19),ISNUMBER($M19)),$J19/$M19,"n/a")</f>
        <v>22727.0454545455</v>
      </c>
      <c r="AZ19" s="19" t="n">
        <f aca="false">IF(AND(ISNUMBER($V19),ISNUMBER($M19)),$V19/$M19,"n/a")</f>
        <v>39.7727272727273</v>
      </c>
      <c r="BA19" s="15" t="str">
        <f aca="false">IF(NOT(ISNUMBER($J19)),"n/a",IF($J19&lt;70000,"1. &lt;Rs70k",IF($J19&lt;100000,"2. Rs70k-1L",IF($J19&lt;150000,"3. Rs1-1.5L",IF($J19&lt;200000,"4. Rs1.5-2L",IF($J19&lt;300000,"5. Rs2-3L","6. &gt;Rs3L"))))))</f>
        <v>2. Rs70k-1L</v>
      </c>
      <c r="BB19" s="15" t="s">
        <v>30</v>
      </c>
      <c r="BC19" s="15" t="s">
        <v>935</v>
      </c>
      <c r="BD19" s="18" t="s">
        <v>644</v>
      </c>
      <c r="BE19" s="18" t="s">
        <v>964</v>
      </c>
    </row>
    <row r="20" customFormat="false" ht="57.75" hidden="false" customHeight="true" outlineLevel="0" collapsed="false">
      <c r="A20" s="8" t="s">
        <v>965</v>
      </c>
      <c r="B20" s="8" t="s">
        <v>956</v>
      </c>
      <c r="C20" s="8" t="s">
        <v>941</v>
      </c>
      <c r="D20" s="8" t="s">
        <v>966</v>
      </c>
      <c r="E20" s="8" t="s">
        <v>540</v>
      </c>
      <c r="F20" s="8" t="s">
        <v>131</v>
      </c>
      <c r="G20" s="8" t="s">
        <v>489</v>
      </c>
      <c r="H20" s="8" t="s">
        <v>967</v>
      </c>
      <c r="I20" s="9" t="s">
        <v>135</v>
      </c>
      <c r="J20" s="9" t="n">
        <v>119999</v>
      </c>
      <c r="K20" s="8" t="s">
        <v>134</v>
      </c>
      <c r="L20" s="8" t="s">
        <v>135</v>
      </c>
      <c r="M20" s="10" t="n">
        <v>4.4</v>
      </c>
      <c r="N20" s="8" t="s">
        <v>136</v>
      </c>
      <c r="O20" s="8" t="s">
        <v>960</v>
      </c>
      <c r="P20" s="11" t="s">
        <v>968</v>
      </c>
      <c r="Q20" s="8" t="s">
        <v>946</v>
      </c>
      <c r="R20" s="12" t="n">
        <v>10</v>
      </c>
      <c r="S20" s="13" t="s">
        <v>135</v>
      </c>
      <c r="T20" s="13" t="n">
        <v>110</v>
      </c>
      <c r="U20" s="12" t="s">
        <v>135</v>
      </c>
      <c r="V20" s="13" t="n">
        <v>175</v>
      </c>
      <c r="W20" s="8" t="s">
        <v>140</v>
      </c>
      <c r="X20" s="13" t="n">
        <v>125</v>
      </c>
      <c r="Y20" s="13" t="s">
        <v>135</v>
      </c>
      <c r="Z20" s="11" t="s">
        <v>969</v>
      </c>
      <c r="AA20" s="11" t="s">
        <v>264</v>
      </c>
      <c r="AB20" s="22" t="s">
        <v>135</v>
      </c>
      <c r="AC20" s="22" t="s">
        <v>135</v>
      </c>
      <c r="AD20" s="22" t="s">
        <v>135</v>
      </c>
      <c r="AE20" s="22" t="s">
        <v>135</v>
      </c>
      <c r="AF20" s="22" t="s">
        <v>135</v>
      </c>
      <c r="AG20" s="13" t="n">
        <v>220</v>
      </c>
      <c r="AH20" s="22" t="s">
        <v>135</v>
      </c>
      <c r="AI20" s="8" t="s">
        <v>861</v>
      </c>
      <c r="AJ20" s="8" t="s">
        <v>853</v>
      </c>
      <c r="AK20" s="11" t="s">
        <v>216</v>
      </c>
      <c r="AL20" s="8" t="s">
        <v>145</v>
      </c>
      <c r="AM20" s="11" t="s">
        <v>512</v>
      </c>
      <c r="AN20" s="11" t="s">
        <v>948</v>
      </c>
      <c r="AO20" s="14" t="n">
        <v>3</v>
      </c>
      <c r="AP20" s="8" t="s">
        <v>135</v>
      </c>
      <c r="AQ20" s="8" t="s">
        <v>135</v>
      </c>
      <c r="AR20" s="11" t="s">
        <v>970</v>
      </c>
      <c r="AS20" s="11" t="s">
        <v>205</v>
      </c>
      <c r="AT20" s="11" t="s">
        <v>269</v>
      </c>
      <c r="AU20" s="11" t="s">
        <v>962</v>
      </c>
      <c r="AV20" s="11" t="s">
        <v>951</v>
      </c>
      <c r="AW20" s="11" t="s">
        <v>791</v>
      </c>
      <c r="AX20" s="11" t="s">
        <v>971</v>
      </c>
      <c r="AY20" s="13" t="n">
        <f aca="false">IF(AND(ISNUMBER($J20),ISNUMBER($M20)),$J20/$M20,"n/a")</f>
        <v>27272.5</v>
      </c>
      <c r="AZ20" s="12" t="n">
        <f aca="false">IF(AND(ISNUMBER($V20),ISNUMBER($M20)),$V20/$M20,"n/a")</f>
        <v>39.7727272727273</v>
      </c>
      <c r="BA20" s="8" t="str">
        <f aca="false">IF(NOT(ISNUMBER($J20)),"n/a",IF($J20&lt;70000,"1. &lt;Rs70k",IF($J20&lt;100000,"2. Rs70k-1L",IF($J20&lt;150000,"3. Rs1-1.5L",IF($J20&lt;200000,"4. Rs1.5-2L",IF($J20&lt;300000,"5. Rs2-3L","6. &gt;Rs3L"))))))</f>
        <v>3. Rs1-1.5L</v>
      </c>
      <c r="BB20" s="8" t="s">
        <v>30</v>
      </c>
      <c r="BC20" s="8" t="s">
        <v>972</v>
      </c>
      <c r="BD20" s="11" t="s">
        <v>135</v>
      </c>
      <c r="BE20" s="11" t="s">
        <v>135</v>
      </c>
    </row>
    <row r="21" customFormat="false" ht="57.75" hidden="false" customHeight="true" outlineLevel="0" collapsed="false">
      <c r="A21" s="15" t="s">
        <v>973</v>
      </c>
      <c r="B21" s="15" t="s">
        <v>974</v>
      </c>
      <c r="C21" s="15" t="s">
        <v>975</v>
      </c>
      <c r="D21" s="15" t="s">
        <v>976</v>
      </c>
      <c r="E21" s="15" t="s">
        <v>540</v>
      </c>
      <c r="F21" s="15" t="s">
        <v>131</v>
      </c>
      <c r="G21" s="15" t="s">
        <v>977</v>
      </c>
      <c r="H21" s="15" t="s">
        <v>978</v>
      </c>
      <c r="I21" s="16" t="s">
        <v>135</v>
      </c>
      <c r="J21" s="16" t="n">
        <v>183305</v>
      </c>
      <c r="K21" s="15" t="s">
        <v>134</v>
      </c>
      <c r="L21" s="15" t="s">
        <v>135</v>
      </c>
      <c r="M21" s="17" t="n">
        <v>5</v>
      </c>
      <c r="N21" s="15" t="s">
        <v>979</v>
      </c>
      <c r="O21" s="15" t="s">
        <v>242</v>
      </c>
      <c r="P21" s="18" t="s">
        <v>980</v>
      </c>
      <c r="Q21" s="15" t="s">
        <v>946</v>
      </c>
      <c r="R21" s="19" t="n">
        <v>10</v>
      </c>
      <c r="S21" s="20" t="n">
        <v>520</v>
      </c>
      <c r="T21" s="20" t="n">
        <v>105</v>
      </c>
      <c r="U21" s="19" t="s">
        <v>135</v>
      </c>
      <c r="V21" s="20" t="n">
        <v>172</v>
      </c>
      <c r="W21" s="15" t="s">
        <v>140</v>
      </c>
      <c r="X21" s="20" t="n">
        <v>125</v>
      </c>
      <c r="Y21" s="20" t="s">
        <v>135</v>
      </c>
      <c r="Z21" s="18" t="s">
        <v>665</v>
      </c>
      <c r="AA21" s="18" t="s">
        <v>264</v>
      </c>
      <c r="AB21" s="20" t="n">
        <v>168</v>
      </c>
      <c r="AC21" s="23" t="s">
        <v>135</v>
      </c>
      <c r="AD21" s="23" t="s">
        <v>135</v>
      </c>
      <c r="AE21" s="23" t="s">
        <v>135</v>
      </c>
      <c r="AF21" s="23" t="s">
        <v>135</v>
      </c>
      <c r="AG21" s="23" t="s">
        <v>135</v>
      </c>
      <c r="AH21" s="23" t="s">
        <v>135</v>
      </c>
      <c r="AI21" s="15" t="s">
        <v>981</v>
      </c>
      <c r="AJ21" s="15" t="s">
        <v>853</v>
      </c>
      <c r="AK21" s="18" t="s">
        <v>216</v>
      </c>
      <c r="AL21" s="15" t="s">
        <v>806</v>
      </c>
      <c r="AM21" s="18" t="s">
        <v>188</v>
      </c>
      <c r="AN21" s="18" t="s">
        <v>331</v>
      </c>
      <c r="AO21" s="21" t="n">
        <v>4</v>
      </c>
      <c r="AP21" s="15" t="s">
        <v>135</v>
      </c>
      <c r="AQ21" s="15" t="s">
        <v>148</v>
      </c>
      <c r="AR21" s="18" t="s">
        <v>982</v>
      </c>
      <c r="AS21" s="18" t="s">
        <v>205</v>
      </c>
      <c r="AT21" s="18" t="s">
        <v>269</v>
      </c>
      <c r="AU21" s="18" t="s">
        <v>983</v>
      </c>
      <c r="AV21" s="18" t="s">
        <v>984</v>
      </c>
      <c r="AW21" s="18" t="s">
        <v>985</v>
      </c>
      <c r="AX21" s="18" t="s">
        <v>986</v>
      </c>
      <c r="AY21" s="20" t="n">
        <f aca="false">IF(AND(ISNUMBER($J21),ISNUMBER($M21)),$J21/$M21,"n/a")</f>
        <v>36661</v>
      </c>
      <c r="AZ21" s="19" t="n">
        <f aca="false">IF(AND(ISNUMBER($V21),ISNUMBER($M21)),$V21/$M21,"n/a")</f>
        <v>34.4</v>
      </c>
      <c r="BA21" s="15" t="str">
        <f aca="false">IF(NOT(ISNUMBER($J21)),"n/a",IF($J21&lt;70000,"1. &lt;Rs70k",IF($J21&lt;100000,"2. Rs70k-1L",IF($J21&lt;150000,"3. Rs1-1.5L",IF($J21&lt;200000,"4. Rs1.5-2L",IF($J21&lt;300000,"5. Rs2-3L","6. &gt;Rs3L"))))))</f>
        <v>4. Rs1.5-2L</v>
      </c>
      <c r="BB21" s="15" t="s">
        <v>28</v>
      </c>
      <c r="BC21" s="15" t="s">
        <v>987</v>
      </c>
      <c r="BD21" s="18" t="s">
        <v>988</v>
      </c>
      <c r="BE21" s="18" t="s">
        <v>989</v>
      </c>
    </row>
    <row r="22" customFormat="false" ht="57.75" hidden="false" customHeight="true" outlineLevel="0" collapsed="false">
      <c r="A22" s="8" t="s">
        <v>990</v>
      </c>
      <c r="B22" s="8" t="s">
        <v>991</v>
      </c>
      <c r="C22" s="8" t="s">
        <v>975</v>
      </c>
      <c r="D22" s="8" t="s">
        <v>992</v>
      </c>
      <c r="E22" s="8" t="s">
        <v>540</v>
      </c>
      <c r="F22" s="8" t="s">
        <v>131</v>
      </c>
      <c r="G22" s="8" t="s">
        <v>275</v>
      </c>
      <c r="H22" s="8" t="s">
        <v>978</v>
      </c>
      <c r="I22" s="9" t="n">
        <v>193000</v>
      </c>
      <c r="J22" s="9" t="n">
        <v>193826</v>
      </c>
      <c r="K22" s="8" t="s">
        <v>134</v>
      </c>
      <c r="L22" s="8" t="s">
        <v>135</v>
      </c>
      <c r="M22" s="10" t="n">
        <v>5</v>
      </c>
      <c r="N22" s="8" t="s">
        <v>979</v>
      </c>
      <c r="O22" s="8" t="s">
        <v>242</v>
      </c>
      <c r="P22" s="11" t="s">
        <v>993</v>
      </c>
      <c r="Q22" s="8" t="s">
        <v>946</v>
      </c>
      <c r="R22" s="12" t="n">
        <v>11.5</v>
      </c>
      <c r="S22" s="13" t="n">
        <v>520</v>
      </c>
      <c r="T22" s="13" t="n">
        <v>105</v>
      </c>
      <c r="U22" s="12" t="s">
        <v>135</v>
      </c>
      <c r="V22" s="13" t="n">
        <v>172</v>
      </c>
      <c r="W22" s="8" t="s">
        <v>140</v>
      </c>
      <c r="X22" s="13" t="n">
        <v>125</v>
      </c>
      <c r="Y22" s="13" t="s">
        <v>135</v>
      </c>
      <c r="Z22" s="11" t="s">
        <v>665</v>
      </c>
      <c r="AA22" s="11" t="s">
        <v>264</v>
      </c>
      <c r="AB22" s="13" t="n">
        <v>168</v>
      </c>
      <c r="AC22" s="22" t="s">
        <v>135</v>
      </c>
      <c r="AD22" s="22" t="s">
        <v>135</v>
      </c>
      <c r="AE22" s="22" t="s">
        <v>135</v>
      </c>
      <c r="AF22" s="22" t="s">
        <v>135</v>
      </c>
      <c r="AG22" s="22" t="s">
        <v>135</v>
      </c>
      <c r="AH22" s="22" t="s">
        <v>135</v>
      </c>
      <c r="AI22" s="8" t="s">
        <v>994</v>
      </c>
      <c r="AJ22" s="8" t="s">
        <v>853</v>
      </c>
      <c r="AK22" s="11" t="s">
        <v>216</v>
      </c>
      <c r="AL22" s="8" t="s">
        <v>806</v>
      </c>
      <c r="AM22" s="11" t="s">
        <v>188</v>
      </c>
      <c r="AN22" s="11" t="s">
        <v>995</v>
      </c>
      <c r="AO22" s="14" t="n">
        <v>4</v>
      </c>
      <c r="AP22" s="8" t="s">
        <v>135</v>
      </c>
      <c r="AQ22" s="8" t="s">
        <v>148</v>
      </c>
      <c r="AR22" s="11" t="s">
        <v>996</v>
      </c>
      <c r="AS22" s="11" t="s">
        <v>205</v>
      </c>
      <c r="AT22" s="11" t="s">
        <v>269</v>
      </c>
      <c r="AU22" s="11" t="s">
        <v>997</v>
      </c>
      <c r="AV22" s="11" t="s">
        <v>984</v>
      </c>
      <c r="AW22" s="11" t="s">
        <v>998</v>
      </c>
      <c r="AX22" s="11" t="s">
        <v>999</v>
      </c>
      <c r="AY22" s="13" t="n">
        <f aca="false">IF(AND(ISNUMBER($J22),ISNUMBER($M22)),$J22/$M22,"n/a")</f>
        <v>38765.2</v>
      </c>
      <c r="AZ22" s="12" t="n">
        <f aca="false">IF(AND(ISNUMBER($V22),ISNUMBER($M22)),$V22/$M22,"n/a")</f>
        <v>34.4</v>
      </c>
      <c r="BA22" s="8" t="str">
        <f aca="false">IF(NOT(ISNUMBER($J22)),"n/a",IF($J22&lt;70000,"1. &lt;Rs70k",IF($J22&lt;100000,"2. Rs70k-1L",IF($J22&lt;150000,"3. Rs1-1.5L",IF($J22&lt;200000,"4. Rs1.5-2L",IF($J22&lt;300000,"5. Rs2-3L","6. &gt;Rs3L"))))))</f>
        <v>4. Rs1.5-2L</v>
      </c>
      <c r="BB22" s="8" t="s">
        <v>28</v>
      </c>
      <c r="BC22" s="8" t="s">
        <v>1000</v>
      </c>
      <c r="BD22" s="11" t="s">
        <v>1001</v>
      </c>
      <c r="BE22" s="11" t="s">
        <v>1002</v>
      </c>
    </row>
    <row r="23" customFormat="false" ht="57.75" hidden="false" customHeight="true" outlineLevel="0" collapsed="false">
      <c r="A23" s="15" t="s">
        <v>1003</v>
      </c>
      <c r="B23" s="15" t="s">
        <v>1004</v>
      </c>
      <c r="C23" s="15" t="s">
        <v>1005</v>
      </c>
      <c r="D23" s="15" t="s">
        <v>1006</v>
      </c>
      <c r="E23" s="15" t="s">
        <v>1007</v>
      </c>
      <c r="F23" s="15" t="s">
        <v>131</v>
      </c>
      <c r="G23" s="15" t="s">
        <v>1008</v>
      </c>
      <c r="H23" s="15" t="s">
        <v>1009</v>
      </c>
      <c r="I23" s="16" t="n">
        <v>239000</v>
      </c>
      <c r="J23" s="16" t="n">
        <v>239000</v>
      </c>
      <c r="K23" s="15" t="s">
        <v>134</v>
      </c>
      <c r="L23" s="15" t="s">
        <v>135</v>
      </c>
      <c r="M23" s="17" t="n">
        <v>5.4</v>
      </c>
      <c r="N23" s="15" t="s">
        <v>136</v>
      </c>
      <c r="O23" s="15" t="s">
        <v>242</v>
      </c>
      <c r="P23" s="18" t="s">
        <v>1010</v>
      </c>
      <c r="Q23" s="15" t="s">
        <v>946</v>
      </c>
      <c r="R23" s="19" t="n">
        <v>22</v>
      </c>
      <c r="S23" s="20" t="n">
        <v>70</v>
      </c>
      <c r="T23" s="20" t="n">
        <v>135</v>
      </c>
      <c r="U23" s="19" t="n">
        <v>3.5</v>
      </c>
      <c r="V23" s="20" t="n">
        <v>200</v>
      </c>
      <c r="W23" s="15" t="s">
        <v>1011</v>
      </c>
      <c r="X23" s="20" t="n">
        <v>150</v>
      </c>
      <c r="Y23" s="20" t="s">
        <v>135</v>
      </c>
      <c r="Z23" s="18" t="s">
        <v>1012</v>
      </c>
      <c r="AA23" s="18" t="s">
        <v>1013</v>
      </c>
      <c r="AB23" s="23" t="s">
        <v>135</v>
      </c>
      <c r="AC23" s="23" t="s">
        <v>135</v>
      </c>
      <c r="AD23" s="23" t="s">
        <v>135</v>
      </c>
      <c r="AE23" s="23" t="s">
        <v>135</v>
      </c>
      <c r="AF23" s="23" t="s">
        <v>135</v>
      </c>
      <c r="AG23" s="23" t="s">
        <v>135</v>
      </c>
      <c r="AH23" s="23" t="s">
        <v>135</v>
      </c>
      <c r="AI23" s="15" t="s">
        <v>861</v>
      </c>
      <c r="AJ23" s="15" t="s">
        <v>853</v>
      </c>
      <c r="AK23" s="18" t="s">
        <v>1014</v>
      </c>
      <c r="AL23" s="15" t="s">
        <v>806</v>
      </c>
      <c r="AM23" s="18" t="s">
        <v>387</v>
      </c>
      <c r="AN23" s="18" t="s">
        <v>331</v>
      </c>
      <c r="AO23" s="21" t="n">
        <v>4</v>
      </c>
      <c r="AP23" s="15" t="s">
        <v>135</v>
      </c>
      <c r="AQ23" s="15" t="s">
        <v>148</v>
      </c>
      <c r="AR23" s="18" t="s">
        <v>1015</v>
      </c>
      <c r="AS23" s="18" t="s">
        <v>205</v>
      </c>
      <c r="AT23" s="18" t="s">
        <v>269</v>
      </c>
      <c r="AU23" s="18" t="s">
        <v>613</v>
      </c>
      <c r="AV23" s="18" t="s">
        <v>1016</v>
      </c>
      <c r="AW23" s="18" t="s">
        <v>1017</v>
      </c>
      <c r="AX23" s="18" t="s">
        <v>1018</v>
      </c>
      <c r="AY23" s="20" t="n">
        <f aca="false">IF(AND(ISNUMBER($J23),ISNUMBER($M23)),$J23/$M23,"n/a")</f>
        <v>44259.2592592593</v>
      </c>
      <c r="AZ23" s="19" t="n">
        <f aca="false">IF(AND(ISNUMBER($V23),ISNUMBER($M23)),$V23/$M23,"n/a")</f>
        <v>37.037037037037</v>
      </c>
      <c r="BA23" s="15" t="str">
        <f aca="false">IF(NOT(ISNUMBER($J23)),"n/a",IF($J23&lt;70000,"1. &lt;Rs70k",IF($J23&lt;100000,"2. Rs70k-1L",IF($J23&lt;150000,"3. Rs1-1.5L",IF($J23&lt;200000,"4. Rs1.5-2L",IF($J23&lt;300000,"5. Rs2-3L","6. &gt;Rs3L"))))))</f>
        <v>5. Rs2-3L</v>
      </c>
      <c r="BB23" s="15" t="s">
        <v>28</v>
      </c>
      <c r="BC23" s="15" t="s">
        <v>914</v>
      </c>
      <c r="BD23" s="18" t="s">
        <v>431</v>
      </c>
      <c r="BE23" s="18" t="s">
        <v>1019</v>
      </c>
    </row>
    <row r="24" customFormat="false" ht="57.75" hidden="false" customHeight="true" outlineLevel="0" collapsed="false">
      <c r="A24" s="8" t="s">
        <v>1020</v>
      </c>
      <c r="B24" s="8" t="s">
        <v>1005</v>
      </c>
      <c r="C24" s="8" t="s">
        <v>1005</v>
      </c>
      <c r="D24" s="8" t="s">
        <v>1006</v>
      </c>
      <c r="E24" s="8" t="s">
        <v>1021</v>
      </c>
      <c r="F24" s="8" t="s">
        <v>131</v>
      </c>
      <c r="G24" s="8" t="s">
        <v>489</v>
      </c>
      <c r="H24" s="8" t="s">
        <v>1009</v>
      </c>
      <c r="I24" s="9" t="s">
        <v>135</v>
      </c>
      <c r="J24" s="9" t="n">
        <v>255000</v>
      </c>
      <c r="K24" s="8" t="s">
        <v>134</v>
      </c>
      <c r="L24" s="8" t="s">
        <v>135</v>
      </c>
      <c r="M24" s="10" t="n">
        <v>5.4</v>
      </c>
      <c r="N24" s="8" t="s">
        <v>136</v>
      </c>
      <c r="O24" s="8" t="s">
        <v>242</v>
      </c>
      <c r="P24" s="11" t="s">
        <v>1022</v>
      </c>
      <c r="Q24" s="8" t="s">
        <v>946</v>
      </c>
      <c r="R24" s="12" t="n">
        <v>22</v>
      </c>
      <c r="S24" s="13" t="n">
        <v>70</v>
      </c>
      <c r="T24" s="13" t="n">
        <v>135</v>
      </c>
      <c r="U24" s="12" t="n">
        <v>3.5</v>
      </c>
      <c r="V24" s="13" t="n">
        <v>200</v>
      </c>
      <c r="W24" s="8" t="s">
        <v>140</v>
      </c>
      <c r="X24" s="13" t="n">
        <v>150</v>
      </c>
      <c r="Y24" s="13" t="s">
        <v>135</v>
      </c>
      <c r="Z24" s="11" t="s">
        <v>1023</v>
      </c>
      <c r="AA24" s="11" t="s">
        <v>1024</v>
      </c>
      <c r="AB24" s="22" t="s">
        <v>135</v>
      </c>
      <c r="AC24" s="22" t="s">
        <v>135</v>
      </c>
      <c r="AD24" s="22" t="s">
        <v>135</v>
      </c>
      <c r="AE24" s="22" t="s">
        <v>135</v>
      </c>
      <c r="AF24" s="22" t="s">
        <v>135</v>
      </c>
      <c r="AG24" s="22" t="s">
        <v>135</v>
      </c>
      <c r="AH24" s="22" t="s">
        <v>135</v>
      </c>
      <c r="AI24" s="8" t="s">
        <v>861</v>
      </c>
      <c r="AJ24" s="8" t="s">
        <v>853</v>
      </c>
      <c r="AK24" s="11" t="s">
        <v>216</v>
      </c>
      <c r="AL24" s="8" t="s">
        <v>806</v>
      </c>
      <c r="AM24" s="11" t="s">
        <v>512</v>
      </c>
      <c r="AN24" s="11" t="s">
        <v>640</v>
      </c>
      <c r="AO24" s="14" t="n">
        <v>4</v>
      </c>
      <c r="AP24" s="8" t="s">
        <v>135</v>
      </c>
      <c r="AQ24" s="8" t="s">
        <v>148</v>
      </c>
      <c r="AR24" s="11" t="s">
        <v>135</v>
      </c>
      <c r="AS24" s="11" t="s">
        <v>205</v>
      </c>
      <c r="AT24" s="11" t="s">
        <v>269</v>
      </c>
      <c r="AU24" s="11" t="s">
        <v>613</v>
      </c>
      <c r="AV24" s="11" t="s">
        <v>1016</v>
      </c>
      <c r="AW24" s="11" t="s">
        <v>1025</v>
      </c>
      <c r="AX24" s="11" t="s">
        <v>135</v>
      </c>
      <c r="AY24" s="13" t="n">
        <f aca="false">IF(AND(ISNUMBER($J24),ISNUMBER($M24)),$J24/$M24,"n/a")</f>
        <v>47222.2222222222</v>
      </c>
      <c r="AZ24" s="12" t="n">
        <f aca="false">IF(AND(ISNUMBER($V24),ISNUMBER($M24)),$V24/$M24,"n/a")</f>
        <v>37.037037037037</v>
      </c>
      <c r="BA24" s="8" t="str">
        <f aca="false">IF(NOT(ISNUMBER($J24)),"n/a",IF($J24&lt;70000,"1. &lt;Rs70k",IF($J24&lt;100000,"2. Rs70k-1L",IF($J24&lt;150000,"3. Rs1-1.5L",IF($J24&lt;200000,"4. Rs1.5-2L",IF($J24&lt;300000,"5. Rs2-3L","6. &gt;Rs3L"))))))</f>
        <v>5. Rs2-3L</v>
      </c>
      <c r="BB24" s="8" t="s">
        <v>30</v>
      </c>
      <c r="BC24" s="8" t="s">
        <v>272</v>
      </c>
      <c r="BD24" s="11" t="s">
        <v>135</v>
      </c>
      <c r="BE24" s="11" t="s">
        <v>1026</v>
      </c>
    </row>
    <row r="25" customFormat="false" ht="57.75" hidden="false" customHeight="true" outlineLevel="0" collapsed="false">
      <c r="A25" s="15" t="s">
        <v>1027</v>
      </c>
      <c r="B25" s="15" t="s">
        <v>1028</v>
      </c>
      <c r="C25" s="15" t="s">
        <v>1029</v>
      </c>
      <c r="D25" s="15" t="s">
        <v>1030</v>
      </c>
      <c r="E25" s="15" t="s">
        <v>540</v>
      </c>
      <c r="F25" s="15" t="s">
        <v>131</v>
      </c>
      <c r="G25" s="15" t="s">
        <v>1031</v>
      </c>
      <c r="H25" s="15" t="s">
        <v>1032</v>
      </c>
      <c r="I25" s="16" t="n">
        <v>279000</v>
      </c>
      <c r="J25" s="16" t="n">
        <v>279000</v>
      </c>
      <c r="K25" s="15" t="s">
        <v>134</v>
      </c>
      <c r="L25" s="15" t="s">
        <v>1033</v>
      </c>
      <c r="M25" s="17" t="n">
        <v>3.91</v>
      </c>
      <c r="N25" s="15" t="s">
        <v>136</v>
      </c>
      <c r="O25" s="15" t="s">
        <v>242</v>
      </c>
      <c r="P25" s="18" t="s">
        <v>135</v>
      </c>
      <c r="Q25" s="15" t="s">
        <v>139</v>
      </c>
      <c r="R25" s="19" t="n">
        <v>15.4</v>
      </c>
      <c r="S25" s="20" t="n">
        <v>60</v>
      </c>
      <c r="T25" s="20" t="n">
        <v>115</v>
      </c>
      <c r="U25" s="19" t="n">
        <v>3.7</v>
      </c>
      <c r="V25" s="20" t="n">
        <v>154</v>
      </c>
      <c r="W25" s="15" t="s">
        <v>140</v>
      </c>
      <c r="X25" s="20" t="n">
        <v>95</v>
      </c>
      <c r="Y25" s="20" t="s">
        <v>135</v>
      </c>
      <c r="Z25" s="18" t="s">
        <v>1034</v>
      </c>
      <c r="AA25" s="18" t="s">
        <v>148</v>
      </c>
      <c r="AB25" s="20" t="n">
        <v>124</v>
      </c>
      <c r="AC25" s="23" t="s">
        <v>135</v>
      </c>
      <c r="AD25" s="23" t="s">
        <v>135</v>
      </c>
      <c r="AE25" s="23" t="s">
        <v>135</v>
      </c>
      <c r="AF25" s="23" t="s">
        <v>135</v>
      </c>
      <c r="AG25" s="23" t="s">
        <v>135</v>
      </c>
      <c r="AH25" s="23" t="s">
        <v>135</v>
      </c>
      <c r="AI25" s="15" t="s">
        <v>861</v>
      </c>
      <c r="AJ25" s="15" t="s">
        <v>1035</v>
      </c>
      <c r="AK25" s="18" t="s">
        <v>216</v>
      </c>
      <c r="AL25" s="15" t="s">
        <v>806</v>
      </c>
      <c r="AM25" s="18" t="s">
        <v>1036</v>
      </c>
      <c r="AN25" s="18" t="s">
        <v>1037</v>
      </c>
      <c r="AO25" s="15" t="s">
        <v>135</v>
      </c>
      <c r="AP25" s="15" t="s">
        <v>135</v>
      </c>
      <c r="AQ25" s="15" t="s">
        <v>148</v>
      </c>
      <c r="AR25" s="18" t="s">
        <v>1038</v>
      </c>
      <c r="AS25" s="18" t="s">
        <v>135</v>
      </c>
      <c r="AT25" s="18" t="s">
        <v>269</v>
      </c>
      <c r="AU25" s="18" t="s">
        <v>269</v>
      </c>
      <c r="AV25" s="18" t="s">
        <v>1039</v>
      </c>
      <c r="AW25" s="18" t="s">
        <v>1040</v>
      </c>
      <c r="AX25" s="18" t="s">
        <v>1041</v>
      </c>
      <c r="AY25" s="20" t="n">
        <f aca="false">IF(AND(ISNUMBER($J25),ISNUMBER($M25)),$J25/$M25,"n/a")</f>
        <v>71355.4987212276</v>
      </c>
      <c r="AZ25" s="19" t="n">
        <f aca="false">IF(AND(ISNUMBER($V25),ISNUMBER($M25)),$V25/$M25,"n/a")</f>
        <v>39.386189258312</v>
      </c>
      <c r="BA25" s="15" t="str">
        <f aca="false">IF(NOT(ISNUMBER($J25)),"n/a",IF($J25&lt;70000,"1. &lt;Rs70k",IF($J25&lt;100000,"2. Rs70k-1L",IF($J25&lt;150000,"3. Rs1-1.5L",IF($J25&lt;200000,"4. Rs1.5-2L",IF($J25&lt;300000,"5. Rs2-3L","6. &gt;Rs3L"))))))</f>
        <v>5. Rs2-3L</v>
      </c>
      <c r="BB25" s="15" t="s">
        <v>28</v>
      </c>
      <c r="BC25" s="15" t="s">
        <v>439</v>
      </c>
      <c r="BD25" s="18" t="s">
        <v>1042</v>
      </c>
      <c r="BE25" s="18" t="s">
        <v>1043</v>
      </c>
    </row>
    <row r="26" customFormat="false" ht="57.75" hidden="false" customHeight="true" outlineLevel="0" collapsed="false">
      <c r="A26" s="8" t="s">
        <v>1044</v>
      </c>
      <c r="B26" s="8" t="s">
        <v>1045</v>
      </c>
      <c r="C26" s="8" t="s">
        <v>1046</v>
      </c>
      <c r="D26" s="8" t="s">
        <v>1047</v>
      </c>
      <c r="E26" s="8" t="s">
        <v>540</v>
      </c>
      <c r="F26" s="8" t="s">
        <v>131</v>
      </c>
      <c r="G26" s="8" t="s">
        <v>662</v>
      </c>
      <c r="H26" s="8" t="s">
        <v>1048</v>
      </c>
      <c r="I26" s="9" t="n">
        <v>167500</v>
      </c>
      <c r="J26" s="9" t="n">
        <v>175000</v>
      </c>
      <c r="K26" s="8" t="s">
        <v>134</v>
      </c>
      <c r="L26" s="8" t="s">
        <v>135</v>
      </c>
      <c r="M26" s="10" t="n">
        <v>4</v>
      </c>
      <c r="N26" s="8" t="s">
        <v>136</v>
      </c>
      <c r="O26" s="8" t="s">
        <v>242</v>
      </c>
      <c r="P26" s="11" t="s">
        <v>135</v>
      </c>
      <c r="Q26" s="8" t="s">
        <v>1049</v>
      </c>
      <c r="R26" s="12" t="n">
        <v>9</v>
      </c>
      <c r="S26" s="13" t="n">
        <v>38</v>
      </c>
      <c r="T26" s="13" t="n">
        <v>105</v>
      </c>
      <c r="U26" s="12" t="n">
        <v>3.5</v>
      </c>
      <c r="V26" s="13" t="n">
        <v>180</v>
      </c>
      <c r="W26" s="8" t="s">
        <v>140</v>
      </c>
      <c r="X26" s="13" t="n">
        <v>120</v>
      </c>
      <c r="Y26" s="13" t="s">
        <v>135</v>
      </c>
      <c r="Z26" s="11" t="s">
        <v>1050</v>
      </c>
      <c r="AA26" s="11" t="s">
        <v>148</v>
      </c>
      <c r="AB26" s="13" t="n">
        <v>140</v>
      </c>
      <c r="AC26" s="22" t="s">
        <v>135</v>
      </c>
      <c r="AD26" s="22" t="s">
        <v>135</v>
      </c>
      <c r="AE26" s="22" t="s">
        <v>135</v>
      </c>
      <c r="AF26" s="13" t="n">
        <v>1340</v>
      </c>
      <c r="AG26" s="22" t="s">
        <v>135</v>
      </c>
      <c r="AH26" s="22" t="s">
        <v>135</v>
      </c>
      <c r="AI26" s="8" t="s">
        <v>861</v>
      </c>
      <c r="AJ26" s="8" t="s">
        <v>853</v>
      </c>
      <c r="AK26" s="11" t="s">
        <v>216</v>
      </c>
      <c r="AL26" s="8" t="s">
        <v>145</v>
      </c>
      <c r="AM26" s="11" t="s">
        <v>512</v>
      </c>
      <c r="AN26" s="11" t="s">
        <v>1051</v>
      </c>
      <c r="AO26" s="14" t="n">
        <v>3</v>
      </c>
      <c r="AP26" s="8" t="s">
        <v>135</v>
      </c>
      <c r="AQ26" s="8" t="s">
        <v>148</v>
      </c>
      <c r="AR26" s="11" t="s">
        <v>1052</v>
      </c>
      <c r="AS26" s="11" t="s">
        <v>205</v>
      </c>
      <c r="AT26" s="11" t="s">
        <v>269</v>
      </c>
      <c r="AU26" s="11" t="s">
        <v>269</v>
      </c>
      <c r="AV26" s="11" t="s">
        <v>1053</v>
      </c>
      <c r="AW26" s="11" t="s">
        <v>1054</v>
      </c>
      <c r="AX26" s="11" t="s">
        <v>1055</v>
      </c>
      <c r="AY26" s="13" t="n">
        <f aca="false">IF(AND(ISNUMBER($J26),ISNUMBER($M26)),$J26/$M26,"n/a")</f>
        <v>43750</v>
      </c>
      <c r="AZ26" s="12" t="n">
        <f aca="false">IF(AND(ISNUMBER($V26),ISNUMBER($M26)),$V26/$M26,"n/a")</f>
        <v>45</v>
      </c>
      <c r="BA26" s="8" t="str">
        <f aca="false">IF(NOT(ISNUMBER($J26)),"n/a",IF($J26&lt;70000,"1. &lt;Rs70k",IF($J26&lt;100000,"2. Rs70k-1L",IF($J26&lt;150000,"3. Rs1-1.5L",IF($J26&lt;200000,"4. Rs1.5-2L",IF($J26&lt;300000,"5. Rs2-3L","6. &gt;Rs3L"))))))</f>
        <v>4. Rs1.5-2L</v>
      </c>
      <c r="BB26" s="8" t="s">
        <v>30</v>
      </c>
      <c r="BC26" s="8" t="s">
        <v>1056</v>
      </c>
      <c r="BD26" s="11" t="s">
        <v>135</v>
      </c>
      <c r="BE26" s="11" t="s">
        <v>1057</v>
      </c>
    </row>
    <row r="27" customFormat="false" ht="57.75" hidden="false" customHeight="true" outlineLevel="0" collapsed="false">
      <c r="A27" s="15" t="s">
        <v>1058</v>
      </c>
      <c r="B27" s="15" t="s">
        <v>1059</v>
      </c>
      <c r="C27" s="15" t="s">
        <v>1046</v>
      </c>
      <c r="D27" s="15" t="s">
        <v>1060</v>
      </c>
      <c r="E27" s="15" t="s">
        <v>540</v>
      </c>
      <c r="F27" s="15" t="s">
        <v>131</v>
      </c>
      <c r="G27" s="15" t="s">
        <v>275</v>
      </c>
      <c r="H27" s="15" t="s">
        <v>1048</v>
      </c>
      <c r="I27" s="16" t="s">
        <v>135</v>
      </c>
      <c r="J27" s="16" t="n">
        <v>195000</v>
      </c>
      <c r="K27" s="15" t="s">
        <v>134</v>
      </c>
      <c r="L27" s="15" t="s">
        <v>135</v>
      </c>
      <c r="M27" s="17" t="n">
        <v>4</v>
      </c>
      <c r="N27" s="15" t="s">
        <v>136</v>
      </c>
      <c r="O27" s="15" t="s">
        <v>242</v>
      </c>
      <c r="P27" s="18" t="s">
        <v>135</v>
      </c>
      <c r="Q27" s="15" t="s">
        <v>1061</v>
      </c>
      <c r="R27" s="19" t="n">
        <v>9</v>
      </c>
      <c r="S27" s="20" t="n">
        <v>38</v>
      </c>
      <c r="T27" s="20" t="n">
        <v>105</v>
      </c>
      <c r="U27" s="19" t="n">
        <v>3.5</v>
      </c>
      <c r="V27" s="20" t="n">
        <v>180</v>
      </c>
      <c r="W27" s="15" t="s">
        <v>140</v>
      </c>
      <c r="X27" s="20" t="n">
        <v>120</v>
      </c>
      <c r="Y27" s="20" t="s">
        <v>135</v>
      </c>
      <c r="Z27" s="18" t="s">
        <v>1062</v>
      </c>
      <c r="AA27" s="18" t="s">
        <v>148</v>
      </c>
      <c r="AB27" s="20" t="n">
        <v>140</v>
      </c>
      <c r="AC27" s="23" t="s">
        <v>135</v>
      </c>
      <c r="AD27" s="23" t="s">
        <v>135</v>
      </c>
      <c r="AE27" s="23" t="s">
        <v>135</v>
      </c>
      <c r="AF27" s="20" t="n">
        <v>1340</v>
      </c>
      <c r="AG27" s="23" t="s">
        <v>135</v>
      </c>
      <c r="AH27" s="23" t="s">
        <v>135</v>
      </c>
      <c r="AI27" s="15" t="s">
        <v>861</v>
      </c>
      <c r="AJ27" s="15" t="s">
        <v>853</v>
      </c>
      <c r="AK27" s="18" t="s">
        <v>216</v>
      </c>
      <c r="AL27" s="15" t="s">
        <v>145</v>
      </c>
      <c r="AM27" s="18" t="s">
        <v>512</v>
      </c>
      <c r="AN27" s="18" t="s">
        <v>1063</v>
      </c>
      <c r="AO27" s="21" t="n">
        <v>3</v>
      </c>
      <c r="AP27" s="15" t="s">
        <v>135</v>
      </c>
      <c r="AQ27" s="15" t="s">
        <v>148</v>
      </c>
      <c r="AR27" s="18" t="s">
        <v>135</v>
      </c>
      <c r="AS27" s="18" t="s">
        <v>205</v>
      </c>
      <c r="AT27" s="18" t="s">
        <v>269</v>
      </c>
      <c r="AU27" s="18" t="s">
        <v>269</v>
      </c>
      <c r="AV27" s="18" t="s">
        <v>1053</v>
      </c>
      <c r="AW27" s="18" t="s">
        <v>1064</v>
      </c>
      <c r="AX27" s="18" t="s">
        <v>135</v>
      </c>
      <c r="AY27" s="20" t="n">
        <f aca="false">IF(AND(ISNUMBER($J27),ISNUMBER($M27)),$J27/$M27,"n/a")</f>
        <v>48750</v>
      </c>
      <c r="AZ27" s="19" t="n">
        <f aca="false">IF(AND(ISNUMBER($V27),ISNUMBER($M27)),$V27/$M27,"n/a")</f>
        <v>45</v>
      </c>
      <c r="BA27" s="15" t="str">
        <f aca="false">IF(NOT(ISNUMBER($J27)),"n/a",IF($J27&lt;70000,"1. &lt;Rs70k",IF($J27&lt;100000,"2. Rs70k-1L",IF($J27&lt;150000,"3. Rs1-1.5L",IF($J27&lt;200000,"4. Rs1.5-2L",IF($J27&lt;300000,"5. Rs2-3L","6. &gt;Rs3L"))))))</f>
        <v>4. Rs1.5-2L</v>
      </c>
      <c r="BB27" s="15" t="s">
        <v>32</v>
      </c>
      <c r="BC27" s="15" t="s">
        <v>419</v>
      </c>
      <c r="BD27" s="18" t="s">
        <v>135</v>
      </c>
      <c r="BE27" s="18" t="s">
        <v>135</v>
      </c>
    </row>
    <row r="28" customFormat="false" ht="57.75" hidden="false" customHeight="true" outlineLevel="0" collapsed="false">
      <c r="A28" s="8" t="s">
        <v>1065</v>
      </c>
      <c r="B28" s="8" t="s">
        <v>1066</v>
      </c>
      <c r="C28" s="8" t="s">
        <v>1067</v>
      </c>
      <c r="D28" s="8" t="s">
        <v>1068</v>
      </c>
      <c r="E28" s="8" t="s">
        <v>540</v>
      </c>
      <c r="F28" s="8" t="s">
        <v>712</v>
      </c>
      <c r="G28" s="8" t="s">
        <v>275</v>
      </c>
      <c r="H28" s="8" t="s">
        <v>1069</v>
      </c>
      <c r="I28" s="9" t="n">
        <v>359000</v>
      </c>
      <c r="J28" s="9" t="n">
        <v>375000</v>
      </c>
      <c r="K28" s="8" t="s">
        <v>134</v>
      </c>
      <c r="L28" s="8" t="s">
        <v>135</v>
      </c>
      <c r="M28" s="10" t="n">
        <v>8.9</v>
      </c>
      <c r="N28" s="8" t="s">
        <v>136</v>
      </c>
      <c r="O28" s="8" t="s">
        <v>242</v>
      </c>
      <c r="P28" s="11" t="s">
        <v>135</v>
      </c>
      <c r="Q28" s="8" t="s">
        <v>946</v>
      </c>
      <c r="R28" s="12" t="n">
        <v>21</v>
      </c>
      <c r="S28" s="13" t="n">
        <v>93</v>
      </c>
      <c r="T28" s="13" t="n">
        <v>135</v>
      </c>
      <c r="U28" s="12" t="s">
        <v>135</v>
      </c>
      <c r="V28" s="13" t="n">
        <v>221</v>
      </c>
      <c r="W28" s="8" t="s">
        <v>140</v>
      </c>
      <c r="X28" s="13" t="n">
        <v>160</v>
      </c>
      <c r="Y28" s="13" t="s">
        <v>135</v>
      </c>
      <c r="Z28" s="11" t="s">
        <v>1070</v>
      </c>
      <c r="AA28" s="11" t="s">
        <v>148</v>
      </c>
      <c r="AB28" s="13" t="n">
        <v>180</v>
      </c>
      <c r="AC28" s="22" t="s">
        <v>135</v>
      </c>
      <c r="AD28" s="22" t="s">
        <v>135</v>
      </c>
      <c r="AE28" s="22" t="s">
        <v>135</v>
      </c>
      <c r="AF28" s="22" t="s">
        <v>135</v>
      </c>
      <c r="AG28" s="22" t="s">
        <v>135</v>
      </c>
      <c r="AH28" s="22" t="s">
        <v>135</v>
      </c>
      <c r="AI28" s="8" t="s">
        <v>861</v>
      </c>
      <c r="AJ28" s="8" t="s">
        <v>853</v>
      </c>
      <c r="AK28" s="11" t="s">
        <v>216</v>
      </c>
      <c r="AL28" s="8" t="s">
        <v>806</v>
      </c>
      <c r="AM28" s="11" t="s">
        <v>512</v>
      </c>
      <c r="AN28" s="11" t="s">
        <v>640</v>
      </c>
      <c r="AO28" s="14" t="n">
        <v>3</v>
      </c>
      <c r="AP28" s="8" t="s">
        <v>135</v>
      </c>
      <c r="AQ28" s="8" t="s">
        <v>148</v>
      </c>
      <c r="AR28" s="11" t="s">
        <v>1071</v>
      </c>
      <c r="AS28" s="11" t="s">
        <v>135</v>
      </c>
      <c r="AT28" s="11" t="s">
        <v>269</v>
      </c>
      <c r="AU28" s="11" t="s">
        <v>269</v>
      </c>
      <c r="AV28" s="11" t="s">
        <v>1072</v>
      </c>
      <c r="AW28" s="11" t="s">
        <v>791</v>
      </c>
      <c r="AX28" s="11" t="s">
        <v>1073</v>
      </c>
      <c r="AY28" s="13" t="n">
        <f aca="false">IF(AND(ISNUMBER($J28),ISNUMBER($M28)),$J28/$M28,"n/a")</f>
        <v>42134.8314606742</v>
      </c>
      <c r="AZ28" s="12" t="n">
        <f aca="false">IF(AND(ISNUMBER($V28),ISNUMBER($M28)),$V28/$M28,"n/a")</f>
        <v>24.8314606741573</v>
      </c>
      <c r="BA28" s="8" t="str">
        <f aca="false">IF(NOT(ISNUMBER($J28)),"n/a",IF($J28&lt;70000,"1. &lt;Rs70k",IF($J28&lt;100000,"2. Rs70k-1L",IF($J28&lt;150000,"3. Rs1-1.5L",IF($J28&lt;200000,"4. Rs1.5-2L",IF($J28&lt;300000,"5. Rs2-3L","6. &gt;Rs3L"))))))</f>
        <v>6. &gt;Rs3L</v>
      </c>
      <c r="BB28" s="8" t="s">
        <v>32</v>
      </c>
      <c r="BC28" s="8" t="s">
        <v>721</v>
      </c>
      <c r="BD28" s="11" t="s">
        <v>135</v>
      </c>
      <c r="BE28" s="11" t="s">
        <v>1074</v>
      </c>
    </row>
    <row r="29" customFormat="false" ht="57.75" hidden="false" customHeight="true" outlineLevel="0" collapsed="false">
      <c r="A29" s="15" t="s">
        <v>1075</v>
      </c>
      <c r="B29" s="15" t="s">
        <v>1076</v>
      </c>
      <c r="C29" s="15" t="s">
        <v>1077</v>
      </c>
      <c r="D29" s="15" t="s">
        <v>1078</v>
      </c>
      <c r="E29" s="15" t="s">
        <v>540</v>
      </c>
      <c r="F29" s="15" t="s">
        <v>712</v>
      </c>
      <c r="G29" s="15" t="s">
        <v>1079</v>
      </c>
      <c r="H29" s="15" t="s">
        <v>1080</v>
      </c>
      <c r="I29" s="16" t="s">
        <v>135</v>
      </c>
      <c r="J29" s="16" t="n">
        <v>175000</v>
      </c>
      <c r="K29" s="15" t="s">
        <v>134</v>
      </c>
      <c r="L29" s="15" t="s">
        <v>135</v>
      </c>
      <c r="M29" s="17" t="n">
        <v>4</v>
      </c>
      <c r="N29" s="15" t="s">
        <v>482</v>
      </c>
      <c r="O29" s="15" t="s">
        <v>242</v>
      </c>
      <c r="P29" s="18" t="s">
        <v>135</v>
      </c>
      <c r="Q29" s="15" t="s">
        <v>946</v>
      </c>
      <c r="R29" s="19" t="n">
        <v>8</v>
      </c>
      <c r="S29" s="20" t="s">
        <v>135</v>
      </c>
      <c r="T29" s="20" t="n">
        <v>120</v>
      </c>
      <c r="U29" s="19" t="s">
        <v>135</v>
      </c>
      <c r="V29" s="20" t="n">
        <v>150</v>
      </c>
      <c r="W29" s="15" t="s">
        <v>664</v>
      </c>
      <c r="X29" s="20" t="n">
        <v>105</v>
      </c>
      <c r="Y29" s="20" t="s">
        <v>135</v>
      </c>
      <c r="Z29" s="18" t="s">
        <v>1081</v>
      </c>
      <c r="AA29" s="18" t="s">
        <v>148</v>
      </c>
      <c r="AB29" s="23" t="s">
        <v>135</v>
      </c>
      <c r="AC29" s="23" t="s">
        <v>135</v>
      </c>
      <c r="AD29" s="23" t="s">
        <v>135</v>
      </c>
      <c r="AE29" s="23" t="s">
        <v>135</v>
      </c>
      <c r="AF29" s="23" t="s">
        <v>135</v>
      </c>
      <c r="AG29" s="23" t="s">
        <v>135</v>
      </c>
      <c r="AH29" s="23" t="s">
        <v>135</v>
      </c>
      <c r="AI29" s="15" t="s">
        <v>861</v>
      </c>
      <c r="AJ29" s="15" t="s">
        <v>853</v>
      </c>
      <c r="AK29" s="18" t="s">
        <v>216</v>
      </c>
      <c r="AL29" s="15" t="s">
        <v>145</v>
      </c>
      <c r="AM29" s="18" t="s">
        <v>315</v>
      </c>
      <c r="AN29" s="18" t="s">
        <v>484</v>
      </c>
      <c r="AO29" s="21" t="n">
        <v>3</v>
      </c>
      <c r="AP29" s="15" t="s">
        <v>135</v>
      </c>
      <c r="AQ29" s="15" t="s">
        <v>135</v>
      </c>
      <c r="AR29" s="18" t="s">
        <v>1082</v>
      </c>
      <c r="AS29" s="18" t="s">
        <v>135</v>
      </c>
      <c r="AT29" s="18" t="s">
        <v>269</v>
      </c>
      <c r="AU29" s="18" t="s">
        <v>269</v>
      </c>
      <c r="AV29" s="18" t="s">
        <v>135</v>
      </c>
      <c r="AW29" s="18" t="s">
        <v>1083</v>
      </c>
      <c r="AX29" s="18" t="s">
        <v>135</v>
      </c>
      <c r="AY29" s="20" t="n">
        <f aca="false">IF(AND(ISNUMBER($J29),ISNUMBER($M29)),$J29/$M29,"n/a")</f>
        <v>43750</v>
      </c>
      <c r="AZ29" s="19" t="n">
        <f aca="false">IF(AND(ISNUMBER($V29),ISNUMBER($M29)),$V29/$M29,"n/a")</f>
        <v>37.5</v>
      </c>
      <c r="BA29" s="15" t="str">
        <f aca="false">IF(NOT(ISNUMBER($J29)),"n/a",IF($J29&lt;70000,"1. &lt;Rs70k",IF($J29&lt;100000,"2. Rs70k-1L",IF($J29&lt;150000,"3. Rs1-1.5L",IF($J29&lt;200000,"4. Rs1.5-2L",IF($J29&lt;300000,"5. Rs2-3L","6. &gt;Rs3L"))))))</f>
        <v>4. Rs1.5-2L</v>
      </c>
      <c r="BB29" s="15" t="s">
        <v>32</v>
      </c>
      <c r="BC29" s="15" t="s">
        <v>419</v>
      </c>
      <c r="BD29" s="18" t="s">
        <v>135</v>
      </c>
      <c r="BE29" s="18" t="s">
        <v>1084</v>
      </c>
    </row>
    <row r="30" customFormat="false" ht="57.75" hidden="false" customHeight="true" outlineLevel="0" collapsed="false">
      <c r="A30" s="8" t="s">
        <v>1085</v>
      </c>
      <c r="B30" s="8" t="s">
        <v>1086</v>
      </c>
      <c r="C30" s="8" t="s">
        <v>1087</v>
      </c>
      <c r="D30" s="8" t="s">
        <v>1088</v>
      </c>
      <c r="E30" s="8" t="s">
        <v>540</v>
      </c>
      <c r="F30" s="8" t="s">
        <v>131</v>
      </c>
      <c r="G30" s="8" t="s">
        <v>198</v>
      </c>
      <c r="H30" s="8" t="s">
        <v>959</v>
      </c>
      <c r="I30" s="9" t="n">
        <v>124999</v>
      </c>
      <c r="J30" s="9" t="n">
        <v>139999</v>
      </c>
      <c r="K30" s="8" t="s">
        <v>134</v>
      </c>
      <c r="L30" s="8" t="s">
        <v>135</v>
      </c>
      <c r="M30" s="10" t="n">
        <v>3.75</v>
      </c>
      <c r="N30" s="8" t="s">
        <v>482</v>
      </c>
      <c r="O30" s="8" t="s">
        <v>242</v>
      </c>
      <c r="P30" s="11" t="s">
        <v>135</v>
      </c>
      <c r="Q30" s="8" t="s">
        <v>625</v>
      </c>
      <c r="R30" s="12" t="n">
        <v>6.2</v>
      </c>
      <c r="S30" s="13" t="s">
        <v>135</v>
      </c>
      <c r="T30" s="13" t="n">
        <v>95</v>
      </c>
      <c r="U30" s="12" t="s">
        <v>135</v>
      </c>
      <c r="V30" s="13" t="n">
        <v>150</v>
      </c>
      <c r="W30" s="8" t="s">
        <v>664</v>
      </c>
      <c r="X30" s="13" t="n">
        <v>105</v>
      </c>
      <c r="Y30" s="13" t="s">
        <v>135</v>
      </c>
      <c r="Z30" s="11" t="s">
        <v>285</v>
      </c>
      <c r="AA30" s="11" t="s">
        <v>264</v>
      </c>
      <c r="AB30" s="22" t="s">
        <v>135</v>
      </c>
      <c r="AC30" s="22" t="s">
        <v>135</v>
      </c>
      <c r="AD30" s="22" t="s">
        <v>135</v>
      </c>
      <c r="AE30" s="22" t="s">
        <v>135</v>
      </c>
      <c r="AF30" s="22" t="s">
        <v>135</v>
      </c>
      <c r="AG30" s="22" t="s">
        <v>135</v>
      </c>
      <c r="AH30" s="22" t="s">
        <v>135</v>
      </c>
      <c r="AI30" s="8" t="s">
        <v>861</v>
      </c>
      <c r="AJ30" s="8" t="s">
        <v>853</v>
      </c>
      <c r="AK30" s="11" t="s">
        <v>216</v>
      </c>
      <c r="AL30" s="8" t="s">
        <v>145</v>
      </c>
      <c r="AM30" s="11" t="s">
        <v>315</v>
      </c>
      <c r="AN30" s="11" t="s">
        <v>948</v>
      </c>
      <c r="AO30" s="14" t="n">
        <v>3</v>
      </c>
      <c r="AP30" s="8" t="s">
        <v>135</v>
      </c>
      <c r="AQ30" s="8" t="s">
        <v>135</v>
      </c>
      <c r="AR30" s="11" t="s">
        <v>135</v>
      </c>
      <c r="AS30" s="11" t="s">
        <v>205</v>
      </c>
      <c r="AT30" s="11" t="s">
        <v>269</v>
      </c>
      <c r="AU30" s="11" t="s">
        <v>269</v>
      </c>
      <c r="AV30" s="11" t="s">
        <v>1089</v>
      </c>
      <c r="AW30" s="11" t="s">
        <v>1090</v>
      </c>
      <c r="AX30" s="11" t="s">
        <v>135</v>
      </c>
      <c r="AY30" s="13" t="n">
        <f aca="false">IF(AND(ISNUMBER($J30),ISNUMBER($M30)),$J30/$M30,"n/a")</f>
        <v>37333.0666666667</v>
      </c>
      <c r="AZ30" s="12" t="n">
        <f aca="false">IF(AND(ISNUMBER($V30),ISNUMBER($M30)),$V30/$M30,"n/a")</f>
        <v>40</v>
      </c>
      <c r="BA30" s="8" t="str">
        <f aca="false">IF(NOT(ISNUMBER($J30)),"n/a",IF($J30&lt;70000,"1. &lt;Rs70k",IF($J30&lt;100000,"2. Rs70k-1L",IF($J30&lt;150000,"3. Rs1-1.5L",IF($J30&lt;200000,"4. Rs1.5-2L",IF($J30&lt;300000,"5. Rs2-3L","6. &gt;Rs3L"))))))</f>
        <v>3. Rs1-1.5L</v>
      </c>
      <c r="BB30" s="8" t="s">
        <v>32</v>
      </c>
      <c r="BC30" s="8" t="s">
        <v>419</v>
      </c>
      <c r="BD30" s="11" t="s">
        <v>135</v>
      </c>
      <c r="BE30" s="11" t="s">
        <v>135</v>
      </c>
    </row>
    <row r="31" customFormat="false" ht="57.75" hidden="false" customHeight="true" outlineLevel="0" collapsed="false">
      <c r="A31" s="15" t="s">
        <v>1091</v>
      </c>
      <c r="B31" s="15" t="s">
        <v>1092</v>
      </c>
      <c r="C31" s="15" t="s">
        <v>1093</v>
      </c>
      <c r="D31" s="15" t="s">
        <v>1094</v>
      </c>
      <c r="E31" s="15" t="s">
        <v>1095</v>
      </c>
      <c r="F31" s="15" t="s">
        <v>712</v>
      </c>
      <c r="G31" s="15" t="s">
        <v>198</v>
      </c>
      <c r="H31" s="15" t="s">
        <v>1096</v>
      </c>
      <c r="I31" s="16" t="s">
        <v>135</v>
      </c>
      <c r="J31" s="16" t="n">
        <v>220000</v>
      </c>
      <c r="K31" s="15" t="s">
        <v>134</v>
      </c>
      <c r="L31" s="15" t="s">
        <v>135</v>
      </c>
      <c r="M31" s="17" t="n">
        <v>6</v>
      </c>
      <c r="N31" s="15" t="s">
        <v>136</v>
      </c>
      <c r="O31" s="15" t="s">
        <v>242</v>
      </c>
      <c r="P31" s="18" t="s">
        <v>135</v>
      </c>
      <c r="Q31" s="15" t="s">
        <v>625</v>
      </c>
      <c r="R31" s="19" t="n">
        <v>13</v>
      </c>
      <c r="S31" s="20" t="s">
        <v>135</v>
      </c>
      <c r="T31" s="20" t="n">
        <v>123</v>
      </c>
      <c r="U31" s="19" t="s">
        <v>135</v>
      </c>
      <c r="V31" s="20" t="n">
        <v>156</v>
      </c>
      <c r="W31" s="15" t="s">
        <v>664</v>
      </c>
      <c r="X31" s="20" t="n">
        <v>110</v>
      </c>
      <c r="Y31" s="20" t="s">
        <v>135</v>
      </c>
      <c r="Z31" s="18" t="s">
        <v>135</v>
      </c>
      <c r="AA31" s="18" t="s">
        <v>264</v>
      </c>
      <c r="AB31" s="23" t="s">
        <v>135</v>
      </c>
      <c r="AC31" s="23" t="s">
        <v>135</v>
      </c>
      <c r="AD31" s="23" t="s">
        <v>135</v>
      </c>
      <c r="AE31" s="23" t="s">
        <v>135</v>
      </c>
      <c r="AF31" s="23" t="s">
        <v>135</v>
      </c>
      <c r="AG31" s="23" t="s">
        <v>135</v>
      </c>
      <c r="AH31" s="23" t="s">
        <v>135</v>
      </c>
      <c r="AI31" s="15" t="s">
        <v>861</v>
      </c>
      <c r="AJ31" s="15" t="s">
        <v>853</v>
      </c>
      <c r="AK31" s="18" t="s">
        <v>216</v>
      </c>
      <c r="AL31" s="15" t="s">
        <v>145</v>
      </c>
      <c r="AM31" s="18" t="s">
        <v>315</v>
      </c>
      <c r="AN31" s="18" t="s">
        <v>135</v>
      </c>
      <c r="AO31" s="21" t="n">
        <v>3</v>
      </c>
      <c r="AP31" s="15" t="s">
        <v>135</v>
      </c>
      <c r="AQ31" s="15" t="s">
        <v>135</v>
      </c>
      <c r="AR31" s="18" t="s">
        <v>135</v>
      </c>
      <c r="AS31" s="18" t="s">
        <v>135</v>
      </c>
      <c r="AT31" s="18" t="s">
        <v>269</v>
      </c>
      <c r="AU31" s="18" t="s">
        <v>269</v>
      </c>
      <c r="AV31" s="18" t="s">
        <v>135</v>
      </c>
      <c r="AW31" s="18" t="s">
        <v>1097</v>
      </c>
      <c r="AX31" s="18" t="s">
        <v>135</v>
      </c>
      <c r="AY31" s="20" t="n">
        <f aca="false">IF(AND(ISNUMBER($J31),ISNUMBER($M31)),$J31/$M31,"n/a")</f>
        <v>36666.6666666667</v>
      </c>
      <c r="AZ31" s="19" t="n">
        <f aca="false">IF(AND(ISNUMBER($V31),ISNUMBER($M31)),$V31/$M31,"n/a")</f>
        <v>26</v>
      </c>
      <c r="BA31" s="15" t="str">
        <f aca="false">IF(NOT(ISNUMBER($J31)),"n/a",IF($J31&lt;70000,"1. &lt;Rs70k",IF($J31&lt;100000,"2. Rs70k-1L",IF($J31&lt;150000,"3. Rs1-1.5L",IF($J31&lt;200000,"4. Rs1.5-2L",IF($J31&lt;300000,"5. Rs2-3L","6. &gt;Rs3L"))))))</f>
        <v>5. Rs2-3L</v>
      </c>
      <c r="BB31" s="15" t="s">
        <v>32</v>
      </c>
      <c r="BC31" s="15" t="s">
        <v>721</v>
      </c>
      <c r="BD31" s="18" t="s">
        <v>135</v>
      </c>
      <c r="BE31" s="18" t="s">
        <v>1098</v>
      </c>
    </row>
    <row r="32" customFormat="false" ht="57.75" hidden="false" customHeight="true" outlineLevel="0" collapsed="false">
      <c r="A32" s="8" t="s">
        <v>1099</v>
      </c>
      <c r="B32" s="8" t="s">
        <v>1100</v>
      </c>
      <c r="C32" s="8" t="s">
        <v>766</v>
      </c>
      <c r="D32" s="8" t="s">
        <v>1101</v>
      </c>
      <c r="E32" s="8" t="s">
        <v>540</v>
      </c>
      <c r="F32" s="8" t="s">
        <v>1102</v>
      </c>
      <c r="G32" s="8" t="s">
        <v>755</v>
      </c>
      <c r="H32" s="8" t="s">
        <v>768</v>
      </c>
      <c r="I32" s="9" t="s">
        <v>135</v>
      </c>
      <c r="J32" s="9" t="n">
        <v>130000</v>
      </c>
      <c r="K32" s="8" t="s">
        <v>134</v>
      </c>
      <c r="L32" s="8" t="s">
        <v>135</v>
      </c>
      <c r="M32" s="10" t="n">
        <v>4</v>
      </c>
      <c r="N32" s="8" t="s">
        <v>482</v>
      </c>
      <c r="O32" s="8" t="s">
        <v>1103</v>
      </c>
      <c r="P32" s="11" t="s">
        <v>135</v>
      </c>
      <c r="Q32" s="8" t="s">
        <v>1104</v>
      </c>
      <c r="R32" s="12" t="n">
        <v>3</v>
      </c>
      <c r="S32" s="13" t="s">
        <v>135</v>
      </c>
      <c r="T32" s="13" t="n">
        <v>80</v>
      </c>
      <c r="U32" s="12" t="s">
        <v>135</v>
      </c>
      <c r="V32" s="13" t="n">
        <v>180</v>
      </c>
      <c r="W32" s="8" t="s">
        <v>664</v>
      </c>
      <c r="X32" s="13" t="n">
        <v>110</v>
      </c>
      <c r="Y32" s="13" t="s">
        <v>135</v>
      </c>
      <c r="Z32" s="11" t="s">
        <v>135</v>
      </c>
      <c r="AA32" s="11" t="s">
        <v>264</v>
      </c>
      <c r="AB32" s="22" t="s">
        <v>135</v>
      </c>
      <c r="AC32" s="22" t="s">
        <v>135</v>
      </c>
      <c r="AD32" s="22" t="s">
        <v>135</v>
      </c>
      <c r="AE32" s="22" t="s">
        <v>135</v>
      </c>
      <c r="AF32" s="22" t="s">
        <v>135</v>
      </c>
      <c r="AG32" s="22" t="s">
        <v>135</v>
      </c>
      <c r="AH32" s="22" t="s">
        <v>135</v>
      </c>
      <c r="AI32" s="8" t="s">
        <v>861</v>
      </c>
      <c r="AJ32" s="8" t="s">
        <v>853</v>
      </c>
      <c r="AK32" s="11" t="s">
        <v>265</v>
      </c>
      <c r="AL32" s="8" t="s">
        <v>145</v>
      </c>
      <c r="AM32" s="11" t="s">
        <v>315</v>
      </c>
      <c r="AN32" s="11" t="s">
        <v>571</v>
      </c>
      <c r="AO32" s="14" t="n">
        <v>2</v>
      </c>
      <c r="AP32" s="8" t="s">
        <v>135</v>
      </c>
      <c r="AQ32" s="8" t="s">
        <v>135</v>
      </c>
      <c r="AR32" s="11" t="s">
        <v>1105</v>
      </c>
      <c r="AS32" s="11" t="s">
        <v>135</v>
      </c>
      <c r="AT32" s="11" t="s">
        <v>772</v>
      </c>
      <c r="AU32" s="11" t="s">
        <v>772</v>
      </c>
      <c r="AV32" s="11" t="s">
        <v>135</v>
      </c>
      <c r="AW32" s="11" t="s">
        <v>1106</v>
      </c>
      <c r="AX32" s="11" t="s">
        <v>1107</v>
      </c>
      <c r="AY32" s="13" t="n">
        <f aca="false">IF(AND(ISNUMBER($J32),ISNUMBER($M32)),$J32/$M32,"n/a")</f>
        <v>32500</v>
      </c>
      <c r="AZ32" s="12" t="n">
        <f aca="false">IF(AND(ISNUMBER($V32),ISNUMBER($M32)),$V32/$M32,"n/a")</f>
        <v>45</v>
      </c>
      <c r="BA32" s="8" t="str">
        <f aca="false">IF(NOT(ISNUMBER($J32)),"n/a",IF($J32&lt;70000,"1. &lt;Rs70k",IF($J32&lt;100000,"2. Rs70k-1L",IF($J32&lt;150000,"3. Rs1-1.5L",IF($J32&lt;200000,"4. Rs1.5-2L",IF($J32&lt;300000,"5. Rs2-3L","6. &gt;Rs3L"))))))</f>
        <v>3. Rs1-1.5L</v>
      </c>
      <c r="BB32" s="8" t="s">
        <v>32</v>
      </c>
      <c r="BC32" s="8" t="s">
        <v>1108</v>
      </c>
      <c r="BD32" s="11" t="s">
        <v>135</v>
      </c>
      <c r="BE32" s="11" t="s">
        <v>1109</v>
      </c>
    </row>
  </sheetData>
  <autoFilter ref="A3:BE32"/>
  <mergeCells count="2">
    <mergeCell ref="A1:L1"/>
    <mergeCell ref="A2:N2"/>
  </mergeCells>
  <conditionalFormatting sqref="BB4:BB32">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S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6"/>
    <col collapsed="false" customWidth="true" hidden="false" outlineLevel="0" max="4" min="4" style="0" width="30"/>
    <col collapsed="false" customWidth="true" hidden="false" outlineLevel="0" max="5" min="5" style="0" width="12"/>
    <col collapsed="false" customWidth="true" hidden="false" outlineLevel="0" max="6" min="6" style="0" width="22"/>
    <col collapsed="false" customWidth="true" hidden="false" outlineLevel="0" max="7" min="7" style="0" width="26"/>
    <col collapsed="false" customWidth="true" hidden="false" outlineLevel="0" max="8" min="8" style="0" width="30"/>
    <col collapsed="false" customWidth="true" hidden="false" outlineLevel="0" max="9" min="9" style="0" width="24"/>
    <col collapsed="false" customWidth="true" hidden="false" outlineLevel="0" max="10" min="10" style="0" width="18"/>
    <col collapsed="false" customWidth="true" hidden="false" outlineLevel="0" max="11" min="11" style="0" width="20"/>
    <col collapsed="false" customWidth="true" hidden="false" outlineLevel="0" max="12" min="12" style="0" width="16"/>
    <col collapsed="false" customWidth="true" hidden="false" outlineLevel="0" max="13" min="13" style="0" width="26"/>
    <col collapsed="false" customWidth="true" hidden="false" outlineLevel="0" max="14" min="14" style="0" width="46"/>
    <col collapsed="false" customWidth="true" hidden="false" outlineLevel="0" max="15" min="15" style="0" width="52"/>
    <col collapsed="false" customWidth="true" hidden="false" outlineLevel="0" max="16" min="16" style="0" width="30"/>
    <col collapsed="false" customWidth="true" hidden="false" outlineLevel="0" max="17" min="17" style="0" width="12"/>
    <col collapsed="false" customWidth="true" hidden="false" outlineLevel="0" max="18" min="18" style="0" width="52"/>
  </cols>
  <sheetData>
    <row r="1" customFormat="false" ht="21.75" hidden="false" customHeight="true" outlineLevel="0" collapsed="false">
      <c r="A1" s="1" t="s">
        <v>1110</v>
      </c>
      <c r="B1" s="1"/>
      <c r="C1" s="1"/>
      <c r="D1" s="1"/>
      <c r="E1" s="1"/>
      <c r="F1" s="1"/>
      <c r="G1" s="1"/>
      <c r="H1" s="1"/>
      <c r="I1" s="1"/>
      <c r="J1" s="1"/>
      <c r="K1" s="1"/>
      <c r="L1" s="1"/>
    </row>
    <row r="2" customFormat="false" ht="13.5" hidden="false" customHeight="true" outlineLevel="0" collapsed="false">
      <c r="A2" s="2" t="s">
        <v>1111</v>
      </c>
      <c r="B2" s="2"/>
      <c r="C2" s="2"/>
      <c r="D2" s="2"/>
      <c r="E2" s="2"/>
      <c r="F2" s="2"/>
      <c r="G2" s="2"/>
      <c r="H2" s="2"/>
      <c r="I2" s="2"/>
      <c r="J2" s="2"/>
      <c r="K2" s="2"/>
      <c r="L2" s="2"/>
      <c r="M2" s="2"/>
      <c r="N2" s="2"/>
    </row>
    <row r="3" customFormat="false" ht="42" hidden="false" customHeight="true" outlineLevel="0" collapsed="false">
      <c r="A3" s="7" t="s">
        <v>69</v>
      </c>
      <c r="B3" s="7" t="s">
        <v>70</v>
      </c>
      <c r="C3" s="7" t="s">
        <v>71</v>
      </c>
      <c r="D3" s="7" t="s">
        <v>72</v>
      </c>
      <c r="E3" s="7" t="s">
        <v>1112</v>
      </c>
      <c r="F3" s="7" t="s">
        <v>1113</v>
      </c>
      <c r="G3" s="7" t="s">
        <v>1114</v>
      </c>
      <c r="H3" s="7" t="s">
        <v>1115</v>
      </c>
      <c r="I3" s="7" t="s">
        <v>1116</v>
      </c>
      <c r="J3" s="7" t="s">
        <v>1117</v>
      </c>
      <c r="K3" s="7" t="s">
        <v>1118</v>
      </c>
      <c r="L3" s="7" t="s">
        <v>1119</v>
      </c>
      <c r="M3" s="7" t="s">
        <v>116</v>
      </c>
      <c r="N3" s="7" t="s">
        <v>1120</v>
      </c>
      <c r="O3" s="7" t="s">
        <v>1121</v>
      </c>
      <c r="P3" s="7" t="s">
        <v>1122</v>
      </c>
      <c r="Q3" s="7" t="s">
        <v>1123</v>
      </c>
      <c r="R3" s="7" t="s">
        <v>1124</v>
      </c>
    </row>
    <row r="4" customFormat="false" ht="61.5" hidden="false" customHeight="true" outlineLevel="0" collapsed="false">
      <c r="A4" s="8" t="s">
        <v>1125</v>
      </c>
      <c r="B4" s="8" t="s">
        <v>160</v>
      </c>
      <c r="C4" s="8" t="s">
        <v>128</v>
      </c>
      <c r="D4" s="8" t="s">
        <v>1126</v>
      </c>
      <c r="E4" s="8" t="s">
        <v>1127</v>
      </c>
      <c r="F4" s="8" t="s">
        <v>1128</v>
      </c>
      <c r="G4" s="8" t="s">
        <v>1129</v>
      </c>
      <c r="H4" s="24" t="s">
        <v>1130</v>
      </c>
      <c r="I4" s="11" t="s">
        <v>1131</v>
      </c>
      <c r="J4" s="8" t="s">
        <v>135</v>
      </c>
      <c r="K4" s="8" t="s">
        <v>135</v>
      </c>
      <c r="L4" s="8" t="s">
        <v>135</v>
      </c>
      <c r="M4" s="8" t="s">
        <v>1132</v>
      </c>
      <c r="N4" s="11" t="s">
        <v>1133</v>
      </c>
      <c r="O4" s="11" t="s">
        <v>1134</v>
      </c>
      <c r="P4" s="11" t="s">
        <v>1135</v>
      </c>
      <c r="Q4" s="8" t="s">
        <v>134</v>
      </c>
      <c r="R4" s="11" t="s">
        <v>1136</v>
      </c>
    </row>
    <row r="5" customFormat="false" ht="61.5" hidden="false" customHeight="true" outlineLevel="0" collapsed="false">
      <c r="A5" s="15" t="s">
        <v>1137</v>
      </c>
      <c r="B5" s="15" t="s">
        <v>160</v>
      </c>
      <c r="C5" s="15" t="s">
        <v>128</v>
      </c>
      <c r="D5" s="15" t="s">
        <v>1138</v>
      </c>
      <c r="E5" s="15" t="s">
        <v>1139</v>
      </c>
      <c r="F5" s="15" t="s">
        <v>1140</v>
      </c>
      <c r="G5" s="15" t="s">
        <v>1141</v>
      </c>
      <c r="H5" s="25" t="s">
        <v>1142</v>
      </c>
      <c r="I5" s="18" t="s">
        <v>135</v>
      </c>
      <c r="J5" s="15" t="s">
        <v>135</v>
      </c>
      <c r="K5" s="15" t="s">
        <v>135</v>
      </c>
      <c r="L5" s="15" t="s">
        <v>135</v>
      </c>
      <c r="M5" s="15" t="s">
        <v>1143</v>
      </c>
      <c r="N5" s="18" t="s">
        <v>1144</v>
      </c>
      <c r="O5" s="18" t="s">
        <v>1145</v>
      </c>
      <c r="P5" s="18" t="s">
        <v>1146</v>
      </c>
      <c r="Q5" s="15" t="s">
        <v>489</v>
      </c>
      <c r="R5" s="18" t="s">
        <v>1147</v>
      </c>
    </row>
    <row r="6" customFormat="false" ht="61.5" hidden="false" customHeight="true" outlineLevel="0" collapsed="false">
      <c r="A6" s="8" t="s">
        <v>1148</v>
      </c>
      <c r="B6" s="8" t="s">
        <v>779</v>
      </c>
      <c r="C6" s="8" t="s">
        <v>779</v>
      </c>
      <c r="D6" s="8" t="s">
        <v>1149</v>
      </c>
      <c r="E6" s="8" t="s">
        <v>1139</v>
      </c>
      <c r="F6" s="8" t="s">
        <v>1150</v>
      </c>
      <c r="G6" s="8" t="s">
        <v>1151</v>
      </c>
      <c r="H6" s="24" t="s">
        <v>1152</v>
      </c>
      <c r="I6" s="11" t="s">
        <v>1153</v>
      </c>
      <c r="J6" s="8" t="s">
        <v>1154</v>
      </c>
      <c r="K6" s="8" t="s">
        <v>1155</v>
      </c>
      <c r="L6" s="8" t="s">
        <v>1156</v>
      </c>
      <c r="M6" s="8" t="s">
        <v>1157</v>
      </c>
      <c r="N6" s="11" t="s">
        <v>1158</v>
      </c>
      <c r="O6" s="11" t="s">
        <v>1159</v>
      </c>
      <c r="P6" s="11" t="s">
        <v>1160</v>
      </c>
      <c r="Q6" s="8" t="s">
        <v>134</v>
      </c>
      <c r="R6" s="11" t="s">
        <v>1161</v>
      </c>
    </row>
    <row r="7" customFormat="false" ht="61.5" hidden="false" customHeight="true" outlineLevel="0" collapsed="false">
      <c r="A7" s="15" t="s">
        <v>1162</v>
      </c>
      <c r="B7" s="15" t="s">
        <v>779</v>
      </c>
      <c r="C7" s="15" t="s">
        <v>779</v>
      </c>
      <c r="D7" s="15" t="s">
        <v>780</v>
      </c>
      <c r="E7" s="15" t="s">
        <v>1127</v>
      </c>
      <c r="F7" s="15" t="s">
        <v>784</v>
      </c>
      <c r="G7" s="15" t="s">
        <v>1163</v>
      </c>
      <c r="H7" s="25" t="s">
        <v>37</v>
      </c>
      <c r="I7" s="18" t="s">
        <v>1164</v>
      </c>
      <c r="J7" s="15" t="s">
        <v>1165</v>
      </c>
      <c r="K7" s="15" t="s">
        <v>1166</v>
      </c>
      <c r="L7" s="15" t="s">
        <v>1167</v>
      </c>
      <c r="M7" s="15" t="s">
        <v>790</v>
      </c>
      <c r="N7" s="18" t="s">
        <v>1168</v>
      </c>
      <c r="O7" s="18" t="s">
        <v>1169</v>
      </c>
      <c r="P7" s="18" t="s">
        <v>1170</v>
      </c>
      <c r="Q7" s="15" t="s">
        <v>1171</v>
      </c>
      <c r="R7" s="18" t="s">
        <v>1172</v>
      </c>
    </row>
    <row r="8" customFormat="false" ht="61.5" hidden="false" customHeight="true" outlineLevel="0" collapsed="false">
      <c r="A8" s="8" t="s">
        <v>1173</v>
      </c>
      <c r="B8" s="8" t="s">
        <v>779</v>
      </c>
      <c r="C8" s="8" t="s">
        <v>779</v>
      </c>
      <c r="D8" s="8" t="s">
        <v>1174</v>
      </c>
      <c r="E8" s="8" t="s">
        <v>1139</v>
      </c>
      <c r="F8" s="8" t="s">
        <v>1175</v>
      </c>
      <c r="G8" s="8" t="s">
        <v>1176</v>
      </c>
      <c r="H8" s="24" t="s">
        <v>1177</v>
      </c>
      <c r="I8" s="11" t="s">
        <v>1178</v>
      </c>
      <c r="J8" s="8" t="s">
        <v>135</v>
      </c>
      <c r="K8" s="8" t="s">
        <v>135</v>
      </c>
      <c r="L8" s="8" t="s">
        <v>135</v>
      </c>
      <c r="M8" s="8" t="s">
        <v>1179</v>
      </c>
      <c r="N8" s="11" t="s">
        <v>1180</v>
      </c>
      <c r="O8" s="11" t="s">
        <v>1181</v>
      </c>
      <c r="P8" s="11" t="s">
        <v>848</v>
      </c>
      <c r="Q8" s="8" t="s">
        <v>134</v>
      </c>
      <c r="R8" s="11" t="s">
        <v>1182</v>
      </c>
    </row>
    <row r="9" customFormat="false" ht="61.5" hidden="false" customHeight="true" outlineLevel="0" collapsed="false">
      <c r="A9" s="15" t="s">
        <v>1183</v>
      </c>
      <c r="B9" s="15" t="s">
        <v>1184</v>
      </c>
      <c r="C9" s="15" t="s">
        <v>1185</v>
      </c>
      <c r="D9" s="15" t="s">
        <v>1186</v>
      </c>
      <c r="E9" s="15" t="s">
        <v>1139</v>
      </c>
      <c r="F9" s="15" t="s">
        <v>1187</v>
      </c>
      <c r="G9" s="15" t="s">
        <v>1188</v>
      </c>
      <c r="H9" s="25" t="s">
        <v>1189</v>
      </c>
      <c r="I9" s="18" t="s">
        <v>1190</v>
      </c>
      <c r="J9" s="15" t="s">
        <v>1191</v>
      </c>
      <c r="K9" s="15" t="s">
        <v>135</v>
      </c>
      <c r="L9" s="15" t="s">
        <v>1192</v>
      </c>
      <c r="M9" s="15" t="s">
        <v>1193</v>
      </c>
      <c r="N9" s="18" t="s">
        <v>1194</v>
      </c>
      <c r="O9" s="18" t="s">
        <v>1195</v>
      </c>
      <c r="P9" s="18" t="s">
        <v>1196</v>
      </c>
      <c r="Q9" s="15" t="s">
        <v>1197</v>
      </c>
      <c r="R9" s="18" t="s">
        <v>1198</v>
      </c>
    </row>
    <row r="10" customFormat="false" ht="61.5" hidden="false" customHeight="true" outlineLevel="0" collapsed="false">
      <c r="A10" s="8" t="s">
        <v>1199</v>
      </c>
      <c r="B10" s="8" t="s">
        <v>394</v>
      </c>
      <c r="C10" s="8" t="s">
        <v>394</v>
      </c>
      <c r="D10" s="8" t="s">
        <v>1200</v>
      </c>
      <c r="E10" s="8" t="s">
        <v>1139</v>
      </c>
      <c r="F10" s="8" t="s">
        <v>823</v>
      </c>
      <c r="G10" s="8" t="s">
        <v>1201</v>
      </c>
      <c r="H10" s="24" t="s">
        <v>1202</v>
      </c>
      <c r="I10" s="11" t="s">
        <v>1203</v>
      </c>
      <c r="J10" s="8" t="s">
        <v>135</v>
      </c>
      <c r="K10" s="8" t="s">
        <v>135</v>
      </c>
      <c r="L10" s="8" t="s">
        <v>135</v>
      </c>
      <c r="M10" s="8" t="s">
        <v>1204</v>
      </c>
      <c r="N10" s="11" t="s">
        <v>1205</v>
      </c>
      <c r="O10" s="11" t="s">
        <v>1206</v>
      </c>
      <c r="P10" s="11" t="s">
        <v>889</v>
      </c>
      <c r="Q10" s="8" t="s">
        <v>177</v>
      </c>
      <c r="R10" s="11" t="s">
        <v>1207</v>
      </c>
    </row>
    <row r="11" customFormat="false" ht="61.5" hidden="false" customHeight="true" outlineLevel="0" collapsed="false">
      <c r="A11" s="15" t="s">
        <v>1208</v>
      </c>
      <c r="B11" s="15" t="s">
        <v>394</v>
      </c>
      <c r="C11" s="15" t="s">
        <v>394</v>
      </c>
      <c r="D11" s="15" t="s">
        <v>1209</v>
      </c>
      <c r="E11" s="15" t="s">
        <v>1210</v>
      </c>
      <c r="F11" s="15" t="s">
        <v>1211</v>
      </c>
      <c r="G11" s="15" t="s">
        <v>1212</v>
      </c>
      <c r="H11" s="26" t="s">
        <v>39</v>
      </c>
      <c r="I11" s="18" t="s">
        <v>135</v>
      </c>
      <c r="J11" s="15" t="s">
        <v>135</v>
      </c>
      <c r="K11" s="15" t="s">
        <v>135</v>
      </c>
      <c r="L11" s="15" t="s">
        <v>135</v>
      </c>
      <c r="M11" s="15" t="s">
        <v>1213</v>
      </c>
      <c r="N11" s="18" t="s">
        <v>1214</v>
      </c>
      <c r="O11" s="18" t="s">
        <v>1215</v>
      </c>
      <c r="P11" s="18" t="s">
        <v>1216</v>
      </c>
      <c r="Q11" s="15" t="s">
        <v>489</v>
      </c>
      <c r="R11" s="18" t="s">
        <v>1217</v>
      </c>
    </row>
    <row r="12" customFormat="false" ht="61.5" hidden="false" customHeight="true" outlineLevel="0" collapsed="false">
      <c r="A12" s="8" t="s">
        <v>1218</v>
      </c>
      <c r="B12" s="8" t="s">
        <v>480</v>
      </c>
      <c r="C12" s="8" t="s">
        <v>464</v>
      </c>
      <c r="D12" s="8" t="s">
        <v>1219</v>
      </c>
      <c r="E12" s="8" t="s">
        <v>1139</v>
      </c>
      <c r="F12" s="8" t="s">
        <v>1220</v>
      </c>
      <c r="G12" s="8" t="s">
        <v>1221</v>
      </c>
      <c r="H12" s="27" t="s">
        <v>1222</v>
      </c>
      <c r="I12" s="11" t="s">
        <v>135</v>
      </c>
      <c r="J12" s="8" t="s">
        <v>135</v>
      </c>
      <c r="K12" s="8" t="s">
        <v>135</v>
      </c>
      <c r="L12" s="8" t="s">
        <v>135</v>
      </c>
      <c r="M12" s="8" t="s">
        <v>1223</v>
      </c>
      <c r="N12" s="11" t="s">
        <v>1224</v>
      </c>
      <c r="O12" s="11" t="s">
        <v>1225</v>
      </c>
      <c r="P12" s="11" t="s">
        <v>1226</v>
      </c>
      <c r="Q12" s="8" t="s">
        <v>489</v>
      </c>
      <c r="R12" s="11" t="s">
        <v>1227</v>
      </c>
    </row>
    <row r="13" customFormat="false" ht="61.5" hidden="false" customHeight="true" outlineLevel="0" collapsed="false">
      <c r="A13" s="15" t="s">
        <v>1228</v>
      </c>
      <c r="B13" s="15" t="s">
        <v>480</v>
      </c>
      <c r="C13" s="15" t="s">
        <v>464</v>
      </c>
      <c r="D13" s="15" t="s">
        <v>1229</v>
      </c>
      <c r="E13" s="15" t="s">
        <v>1139</v>
      </c>
      <c r="F13" s="15" t="s">
        <v>1230</v>
      </c>
      <c r="G13" s="15" t="s">
        <v>1176</v>
      </c>
      <c r="H13" s="27" t="s">
        <v>1231</v>
      </c>
      <c r="I13" s="18" t="s">
        <v>135</v>
      </c>
      <c r="J13" s="15" t="s">
        <v>135</v>
      </c>
      <c r="K13" s="15" t="s">
        <v>135</v>
      </c>
      <c r="L13" s="15" t="s">
        <v>135</v>
      </c>
      <c r="M13" s="15" t="s">
        <v>135</v>
      </c>
      <c r="N13" s="18" t="s">
        <v>1232</v>
      </c>
      <c r="O13" s="18" t="s">
        <v>1233</v>
      </c>
      <c r="P13" s="18" t="s">
        <v>1234</v>
      </c>
      <c r="Q13" s="15" t="s">
        <v>489</v>
      </c>
      <c r="R13" s="18" t="s">
        <v>1235</v>
      </c>
    </row>
    <row r="14" customFormat="false" ht="61.5" hidden="false" customHeight="true" outlineLevel="0" collapsed="false">
      <c r="A14" s="8" t="s">
        <v>1236</v>
      </c>
      <c r="B14" s="8" t="s">
        <v>480</v>
      </c>
      <c r="C14" s="8" t="s">
        <v>464</v>
      </c>
      <c r="D14" s="8" t="s">
        <v>1237</v>
      </c>
      <c r="E14" s="8" t="s">
        <v>1127</v>
      </c>
      <c r="F14" s="8" t="s">
        <v>424</v>
      </c>
      <c r="G14" s="8" t="s">
        <v>1238</v>
      </c>
      <c r="H14" s="27" t="s">
        <v>41</v>
      </c>
      <c r="I14" s="11" t="s">
        <v>135</v>
      </c>
      <c r="J14" s="8" t="s">
        <v>135</v>
      </c>
      <c r="K14" s="8" t="s">
        <v>135</v>
      </c>
      <c r="L14" s="8" t="s">
        <v>135</v>
      </c>
      <c r="M14" s="8" t="s">
        <v>1239</v>
      </c>
      <c r="N14" s="11" t="s">
        <v>1240</v>
      </c>
      <c r="O14" s="11" t="s">
        <v>1241</v>
      </c>
      <c r="P14" s="11" t="s">
        <v>1242</v>
      </c>
      <c r="Q14" s="8" t="s">
        <v>489</v>
      </c>
      <c r="R14" s="11" t="s">
        <v>1243</v>
      </c>
    </row>
    <row r="15" customFormat="false" ht="61.5" hidden="false" customHeight="true" outlineLevel="0" collapsed="false">
      <c r="A15" s="15" t="s">
        <v>1244</v>
      </c>
      <c r="B15" s="15" t="s">
        <v>260</v>
      </c>
      <c r="C15" s="15" t="s">
        <v>236</v>
      </c>
      <c r="D15" s="15" t="s">
        <v>1245</v>
      </c>
      <c r="E15" s="15" t="s">
        <v>1139</v>
      </c>
      <c r="F15" s="15" t="s">
        <v>1246</v>
      </c>
      <c r="G15" s="15" t="s">
        <v>1176</v>
      </c>
      <c r="H15" s="28" t="s">
        <v>1247</v>
      </c>
      <c r="I15" s="18" t="s">
        <v>135</v>
      </c>
      <c r="J15" s="15" t="s">
        <v>135</v>
      </c>
      <c r="K15" s="15" t="s">
        <v>135</v>
      </c>
      <c r="L15" s="15" t="s">
        <v>135</v>
      </c>
      <c r="M15" s="15" t="s">
        <v>135</v>
      </c>
      <c r="N15" s="18" t="s">
        <v>1248</v>
      </c>
      <c r="O15" s="18" t="s">
        <v>1249</v>
      </c>
      <c r="P15" s="18" t="s">
        <v>1250</v>
      </c>
      <c r="Q15" s="15" t="s">
        <v>489</v>
      </c>
      <c r="R15" s="18" t="s">
        <v>1251</v>
      </c>
    </row>
    <row r="16" customFormat="false" ht="61.5" hidden="false" customHeight="true" outlineLevel="0" collapsed="false">
      <c r="A16" s="8" t="s">
        <v>1252</v>
      </c>
      <c r="B16" s="8" t="s">
        <v>260</v>
      </c>
      <c r="C16" s="8" t="s">
        <v>236</v>
      </c>
      <c r="D16" s="8" t="s">
        <v>1253</v>
      </c>
      <c r="E16" s="8" t="s">
        <v>1127</v>
      </c>
      <c r="F16" s="8" t="s">
        <v>424</v>
      </c>
      <c r="G16" s="8" t="s">
        <v>1176</v>
      </c>
      <c r="H16" s="28" t="s">
        <v>43</v>
      </c>
      <c r="I16" s="11" t="s">
        <v>135</v>
      </c>
      <c r="J16" s="8" t="s">
        <v>135</v>
      </c>
      <c r="K16" s="8" t="s">
        <v>135</v>
      </c>
      <c r="L16" s="8" t="s">
        <v>135</v>
      </c>
      <c r="M16" s="8" t="s">
        <v>135</v>
      </c>
      <c r="N16" s="11" t="s">
        <v>1254</v>
      </c>
      <c r="O16" s="11" t="s">
        <v>1255</v>
      </c>
      <c r="P16" s="11" t="s">
        <v>1256</v>
      </c>
      <c r="Q16" s="8" t="s">
        <v>489</v>
      </c>
      <c r="R16" s="11" t="s">
        <v>1257</v>
      </c>
    </row>
    <row r="17" customFormat="false" ht="61.5" hidden="false" customHeight="true" outlineLevel="0" collapsed="false">
      <c r="A17" s="15" t="s">
        <v>1258</v>
      </c>
      <c r="B17" s="15" t="s">
        <v>537</v>
      </c>
      <c r="C17" s="15" t="s">
        <v>538</v>
      </c>
      <c r="D17" s="15" t="s">
        <v>1259</v>
      </c>
      <c r="E17" s="15" t="s">
        <v>1127</v>
      </c>
      <c r="F17" s="15" t="s">
        <v>1260</v>
      </c>
      <c r="G17" s="15" t="s">
        <v>1261</v>
      </c>
      <c r="H17" s="25" t="s">
        <v>1262</v>
      </c>
      <c r="I17" s="18" t="s">
        <v>135</v>
      </c>
      <c r="J17" s="15" t="s">
        <v>135</v>
      </c>
      <c r="K17" s="15" t="s">
        <v>135</v>
      </c>
      <c r="L17" s="15" t="s">
        <v>135</v>
      </c>
      <c r="M17" s="15" t="s">
        <v>551</v>
      </c>
      <c r="N17" s="18" t="s">
        <v>1263</v>
      </c>
      <c r="O17" s="18" t="s">
        <v>1264</v>
      </c>
      <c r="P17" s="18" t="s">
        <v>1265</v>
      </c>
      <c r="Q17" s="15" t="s">
        <v>1266</v>
      </c>
      <c r="R17" s="18" t="s">
        <v>1267</v>
      </c>
    </row>
    <row r="18" customFormat="false" ht="61.5" hidden="false" customHeight="true" outlineLevel="0" collapsed="false">
      <c r="A18" s="8" t="s">
        <v>1268</v>
      </c>
      <c r="B18" s="8" t="s">
        <v>578</v>
      </c>
      <c r="C18" s="8" t="s">
        <v>579</v>
      </c>
      <c r="D18" s="8" t="s">
        <v>1269</v>
      </c>
      <c r="E18" s="8" t="s">
        <v>1127</v>
      </c>
      <c r="F18" s="8" t="s">
        <v>262</v>
      </c>
      <c r="G18" s="8" t="s">
        <v>1270</v>
      </c>
      <c r="H18" s="25" t="s">
        <v>1271</v>
      </c>
      <c r="I18" s="11" t="s">
        <v>135</v>
      </c>
      <c r="J18" s="8" t="s">
        <v>135</v>
      </c>
      <c r="K18" s="8" t="s">
        <v>135</v>
      </c>
      <c r="L18" s="8" t="s">
        <v>135</v>
      </c>
      <c r="M18" s="8" t="s">
        <v>589</v>
      </c>
      <c r="N18" s="11" t="s">
        <v>1272</v>
      </c>
      <c r="O18" s="11" t="s">
        <v>1273</v>
      </c>
      <c r="P18" s="11" t="s">
        <v>1274</v>
      </c>
      <c r="Q18" s="8" t="s">
        <v>489</v>
      </c>
      <c r="R18" s="11" t="s">
        <v>135</v>
      </c>
    </row>
    <row r="19" customFormat="false" ht="61.5" hidden="false" customHeight="true" outlineLevel="0" collapsed="false">
      <c r="A19" s="15" t="s">
        <v>1275</v>
      </c>
      <c r="B19" s="15" t="s">
        <v>596</v>
      </c>
      <c r="C19" s="15" t="s">
        <v>597</v>
      </c>
      <c r="D19" s="15" t="s">
        <v>1276</v>
      </c>
      <c r="E19" s="15" t="s">
        <v>1127</v>
      </c>
      <c r="F19" s="15" t="s">
        <v>532</v>
      </c>
      <c r="G19" s="15" t="s">
        <v>1277</v>
      </c>
      <c r="H19" s="25" t="s">
        <v>1278</v>
      </c>
      <c r="I19" s="18" t="s">
        <v>135</v>
      </c>
      <c r="J19" s="15" t="s">
        <v>135</v>
      </c>
      <c r="K19" s="15" t="s">
        <v>135</v>
      </c>
      <c r="L19" s="15" t="s">
        <v>135</v>
      </c>
      <c r="M19" s="15" t="s">
        <v>1279</v>
      </c>
      <c r="N19" s="18" t="s">
        <v>1280</v>
      </c>
      <c r="O19" s="18" t="s">
        <v>1281</v>
      </c>
      <c r="P19" s="18" t="s">
        <v>1282</v>
      </c>
      <c r="Q19" s="15" t="s">
        <v>520</v>
      </c>
      <c r="R19" s="18" t="s">
        <v>135</v>
      </c>
    </row>
    <row r="20" customFormat="false" ht="61.5" hidden="false" customHeight="true" outlineLevel="0" collapsed="false">
      <c r="A20" s="8" t="s">
        <v>1283</v>
      </c>
      <c r="B20" s="8" t="s">
        <v>354</v>
      </c>
      <c r="C20" s="8" t="s">
        <v>339</v>
      </c>
      <c r="D20" s="8" t="s">
        <v>1284</v>
      </c>
      <c r="E20" s="8" t="s">
        <v>1285</v>
      </c>
      <c r="F20" s="8" t="s">
        <v>1260</v>
      </c>
      <c r="G20" s="8" t="s">
        <v>1238</v>
      </c>
      <c r="H20" s="27" t="s">
        <v>1286</v>
      </c>
      <c r="I20" s="11" t="s">
        <v>135</v>
      </c>
      <c r="J20" s="8" t="s">
        <v>135</v>
      </c>
      <c r="K20" s="8" t="s">
        <v>135</v>
      </c>
      <c r="L20" s="8" t="s">
        <v>135</v>
      </c>
      <c r="M20" s="8" t="s">
        <v>1287</v>
      </c>
      <c r="N20" s="11" t="s">
        <v>1288</v>
      </c>
      <c r="O20" s="11" t="s">
        <v>1289</v>
      </c>
      <c r="P20" s="11" t="s">
        <v>1290</v>
      </c>
      <c r="Q20" s="8" t="s">
        <v>489</v>
      </c>
      <c r="R20" s="11" t="s">
        <v>1291</v>
      </c>
    </row>
    <row r="21" customFormat="false" ht="61.5" hidden="false" customHeight="true" outlineLevel="0" collapsed="false">
      <c r="A21" s="15" t="s">
        <v>1292</v>
      </c>
      <c r="B21" s="15" t="s">
        <v>991</v>
      </c>
      <c r="C21" s="15" t="s">
        <v>975</v>
      </c>
      <c r="D21" s="15" t="s">
        <v>1293</v>
      </c>
      <c r="E21" s="15" t="s">
        <v>1139</v>
      </c>
      <c r="F21" s="15" t="s">
        <v>1294</v>
      </c>
      <c r="G21" s="15" t="s">
        <v>1295</v>
      </c>
      <c r="H21" s="26" t="s">
        <v>39</v>
      </c>
      <c r="I21" s="18" t="s">
        <v>135</v>
      </c>
      <c r="J21" s="15" t="s">
        <v>135</v>
      </c>
      <c r="K21" s="15" t="s">
        <v>135</v>
      </c>
      <c r="L21" s="15" t="s">
        <v>135</v>
      </c>
      <c r="M21" s="15" t="s">
        <v>984</v>
      </c>
      <c r="N21" s="18" t="s">
        <v>1296</v>
      </c>
      <c r="O21" s="18" t="s">
        <v>1297</v>
      </c>
      <c r="P21" s="18" t="s">
        <v>1298</v>
      </c>
      <c r="Q21" s="15" t="s">
        <v>489</v>
      </c>
      <c r="R21" s="18" t="s">
        <v>1299</v>
      </c>
    </row>
    <row r="22" customFormat="false" ht="61.5" hidden="false" customHeight="true" outlineLevel="0" collapsed="false">
      <c r="A22" s="8" t="s">
        <v>1300</v>
      </c>
      <c r="B22" s="8" t="s">
        <v>1005</v>
      </c>
      <c r="C22" s="8" t="s">
        <v>1005</v>
      </c>
      <c r="D22" s="8" t="s">
        <v>1301</v>
      </c>
      <c r="E22" s="8" t="s">
        <v>1139</v>
      </c>
      <c r="F22" s="8" t="s">
        <v>1009</v>
      </c>
      <c r="G22" s="8" t="s">
        <v>1238</v>
      </c>
      <c r="H22" s="24" t="s">
        <v>39</v>
      </c>
      <c r="I22" s="11" t="s">
        <v>135</v>
      </c>
      <c r="J22" s="8" t="s">
        <v>135</v>
      </c>
      <c r="K22" s="8" t="s">
        <v>135</v>
      </c>
      <c r="L22" s="8" t="s">
        <v>135</v>
      </c>
      <c r="M22" s="8" t="s">
        <v>1016</v>
      </c>
      <c r="N22" s="11" t="s">
        <v>1302</v>
      </c>
      <c r="O22" s="11" t="s">
        <v>1303</v>
      </c>
      <c r="P22" s="11" t="s">
        <v>1304</v>
      </c>
      <c r="Q22" s="8" t="s">
        <v>489</v>
      </c>
      <c r="R22" s="11" t="s">
        <v>1305</v>
      </c>
    </row>
    <row r="23" customFormat="false" ht="61.5" hidden="false" customHeight="true" outlineLevel="0" collapsed="false">
      <c r="A23" s="15" t="s">
        <v>1306</v>
      </c>
      <c r="B23" s="15" t="s">
        <v>1307</v>
      </c>
      <c r="C23" s="15" t="s">
        <v>606</v>
      </c>
      <c r="D23" s="15" t="s">
        <v>1308</v>
      </c>
      <c r="E23" s="15" t="s">
        <v>1127</v>
      </c>
      <c r="F23" s="15" t="s">
        <v>1309</v>
      </c>
      <c r="G23" s="15" t="s">
        <v>1310</v>
      </c>
      <c r="H23" s="26" t="s">
        <v>39</v>
      </c>
      <c r="I23" s="18" t="s">
        <v>135</v>
      </c>
      <c r="J23" s="15" t="s">
        <v>135</v>
      </c>
      <c r="K23" s="15" t="s">
        <v>135</v>
      </c>
      <c r="L23" s="15" t="s">
        <v>135</v>
      </c>
      <c r="M23" s="15" t="s">
        <v>1311</v>
      </c>
      <c r="N23" s="18" t="s">
        <v>1312</v>
      </c>
      <c r="O23" s="18" t="s">
        <v>1313</v>
      </c>
      <c r="P23" s="18" t="s">
        <v>1314</v>
      </c>
      <c r="Q23" s="15" t="s">
        <v>1197</v>
      </c>
      <c r="R23" s="18" t="s">
        <v>1315</v>
      </c>
    </row>
    <row r="24" customFormat="false" ht="61.5" hidden="false" customHeight="true" outlineLevel="0" collapsed="false">
      <c r="A24" s="8" t="s">
        <v>1316</v>
      </c>
      <c r="B24" s="8" t="s">
        <v>621</v>
      </c>
      <c r="C24" s="8" t="s">
        <v>621</v>
      </c>
      <c r="D24" s="8" t="s">
        <v>1317</v>
      </c>
      <c r="E24" s="8" t="s">
        <v>1127</v>
      </c>
      <c r="F24" s="8" t="s">
        <v>693</v>
      </c>
      <c r="G24" s="8" t="s">
        <v>489</v>
      </c>
      <c r="H24" s="24" t="s">
        <v>1318</v>
      </c>
      <c r="I24" s="11" t="s">
        <v>1319</v>
      </c>
      <c r="J24" s="8" t="s">
        <v>135</v>
      </c>
      <c r="K24" s="8" t="s">
        <v>135</v>
      </c>
      <c r="L24" s="8" t="s">
        <v>135</v>
      </c>
      <c r="M24" s="8" t="s">
        <v>629</v>
      </c>
      <c r="N24" s="11" t="s">
        <v>1320</v>
      </c>
      <c r="O24" s="11" t="s">
        <v>1321</v>
      </c>
      <c r="P24" s="11" t="s">
        <v>1322</v>
      </c>
      <c r="Q24" s="8" t="s">
        <v>489</v>
      </c>
      <c r="R24" s="11" t="s">
        <v>1323</v>
      </c>
    </row>
    <row r="25" customFormat="false" ht="61.5" hidden="false" customHeight="true" outlineLevel="0" collapsed="false">
      <c r="A25" s="15" t="s">
        <v>1324</v>
      </c>
      <c r="B25" s="15" t="s">
        <v>673</v>
      </c>
      <c r="C25" s="15" t="s">
        <v>673</v>
      </c>
      <c r="D25" s="15" t="s">
        <v>1325</v>
      </c>
      <c r="E25" s="15" t="s">
        <v>1127</v>
      </c>
      <c r="F25" s="15" t="s">
        <v>262</v>
      </c>
      <c r="G25" s="15" t="s">
        <v>1238</v>
      </c>
      <c r="H25" s="26" t="s">
        <v>39</v>
      </c>
      <c r="I25" s="18" t="s">
        <v>135</v>
      </c>
      <c r="J25" s="15" t="s">
        <v>135</v>
      </c>
      <c r="K25" s="15" t="s">
        <v>135</v>
      </c>
      <c r="L25" s="15" t="s">
        <v>135</v>
      </c>
      <c r="M25" s="15" t="s">
        <v>677</v>
      </c>
      <c r="N25" s="18" t="s">
        <v>1326</v>
      </c>
      <c r="O25" s="18" t="s">
        <v>1327</v>
      </c>
      <c r="P25" s="18" t="s">
        <v>1304</v>
      </c>
      <c r="Q25" s="15" t="s">
        <v>489</v>
      </c>
      <c r="R25" s="18" t="s">
        <v>135</v>
      </c>
    </row>
    <row r="26" customFormat="false" ht="61.5" hidden="false" customHeight="true" outlineLevel="0" collapsed="false">
      <c r="A26" s="8" t="s">
        <v>1328</v>
      </c>
      <c r="B26" s="8" t="s">
        <v>660</v>
      </c>
      <c r="C26" s="8" t="s">
        <v>648</v>
      </c>
      <c r="D26" s="8" t="s">
        <v>1329</v>
      </c>
      <c r="E26" s="8" t="s">
        <v>1127</v>
      </c>
      <c r="F26" s="8" t="s">
        <v>262</v>
      </c>
      <c r="G26" s="8" t="s">
        <v>1238</v>
      </c>
      <c r="H26" s="24" t="s">
        <v>39</v>
      </c>
      <c r="I26" s="11" t="s">
        <v>135</v>
      </c>
      <c r="J26" s="8" t="s">
        <v>135</v>
      </c>
      <c r="K26" s="8" t="s">
        <v>135</v>
      </c>
      <c r="L26" s="8" t="s">
        <v>135</v>
      </c>
      <c r="M26" s="8" t="s">
        <v>654</v>
      </c>
      <c r="N26" s="11" t="s">
        <v>1330</v>
      </c>
      <c r="O26" s="11" t="s">
        <v>1331</v>
      </c>
      <c r="P26" s="11" t="s">
        <v>1304</v>
      </c>
      <c r="Q26" s="8" t="s">
        <v>489</v>
      </c>
      <c r="R26" s="11" t="s">
        <v>135</v>
      </c>
    </row>
    <row r="27" customFormat="false" ht="61.5" hidden="false" customHeight="true" outlineLevel="0" collapsed="false">
      <c r="A27" s="15" t="s">
        <v>1332</v>
      </c>
      <c r="B27" s="15" t="s">
        <v>1333</v>
      </c>
      <c r="C27" s="15" t="s">
        <v>1106</v>
      </c>
      <c r="D27" s="15" t="s">
        <v>1334</v>
      </c>
      <c r="E27" s="15" t="s">
        <v>1127</v>
      </c>
      <c r="F27" s="15" t="s">
        <v>262</v>
      </c>
      <c r="G27" s="15" t="s">
        <v>1176</v>
      </c>
      <c r="H27" s="28" t="s">
        <v>43</v>
      </c>
      <c r="I27" s="18" t="s">
        <v>135</v>
      </c>
      <c r="J27" s="15" t="s">
        <v>135</v>
      </c>
      <c r="K27" s="15" t="s">
        <v>135</v>
      </c>
      <c r="L27" s="15" t="s">
        <v>135</v>
      </c>
      <c r="M27" s="15" t="s">
        <v>135</v>
      </c>
      <c r="N27" s="18" t="s">
        <v>1335</v>
      </c>
      <c r="O27" s="18" t="s">
        <v>1336</v>
      </c>
      <c r="P27" s="18" t="s">
        <v>1337</v>
      </c>
      <c r="Q27" s="15" t="s">
        <v>1108</v>
      </c>
      <c r="R27" s="18" t="s">
        <v>489</v>
      </c>
      <c r="S27" s="29" t="s">
        <v>1338</v>
      </c>
    </row>
  </sheetData>
  <autoFilter ref="A3:R27"/>
  <mergeCells count="2">
    <mergeCell ref="A1:L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20"/>
    <col collapsed="false" customWidth="true" hidden="false" outlineLevel="0" max="4" min="4" style="0" width="14"/>
    <col collapsed="false" customWidth="true" hidden="false" outlineLevel="0" max="5" min="5" style="0" width="96"/>
  </cols>
  <sheetData>
    <row r="1" customFormat="false" ht="21.75" hidden="false" customHeight="true" outlineLevel="0" collapsed="false">
      <c r="A1" s="1" t="s">
        <v>1339</v>
      </c>
      <c r="B1" s="1"/>
      <c r="C1" s="1"/>
      <c r="D1" s="1"/>
      <c r="E1" s="1"/>
      <c r="F1" s="1"/>
    </row>
    <row r="2" customFormat="false" ht="13.5" hidden="false" customHeight="true" outlineLevel="0" collapsed="false">
      <c r="A2" s="2" t="s">
        <v>1340</v>
      </c>
      <c r="B2" s="2"/>
      <c r="C2" s="2"/>
      <c r="D2" s="2"/>
      <c r="E2" s="2"/>
      <c r="F2" s="2"/>
    </row>
    <row r="4" customFormat="false" ht="42" hidden="false" customHeight="true" outlineLevel="0" collapsed="false">
      <c r="A4" s="7" t="s">
        <v>1341</v>
      </c>
      <c r="B4" s="7" t="s">
        <v>1342</v>
      </c>
      <c r="C4" s="7" t="s">
        <v>1343</v>
      </c>
      <c r="D4" s="7" t="s">
        <v>1344</v>
      </c>
      <c r="E4" s="7" t="s">
        <v>1345</v>
      </c>
    </row>
    <row r="5" customFormat="false" ht="31.5" hidden="false" customHeight="true" outlineLevel="0" collapsed="false">
      <c r="A5" s="8" t="s">
        <v>1346</v>
      </c>
      <c r="B5" s="8" t="n">
        <f aca="false">COUNTIF(Scooters_Current!$BA$4:$BA$61,$A5)</f>
        <v>1</v>
      </c>
      <c r="C5" s="8" t="n">
        <f aca="false">COUNTIF(Motorcycles_Current!$BA$4:$BA$32,$A5)</f>
        <v>0</v>
      </c>
      <c r="D5" s="8" t="n">
        <f aca="false">B5+C5</f>
        <v>1</v>
      </c>
      <c r="E5" s="11" t="s">
        <v>1347</v>
      </c>
    </row>
    <row r="6" customFormat="false" ht="31.5" hidden="false" customHeight="true" outlineLevel="0" collapsed="false">
      <c r="A6" s="15" t="s">
        <v>1348</v>
      </c>
      <c r="B6" s="15" t="n">
        <f aca="false">COUNTIF(Scooters_Current!$BA$4:$BA$61,$A6)</f>
        <v>11</v>
      </c>
      <c r="C6" s="15" t="n">
        <f aca="false">COUNTIF(Motorcycles_Current!$BA$4:$BA$32,$A6)</f>
        <v>4</v>
      </c>
      <c r="D6" s="15" t="n">
        <f aca="false">B6+C6</f>
        <v>15</v>
      </c>
      <c r="E6" s="18" t="s">
        <v>1349</v>
      </c>
    </row>
    <row r="7" customFormat="false" ht="31.5" hidden="false" customHeight="true" outlineLevel="0" collapsed="false">
      <c r="A7" s="8" t="s">
        <v>1350</v>
      </c>
      <c r="B7" s="8" t="n">
        <f aca="false">COUNTIF(Scooters_Current!$BA$4:$BA$61,$A7)</f>
        <v>26</v>
      </c>
      <c r="C7" s="8" t="n">
        <f aca="false">COUNTIF(Motorcycles_Current!$BA$4:$BA$32,$A7)</f>
        <v>10</v>
      </c>
      <c r="D7" s="8" t="n">
        <f aca="false">B7+C7</f>
        <v>36</v>
      </c>
      <c r="E7" s="11" t="s">
        <v>1351</v>
      </c>
    </row>
    <row r="8" customFormat="false" ht="31.5" hidden="false" customHeight="true" outlineLevel="0" collapsed="false">
      <c r="A8" s="15" t="s">
        <v>1352</v>
      </c>
      <c r="B8" s="15" t="n">
        <f aca="false">COUNTIF(Scooters_Current!$BA$4:$BA$61,$A8)</f>
        <v>12</v>
      </c>
      <c r="C8" s="15" t="n">
        <f aca="false">COUNTIF(Motorcycles_Current!$BA$4:$BA$32,$A8)</f>
        <v>6</v>
      </c>
      <c r="D8" s="15" t="n">
        <f aca="false">B8+C8</f>
        <v>18</v>
      </c>
      <c r="E8" s="18" t="s">
        <v>1353</v>
      </c>
    </row>
    <row r="9" customFormat="false" ht="31.5" hidden="false" customHeight="true" outlineLevel="0" collapsed="false">
      <c r="A9" s="8" t="s">
        <v>1354</v>
      </c>
      <c r="B9" s="8" t="n">
        <f aca="false">COUNTIF(Scooters_Current!$BA$4:$BA$61,$A9)</f>
        <v>1</v>
      </c>
      <c r="C9" s="8" t="n">
        <f aca="false">COUNTIF(Motorcycles_Current!$BA$4:$BA$32,$A9)</f>
        <v>5</v>
      </c>
      <c r="D9" s="8" t="n">
        <f aca="false">B9+C9</f>
        <v>6</v>
      </c>
      <c r="E9" s="11" t="s">
        <v>1355</v>
      </c>
    </row>
    <row r="10" customFormat="false" ht="31.5" hidden="false" customHeight="true" outlineLevel="0" collapsed="false">
      <c r="A10" s="15" t="s">
        <v>1356</v>
      </c>
      <c r="B10" s="15" t="n">
        <f aca="false">COUNTIF(Scooters_Current!$BA$4:$BA$61,$A10)</f>
        <v>1</v>
      </c>
      <c r="C10" s="15" t="n">
        <f aca="false">COUNTIF(Motorcycles_Current!$BA$4:$BA$32,$A10)</f>
        <v>3</v>
      </c>
      <c r="D10" s="15" t="n">
        <f aca="false">B10+C10</f>
        <v>4</v>
      </c>
      <c r="E10" s="18" t="s">
        <v>1357</v>
      </c>
    </row>
    <row r="11" customFormat="false" ht="31.5" hidden="false" customHeight="true" outlineLevel="0" collapsed="false">
      <c r="A11" s="30" t="s">
        <v>1358</v>
      </c>
      <c r="B11" s="30" t="n">
        <f aca="false">SUM(B5:B10)</f>
        <v>52</v>
      </c>
      <c r="C11" s="30" t="n">
        <f aca="false">SUM(C5:C10)</f>
        <v>28</v>
      </c>
      <c r="D11" s="30" t="n">
        <f aca="false">SUM(D5:D10)</f>
        <v>80</v>
      </c>
      <c r="E11" s="11"/>
    </row>
    <row r="13" customFormat="false" ht="15" hidden="false" customHeight="false" outlineLevel="0" collapsed="false">
      <c r="A13" s="6" t="s">
        <v>1359</v>
      </c>
    </row>
    <row r="14" customFormat="false" ht="42" hidden="false" customHeight="true" outlineLevel="0" collapsed="false">
      <c r="A14" s="7" t="s">
        <v>1360</v>
      </c>
      <c r="B14" s="7" t="s">
        <v>1361</v>
      </c>
      <c r="C14" s="7" t="s">
        <v>1362</v>
      </c>
      <c r="D14" s="7"/>
      <c r="E14" s="7"/>
    </row>
    <row r="15" customFormat="false" ht="15" hidden="false" customHeight="false" outlineLevel="0" collapsed="false">
      <c r="A15" s="8" t="s">
        <v>1363</v>
      </c>
      <c r="B15" s="22" t="n">
        <f aca="false">IFERROR(AVERAGEIFS(Scooters_Current!$J$4:$J$61,Scooters_Current!$J$4:$J$61,"&lt;500000"),"n/a")</f>
        <v>126792.607843137</v>
      </c>
      <c r="C15" s="22" t="n">
        <f aca="false">IFERROR(AVERAGEIFS(Motorcycles_Current!$J$4:$J$32,Motorcycles_Current!$J$4:$J$32,"&lt;500000"),"n/a")</f>
        <v>183786</v>
      </c>
    </row>
    <row r="16" customFormat="false" ht="15" hidden="false" customHeight="false" outlineLevel="0" collapsed="false">
      <c r="A16" s="15" t="s">
        <v>1364</v>
      </c>
      <c r="B16" s="31" t="n">
        <f aca="false">IFERROR(AVERAGEIFS(Scooters_Current!$M$4:$M$61,Scooters_Current!$J$4:$J$61,"&lt;500000"),"n/a")</f>
        <v>3.24333333333333</v>
      </c>
      <c r="C16" s="31" t="n">
        <f aca="false">IFERROR(AVERAGEIFS(Motorcycles_Current!$M$4:$M$32,Motorcycles_Current!$J$4:$J$32,"&lt;500000"),"n/a")</f>
        <v>4.86857142857143</v>
      </c>
    </row>
    <row r="17" customFormat="false" ht="15" hidden="false" customHeight="false" outlineLevel="0" collapsed="false">
      <c r="A17" s="8" t="s">
        <v>1365</v>
      </c>
      <c r="B17" s="22" t="n">
        <f aca="false">IFERROR(AVERAGEIFS(Scooters_Current!$V$4:$V$61,Scooters_Current!$J$4:$J$61,"&lt;500000"),"n/a")</f>
        <v>140.085106382979</v>
      </c>
      <c r="C17" s="22" t="n">
        <f aca="false">IFERROR(AVERAGEIFS(Motorcycles_Current!$V$4:$V$32,Motorcycles_Current!$J$4:$J$32,"&lt;500000"),"n/a")</f>
        <v>182.964285714286</v>
      </c>
    </row>
    <row r="18" customFormat="false" ht="15" hidden="false" customHeight="false" outlineLevel="0" collapsed="false">
      <c r="A18" s="15" t="s">
        <v>1366</v>
      </c>
      <c r="B18" s="32" t="n">
        <f aca="false">IFERROR(AVERAGEIFS(Scooters_Current!$R$4:$R$61,Scooters_Current!$J$4:$J$61,"&lt;500000"),"n/a")</f>
        <v>4.86627906976744</v>
      </c>
      <c r="C18" s="32" t="n">
        <f aca="false">IFERROR(AVERAGEIFS(Motorcycles_Current!$R$4:$R$32,Motorcycles_Current!$J$4:$J$32,"&lt;500000"),"n/a")</f>
        <v>11.575</v>
      </c>
    </row>
    <row r="19" customFormat="false" ht="15" hidden="false" customHeight="false" outlineLevel="0" collapsed="false">
      <c r="A19" s="8" t="s">
        <v>1367</v>
      </c>
      <c r="B19" s="22" t="n">
        <f aca="false">IFERROR(AVERAGEIFS(Scooters_Current!$AY$4:$AY$61,Scooters_Current!$J$4:$J$61,"&lt;500000"),"n/a")</f>
        <v>40149.7736968369</v>
      </c>
      <c r="C19" s="22" t="n">
        <f aca="false">IFERROR(AVERAGEIFS(Motorcycles_Current!$AY$4:$AY$32,Motorcycles_Current!$J$4:$J$32,"&lt;500000"),"n/a")</f>
        <v>38079.667304521</v>
      </c>
    </row>
    <row r="21" customFormat="false" ht="15" hidden="false" customHeight="false" outlineLevel="0" collapsed="false">
      <c r="A21" s="33" t="s">
        <v>1368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22"/>
    <col collapsed="false" customWidth="true" hidden="false" outlineLevel="0" max="5" min="4" style="0" width="30"/>
    <col collapsed="false" customWidth="true" hidden="false" outlineLevel="0" max="6" min="6" style="0" width="56"/>
    <col collapsed="false" customWidth="true" hidden="false" outlineLevel="0" max="7" min="7" style="0" width="30"/>
    <col collapsed="false" customWidth="true" hidden="false" outlineLevel="0" max="8" min="8" style="0" width="34"/>
    <col collapsed="false" customWidth="true" hidden="false" outlineLevel="0" max="9" min="9" style="0" width="32"/>
    <col collapsed="false" customWidth="true" hidden="false" outlineLevel="0" max="10" min="10" style="0" width="34"/>
    <col collapsed="false" customWidth="true" hidden="false" outlineLevel="0" max="11" min="11" style="0" width="30"/>
    <col collapsed="false" customWidth="true" hidden="false" outlineLevel="0" max="12" min="12" style="0" width="38"/>
    <col collapsed="false" customWidth="true" hidden="false" outlineLevel="0" max="13" min="13" style="0" width="34"/>
    <col collapsed="false" customWidth="true" hidden="false" outlineLevel="0" max="15" min="14" style="0" width="46"/>
    <col collapsed="false" customWidth="true" hidden="false" outlineLevel="0" max="16" min="16" style="0" width="52"/>
    <col collapsed="false" customWidth="true" hidden="false" outlineLevel="0" max="17" min="17" style="0" width="11"/>
    <col collapsed="false" customWidth="true" hidden="false" outlineLevel="0" max="18" min="18" style="0" width="46"/>
  </cols>
  <sheetData>
    <row r="1" customFormat="false" ht="21.75" hidden="false" customHeight="true" outlineLevel="0" collapsed="false">
      <c r="A1" s="1" t="s">
        <v>1369</v>
      </c>
      <c r="B1" s="1"/>
      <c r="C1" s="1"/>
      <c r="D1" s="1"/>
      <c r="E1" s="1"/>
      <c r="F1" s="1"/>
      <c r="G1" s="1"/>
      <c r="H1" s="1"/>
      <c r="I1" s="1"/>
      <c r="J1" s="1"/>
      <c r="K1" s="1"/>
      <c r="L1" s="1"/>
    </row>
    <row r="2" customFormat="false" ht="13.5" hidden="false" customHeight="true" outlineLevel="0" collapsed="false">
      <c r="A2" s="2" t="s">
        <v>1370</v>
      </c>
      <c r="B2" s="2"/>
      <c r="C2" s="2"/>
      <c r="D2" s="2"/>
      <c r="E2" s="2"/>
      <c r="F2" s="2"/>
      <c r="G2" s="2"/>
      <c r="H2" s="2"/>
      <c r="I2" s="2"/>
      <c r="J2" s="2"/>
      <c r="K2" s="2"/>
      <c r="L2" s="2"/>
      <c r="M2" s="2"/>
      <c r="N2" s="2"/>
    </row>
    <row r="3" customFormat="false" ht="42" hidden="false" customHeight="true" outlineLevel="0" collapsed="false">
      <c r="A3" s="7" t="s">
        <v>1371</v>
      </c>
      <c r="B3" s="7" t="s">
        <v>1372</v>
      </c>
      <c r="C3" s="7" t="s">
        <v>1373</v>
      </c>
      <c r="D3" s="7" t="s">
        <v>1374</v>
      </c>
      <c r="E3" s="7" t="s">
        <v>1375</v>
      </c>
      <c r="F3" s="7" t="s">
        <v>1376</v>
      </c>
      <c r="G3" s="7" t="s">
        <v>1377</v>
      </c>
      <c r="H3" s="7" t="s">
        <v>1378</v>
      </c>
      <c r="I3" s="7" t="s">
        <v>1379</v>
      </c>
      <c r="J3" s="7" t="s">
        <v>1380</v>
      </c>
      <c r="K3" s="7" t="s">
        <v>1381</v>
      </c>
      <c r="L3" s="7" t="s">
        <v>1382</v>
      </c>
      <c r="M3" s="7" t="s">
        <v>1383</v>
      </c>
      <c r="N3" s="7" t="s">
        <v>1384</v>
      </c>
      <c r="O3" s="7" t="s">
        <v>1385</v>
      </c>
      <c r="P3" s="7" t="s">
        <v>1386</v>
      </c>
      <c r="Q3" s="7" t="s">
        <v>1387</v>
      </c>
      <c r="R3" s="7" t="s">
        <v>1122</v>
      </c>
    </row>
    <row r="4" customFormat="false" ht="91.5" hidden="false" customHeight="true" outlineLevel="0" collapsed="false">
      <c r="A4" s="8" t="s">
        <v>260</v>
      </c>
      <c r="B4" s="8" t="s">
        <v>1388</v>
      </c>
      <c r="C4" s="8" t="s">
        <v>1389</v>
      </c>
      <c r="D4" s="11" t="s">
        <v>1390</v>
      </c>
      <c r="E4" s="8" t="s">
        <v>1391</v>
      </c>
      <c r="F4" s="11" t="s">
        <v>1392</v>
      </c>
      <c r="G4" s="11" t="s">
        <v>1393</v>
      </c>
      <c r="H4" s="11" t="s">
        <v>1394</v>
      </c>
      <c r="I4" s="11" t="s">
        <v>1395</v>
      </c>
      <c r="J4" s="11" t="s">
        <v>1396</v>
      </c>
      <c r="K4" s="11" t="s">
        <v>1397</v>
      </c>
      <c r="L4" s="11" t="s">
        <v>1398</v>
      </c>
      <c r="M4" s="11" t="s">
        <v>1399</v>
      </c>
      <c r="N4" s="11" t="s">
        <v>1400</v>
      </c>
      <c r="O4" s="11" t="s">
        <v>1401</v>
      </c>
      <c r="P4" s="11" t="s">
        <v>1402</v>
      </c>
      <c r="Q4" s="8" t="s">
        <v>28</v>
      </c>
      <c r="R4" s="11" t="s">
        <v>1403</v>
      </c>
    </row>
    <row r="5" customFormat="false" ht="91.5" hidden="false" customHeight="true" outlineLevel="0" collapsed="false">
      <c r="A5" s="15" t="s">
        <v>354</v>
      </c>
      <c r="B5" s="15" t="s">
        <v>1388</v>
      </c>
      <c r="C5" s="15" t="s">
        <v>1404</v>
      </c>
      <c r="D5" s="18" t="s">
        <v>1405</v>
      </c>
      <c r="E5" s="15" t="s">
        <v>1391</v>
      </c>
      <c r="F5" s="18" t="s">
        <v>1406</v>
      </c>
      <c r="G5" s="18" t="s">
        <v>1407</v>
      </c>
      <c r="H5" s="18" t="s">
        <v>1408</v>
      </c>
      <c r="I5" s="18" t="s">
        <v>1409</v>
      </c>
      <c r="J5" s="18" t="s">
        <v>1410</v>
      </c>
      <c r="K5" s="18" t="s">
        <v>1411</v>
      </c>
      <c r="L5" s="18" t="s">
        <v>1412</v>
      </c>
      <c r="M5" s="18" t="s">
        <v>1413</v>
      </c>
      <c r="N5" s="18" t="s">
        <v>1414</v>
      </c>
      <c r="O5" s="18" t="s">
        <v>1415</v>
      </c>
      <c r="P5" s="18" t="s">
        <v>1416</v>
      </c>
      <c r="Q5" s="15" t="s">
        <v>28</v>
      </c>
      <c r="R5" s="18" t="s">
        <v>1417</v>
      </c>
    </row>
    <row r="6" customFormat="false" ht="91.5" hidden="false" customHeight="true" outlineLevel="0" collapsed="false">
      <c r="A6" s="8" t="s">
        <v>160</v>
      </c>
      <c r="B6" s="8" t="s">
        <v>1418</v>
      </c>
      <c r="C6" s="8" t="s">
        <v>1419</v>
      </c>
      <c r="D6" s="11" t="s">
        <v>1420</v>
      </c>
      <c r="E6" s="8" t="s">
        <v>1421</v>
      </c>
      <c r="F6" s="11" t="s">
        <v>1422</v>
      </c>
      <c r="G6" s="11" t="s">
        <v>1423</v>
      </c>
      <c r="H6" s="11" t="s">
        <v>1424</v>
      </c>
      <c r="I6" s="11" t="s">
        <v>1425</v>
      </c>
      <c r="J6" s="11" t="s">
        <v>1426</v>
      </c>
      <c r="K6" s="11" t="s">
        <v>1427</v>
      </c>
      <c r="L6" s="11" t="s">
        <v>1428</v>
      </c>
      <c r="M6" s="11" t="s">
        <v>1429</v>
      </c>
      <c r="N6" s="11" t="s">
        <v>1430</v>
      </c>
      <c r="O6" s="11" t="s">
        <v>1431</v>
      </c>
      <c r="P6" s="11" t="s">
        <v>1432</v>
      </c>
      <c r="Q6" s="8" t="s">
        <v>28</v>
      </c>
      <c r="R6" s="11" t="s">
        <v>1433</v>
      </c>
    </row>
    <row r="7" customFormat="false" ht="91.5" hidden="false" customHeight="true" outlineLevel="0" collapsed="false">
      <c r="A7" s="15" t="s">
        <v>394</v>
      </c>
      <c r="B7" s="15" t="s">
        <v>1418</v>
      </c>
      <c r="C7" s="15" t="s">
        <v>1434</v>
      </c>
      <c r="D7" s="18" t="s">
        <v>1435</v>
      </c>
      <c r="E7" s="15" t="s">
        <v>1436</v>
      </c>
      <c r="F7" s="18" t="s">
        <v>1437</v>
      </c>
      <c r="G7" s="18" t="s">
        <v>1438</v>
      </c>
      <c r="H7" s="18" t="s">
        <v>1439</v>
      </c>
      <c r="I7" s="18" t="s">
        <v>1440</v>
      </c>
      <c r="J7" s="18" t="s">
        <v>1441</v>
      </c>
      <c r="K7" s="18" t="s">
        <v>1442</v>
      </c>
      <c r="L7" s="18" t="s">
        <v>1443</v>
      </c>
      <c r="M7" s="18" t="s">
        <v>400</v>
      </c>
      <c r="N7" s="18" t="s">
        <v>1444</v>
      </c>
      <c r="O7" s="18" t="s">
        <v>1445</v>
      </c>
      <c r="P7" s="18" t="s">
        <v>1446</v>
      </c>
      <c r="Q7" s="15" t="s">
        <v>28</v>
      </c>
      <c r="R7" s="18" t="s">
        <v>1447</v>
      </c>
    </row>
    <row r="8" customFormat="false" ht="91.5" hidden="false" customHeight="true" outlineLevel="0" collapsed="false">
      <c r="A8" s="8" t="s">
        <v>1448</v>
      </c>
      <c r="B8" s="8" t="s">
        <v>1388</v>
      </c>
      <c r="C8" s="8" t="s">
        <v>1449</v>
      </c>
      <c r="D8" s="11" t="s">
        <v>1450</v>
      </c>
      <c r="E8" s="8" t="s">
        <v>1391</v>
      </c>
      <c r="F8" s="11" t="s">
        <v>1451</v>
      </c>
      <c r="G8" s="11" t="s">
        <v>1407</v>
      </c>
      <c r="H8" s="11" t="s">
        <v>1452</v>
      </c>
      <c r="I8" s="11" t="s">
        <v>1453</v>
      </c>
      <c r="J8" s="11" t="s">
        <v>1454</v>
      </c>
      <c r="K8" s="11" t="s">
        <v>1455</v>
      </c>
      <c r="L8" s="11" t="s">
        <v>1456</v>
      </c>
      <c r="M8" s="11" t="s">
        <v>1457</v>
      </c>
      <c r="N8" s="11" t="s">
        <v>1458</v>
      </c>
      <c r="O8" s="11" t="s">
        <v>1459</v>
      </c>
      <c r="P8" s="11" t="s">
        <v>1460</v>
      </c>
      <c r="Q8" s="8" t="s">
        <v>28</v>
      </c>
      <c r="R8" s="11" t="s">
        <v>1461</v>
      </c>
    </row>
    <row r="9" customFormat="false" ht="91.5" hidden="false" customHeight="true" outlineLevel="0" collapsed="false">
      <c r="A9" s="15" t="s">
        <v>1462</v>
      </c>
      <c r="B9" s="15" t="s">
        <v>1463</v>
      </c>
      <c r="C9" s="15" t="s">
        <v>1464</v>
      </c>
      <c r="D9" s="18" t="s">
        <v>745</v>
      </c>
      <c r="E9" s="15" t="s">
        <v>745</v>
      </c>
      <c r="F9" s="18" t="s">
        <v>1465</v>
      </c>
      <c r="G9" s="18" t="s">
        <v>1466</v>
      </c>
      <c r="H9" s="18" t="s">
        <v>1466</v>
      </c>
      <c r="I9" s="18" t="s">
        <v>1467</v>
      </c>
      <c r="J9" s="18" t="s">
        <v>1468</v>
      </c>
      <c r="K9" s="18" t="s">
        <v>1466</v>
      </c>
      <c r="L9" s="18" t="s">
        <v>1469</v>
      </c>
      <c r="M9" s="18" t="s">
        <v>1470</v>
      </c>
      <c r="N9" s="18" t="s">
        <v>1471</v>
      </c>
      <c r="O9" s="18" t="s">
        <v>1472</v>
      </c>
      <c r="P9" s="18" t="s">
        <v>1473</v>
      </c>
      <c r="Q9" s="15" t="s">
        <v>28</v>
      </c>
      <c r="R9" s="18" t="s">
        <v>1474</v>
      </c>
    </row>
    <row r="10" customFormat="false" ht="91.5" hidden="false" customHeight="true" outlineLevel="0" collapsed="false">
      <c r="A10" s="8" t="s">
        <v>1475</v>
      </c>
      <c r="B10" s="8" t="s">
        <v>1388</v>
      </c>
      <c r="C10" s="8" t="s">
        <v>1476</v>
      </c>
      <c r="D10" s="11" t="s">
        <v>1477</v>
      </c>
      <c r="E10" s="8" t="s">
        <v>1391</v>
      </c>
      <c r="F10" s="11" t="s">
        <v>1406</v>
      </c>
      <c r="G10" s="11" t="s">
        <v>1478</v>
      </c>
      <c r="H10" s="11" t="s">
        <v>1479</v>
      </c>
      <c r="I10" s="11" t="s">
        <v>1480</v>
      </c>
      <c r="J10" s="11" t="s">
        <v>1025</v>
      </c>
      <c r="K10" s="11" t="s">
        <v>1411</v>
      </c>
      <c r="L10" s="11" t="s">
        <v>1481</v>
      </c>
      <c r="M10" s="11" t="s">
        <v>1482</v>
      </c>
      <c r="N10" s="11" t="s">
        <v>1483</v>
      </c>
      <c r="O10" s="11" t="s">
        <v>1484</v>
      </c>
      <c r="P10" s="11" t="s">
        <v>1485</v>
      </c>
      <c r="Q10" s="8" t="s">
        <v>28</v>
      </c>
      <c r="R10" s="11" t="s">
        <v>1486</v>
      </c>
    </row>
    <row r="11" customFormat="false" ht="91.5" hidden="false" customHeight="true" outlineLevel="0" collapsed="false">
      <c r="A11" s="15" t="s">
        <v>578</v>
      </c>
      <c r="B11" s="15" t="s">
        <v>1487</v>
      </c>
      <c r="C11" s="15" t="s">
        <v>1488</v>
      </c>
      <c r="D11" s="18" t="s">
        <v>745</v>
      </c>
      <c r="E11" s="15" t="s">
        <v>745</v>
      </c>
      <c r="F11" s="18" t="s">
        <v>1465</v>
      </c>
      <c r="G11" s="18" t="s">
        <v>1466</v>
      </c>
      <c r="H11" s="18" t="s">
        <v>1466</v>
      </c>
      <c r="I11" s="18" t="s">
        <v>1489</v>
      </c>
      <c r="J11" s="18" t="s">
        <v>1490</v>
      </c>
      <c r="K11" s="18" t="s">
        <v>1466</v>
      </c>
      <c r="L11" s="18" t="s">
        <v>1491</v>
      </c>
      <c r="M11" s="18" t="s">
        <v>1482</v>
      </c>
      <c r="N11" s="18" t="s">
        <v>1414</v>
      </c>
      <c r="O11" s="18" t="s">
        <v>1492</v>
      </c>
      <c r="P11" s="18" t="s">
        <v>1493</v>
      </c>
      <c r="Q11" s="15" t="s">
        <v>30</v>
      </c>
      <c r="R11" s="18" t="s">
        <v>1494</v>
      </c>
    </row>
    <row r="12" customFormat="false" ht="91.5" hidden="false" customHeight="true" outlineLevel="0" collapsed="false">
      <c r="A12" s="8" t="s">
        <v>596</v>
      </c>
      <c r="B12" s="8" t="s">
        <v>1487</v>
      </c>
      <c r="C12" s="8" t="s">
        <v>1495</v>
      </c>
      <c r="D12" s="11" t="s">
        <v>745</v>
      </c>
      <c r="E12" s="8" t="s">
        <v>745</v>
      </c>
      <c r="F12" s="11" t="s">
        <v>1496</v>
      </c>
      <c r="G12" s="11" t="s">
        <v>1466</v>
      </c>
      <c r="H12" s="11" t="s">
        <v>1466</v>
      </c>
      <c r="I12" s="11" t="s">
        <v>1497</v>
      </c>
      <c r="J12" s="11" t="s">
        <v>1498</v>
      </c>
      <c r="K12" s="11" t="s">
        <v>1499</v>
      </c>
      <c r="L12" s="11" t="s">
        <v>1500</v>
      </c>
      <c r="M12" s="11" t="s">
        <v>1482</v>
      </c>
      <c r="N12" s="11" t="s">
        <v>1501</v>
      </c>
      <c r="O12" s="11" t="s">
        <v>1466</v>
      </c>
      <c r="P12" s="11" t="s">
        <v>1502</v>
      </c>
      <c r="Q12" s="8" t="s">
        <v>28</v>
      </c>
      <c r="R12" s="11" t="s">
        <v>1503</v>
      </c>
    </row>
    <row r="13" customFormat="false" ht="91.5" hidden="false" customHeight="true" outlineLevel="0" collapsed="false">
      <c r="A13" s="15" t="s">
        <v>1504</v>
      </c>
      <c r="B13" s="15" t="s">
        <v>1505</v>
      </c>
      <c r="C13" s="15" t="s">
        <v>1506</v>
      </c>
      <c r="D13" s="18" t="s">
        <v>1507</v>
      </c>
      <c r="E13" s="15" t="s">
        <v>1508</v>
      </c>
      <c r="F13" s="18" t="s">
        <v>1509</v>
      </c>
      <c r="G13" s="18" t="s">
        <v>1411</v>
      </c>
      <c r="H13" s="18" t="s">
        <v>1510</v>
      </c>
      <c r="I13" s="18" t="s">
        <v>1511</v>
      </c>
      <c r="J13" s="18" t="s">
        <v>655</v>
      </c>
      <c r="K13" s="18" t="s">
        <v>1466</v>
      </c>
      <c r="L13" s="18" t="s">
        <v>1512</v>
      </c>
      <c r="M13" s="18" t="s">
        <v>1482</v>
      </c>
      <c r="N13" s="18" t="s">
        <v>1513</v>
      </c>
      <c r="O13" s="18" t="s">
        <v>1514</v>
      </c>
      <c r="P13" s="18" t="s">
        <v>1515</v>
      </c>
      <c r="Q13" s="15" t="s">
        <v>30</v>
      </c>
      <c r="R13" s="18" t="s">
        <v>1417</v>
      </c>
    </row>
    <row r="14" customFormat="false" ht="91.5" hidden="false" customHeight="true" outlineLevel="0" collapsed="false">
      <c r="A14" s="8" t="s">
        <v>1307</v>
      </c>
      <c r="B14" s="8" t="s">
        <v>1516</v>
      </c>
      <c r="C14" s="8" t="s">
        <v>745</v>
      </c>
      <c r="D14" s="11" t="s">
        <v>1466</v>
      </c>
      <c r="E14" s="8" t="s">
        <v>1517</v>
      </c>
      <c r="F14" s="11" t="s">
        <v>1518</v>
      </c>
      <c r="G14" s="11" t="s">
        <v>1519</v>
      </c>
      <c r="H14" s="11" t="s">
        <v>1510</v>
      </c>
      <c r="I14" s="11" t="s">
        <v>1520</v>
      </c>
      <c r="J14" s="11" t="s">
        <v>1521</v>
      </c>
      <c r="K14" s="11" t="s">
        <v>1522</v>
      </c>
      <c r="L14" s="11" t="s">
        <v>1523</v>
      </c>
      <c r="M14" s="11" t="s">
        <v>1482</v>
      </c>
      <c r="N14" s="11" t="s">
        <v>1414</v>
      </c>
      <c r="O14" s="11" t="s">
        <v>1524</v>
      </c>
      <c r="P14" s="11" t="s">
        <v>1525</v>
      </c>
      <c r="Q14" s="8" t="s">
        <v>28</v>
      </c>
      <c r="R14" s="11" t="s">
        <v>1526</v>
      </c>
    </row>
    <row r="15" customFormat="false" ht="91.5" hidden="false" customHeight="true" outlineLevel="0" collapsed="false">
      <c r="A15" s="15" t="s">
        <v>1527</v>
      </c>
      <c r="B15" s="15" t="s">
        <v>1516</v>
      </c>
      <c r="C15" s="15" t="s">
        <v>745</v>
      </c>
      <c r="D15" s="18" t="s">
        <v>1466</v>
      </c>
      <c r="E15" s="15" t="s">
        <v>1528</v>
      </c>
      <c r="F15" s="18" t="s">
        <v>1529</v>
      </c>
      <c r="G15" s="18" t="s">
        <v>1466</v>
      </c>
      <c r="H15" s="18" t="s">
        <v>1510</v>
      </c>
      <c r="I15" s="18" t="s">
        <v>1530</v>
      </c>
      <c r="J15" s="18" t="s">
        <v>791</v>
      </c>
      <c r="K15" s="18" t="s">
        <v>1466</v>
      </c>
      <c r="L15" s="18" t="s">
        <v>1531</v>
      </c>
      <c r="M15" s="18" t="s">
        <v>828</v>
      </c>
      <c r="N15" s="18" t="s">
        <v>1532</v>
      </c>
      <c r="O15" s="18" t="s">
        <v>1533</v>
      </c>
      <c r="P15" s="18" t="s">
        <v>1534</v>
      </c>
      <c r="Q15" s="15" t="s">
        <v>28</v>
      </c>
      <c r="R15" s="18" t="s">
        <v>1535</v>
      </c>
    </row>
    <row r="16" customFormat="false" ht="91.5" hidden="false" customHeight="true" outlineLevel="0" collapsed="false">
      <c r="A16" s="8" t="s">
        <v>991</v>
      </c>
      <c r="B16" s="8" t="s">
        <v>1516</v>
      </c>
      <c r="C16" s="8" t="s">
        <v>745</v>
      </c>
      <c r="D16" s="11" t="s">
        <v>1536</v>
      </c>
      <c r="E16" s="8" t="s">
        <v>1517</v>
      </c>
      <c r="F16" s="11" t="s">
        <v>1537</v>
      </c>
      <c r="G16" s="11" t="s">
        <v>1466</v>
      </c>
      <c r="H16" s="11" t="s">
        <v>1510</v>
      </c>
      <c r="I16" s="11" t="s">
        <v>1538</v>
      </c>
      <c r="J16" s="11" t="s">
        <v>985</v>
      </c>
      <c r="K16" s="11" t="s">
        <v>1466</v>
      </c>
      <c r="L16" s="11" t="s">
        <v>1539</v>
      </c>
      <c r="M16" s="11" t="s">
        <v>1482</v>
      </c>
      <c r="N16" s="11" t="s">
        <v>1540</v>
      </c>
      <c r="O16" s="11" t="s">
        <v>1541</v>
      </c>
      <c r="P16" s="11" t="s">
        <v>1542</v>
      </c>
      <c r="Q16" s="8" t="s">
        <v>30</v>
      </c>
      <c r="R16" s="11" t="s">
        <v>1543</v>
      </c>
    </row>
    <row r="17" customFormat="false" ht="91.5" hidden="false" customHeight="true" outlineLevel="0" collapsed="false">
      <c r="A17" s="15" t="s">
        <v>1005</v>
      </c>
      <c r="B17" s="15" t="s">
        <v>1516</v>
      </c>
      <c r="C17" s="15" t="s">
        <v>745</v>
      </c>
      <c r="D17" s="18" t="s">
        <v>1466</v>
      </c>
      <c r="E17" s="15" t="s">
        <v>1517</v>
      </c>
      <c r="F17" s="18" t="s">
        <v>1544</v>
      </c>
      <c r="G17" s="18" t="s">
        <v>1466</v>
      </c>
      <c r="H17" s="18" t="s">
        <v>1510</v>
      </c>
      <c r="I17" s="18" t="s">
        <v>1545</v>
      </c>
      <c r="J17" s="18" t="s">
        <v>1546</v>
      </c>
      <c r="K17" s="18" t="s">
        <v>1466</v>
      </c>
      <c r="L17" s="18" t="s">
        <v>1547</v>
      </c>
      <c r="M17" s="18" t="s">
        <v>1548</v>
      </c>
      <c r="N17" s="18" t="s">
        <v>1549</v>
      </c>
      <c r="O17" s="18" t="s">
        <v>1550</v>
      </c>
      <c r="P17" s="18" t="s">
        <v>1551</v>
      </c>
      <c r="Q17" s="15" t="s">
        <v>30</v>
      </c>
      <c r="R17" s="18" t="s">
        <v>1552</v>
      </c>
    </row>
    <row r="18" customFormat="false" ht="91.5" hidden="false" customHeight="true" outlineLevel="0" collapsed="false">
      <c r="A18" s="8" t="s">
        <v>621</v>
      </c>
      <c r="B18" s="8" t="s">
        <v>1516</v>
      </c>
      <c r="C18" s="8" t="s">
        <v>745</v>
      </c>
      <c r="D18" s="11" t="s">
        <v>1466</v>
      </c>
      <c r="E18" s="8" t="s">
        <v>1553</v>
      </c>
      <c r="F18" s="11" t="s">
        <v>1554</v>
      </c>
      <c r="G18" s="11" t="s">
        <v>1555</v>
      </c>
      <c r="H18" s="11" t="s">
        <v>1510</v>
      </c>
      <c r="I18" s="11" t="s">
        <v>1556</v>
      </c>
      <c r="J18" s="11" t="s">
        <v>630</v>
      </c>
      <c r="K18" s="11" t="s">
        <v>1466</v>
      </c>
      <c r="L18" s="11" t="s">
        <v>1557</v>
      </c>
      <c r="M18" s="11" t="s">
        <v>1482</v>
      </c>
      <c r="N18" s="11" t="s">
        <v>1414</v>
      </c>
      <c r="O18" s="11" t="s">
        <v>1558</v>
      </c>
      <c r="P18" s="11" t="s">
        <v>1559</v>
      </c>
      <c r="Q18" s="8" t="s">
        <v>30</v>
      </c>
      <c r="R18" s="11" t="s">
        <v>1560</v>
      </c>
    </row>
    <row r="19" customFormat="false" ht="91.5" hidden="false" customHeight="true" outlineLevel="0" collapsed="false">
      <c r="A19" s="15" t="s">
        <v>1561</v>
      </c>
      <c r="B19" s="15" t="s">
        <v>1562</v>
      </c>
      <c r="C19" s="15" t="s">
        <v>1563</v>
      </c>
      <c r="D19" s="18" t="s">
        <v>1564</v>
      </c>
      <c r="E19" s="15" t="s">
        <v>1565</v>
      </c>
      <c r="F19" s="18" t="s">
        <v>1566</v>
      </c>
      <c r="G19" s="18" t="s">
        <v>1567</v>
      </c>
      <c r="H19" s="18" t="s">
        <v>1568</v>
      </c>
      <c r="I19" s="18" t="s">
        <v>1569</v>
      </c>
      <c r="J19" s="18" t="s">
        <v>756</v>
      </c>
      <c r="K19" s="18" t="s">
        <v>1466</v>
      </c>
      <c r="L19" s="18" t="s">
        <v>1570</v>
      </c>
      <c r="M19" s="18" t="s">
        <v>1482</v>
      </c>
      <c r="N19" s="18" t="s">
        <v>1414</v>
      </c>
      <c r="O19" s="18" t="s">
        <v>1466</v>
      </c>
      <c r="P19" s="18" t="s">
        <v>1571</v>
      </c>
      <c r="Q19" s="15" t="s">
        <v>32</v>
      </c>
      <c r="R19" s="18" t="s">
        <v>1572</v>
      </c>
    </row>
    <row r="20" customFormat="false" ht="91.5" hidden="false" customHeight="true" outlineLevel="0" collapsed="false">
      <c r="A20" s="8" t="s">
        <v>1573</v>
      </c>
      <c r="B20" s="8" t="s">
        <v>1574</v>
      </c>
      <c r="C20" s="8" t="s">
        <v>745</v>
      </c>
      <c r="D20" s="11" t="s">
        <v>745</v>
      </c>
      <c r="E20" s="8" t="s">
        <v>1517</v>
      </c>
      <c r="F20" s="11" t="s">
        <v>1575</v>
      </c>
      <c r="G20" s="11" t="s">
        <v>1576</v>
      </c>
      <c r="H20" s="11" t="s">
        <v>1576</v>
      </c>
      <c r="I20" s="11" t="s">
        <v>1577</v>
      </c>
      <c r="J20" s="11" t="s">
        <v>1578</v>
      </c>
      <c r="K20" s="11" t="s">
        <v>1575</v>
      </c>
      <c r="L20" s="11" t="s">
        <v>1576</v>
      </c>
      <c r="M20" s="11" t="s">
        <v>745</v>
      </c>
      <c r="N20" s="11" t="s">
        <v>1579</v>
      </c>
      <c r="O20" s="11" t="s">
        <v>745</v>
      </c>
      <c r="P20" s="11" t="s">
        <v>1580</v>
      </c>
      <c r="Q20" s="8" t="s">
        <v>28</v>
      </c>
      <c r="R20" s="11" t="s">
        <v>1581</v>
      </c>
    </row>
  </sheetData>
  <autoFilter ref="A3:R20"/>
  <mergeCells count="2">
    <mergeCell ref="A1:L1"/>
    <mergeCell ref="A2:N2"/>
  </mergeCells>
  <conditionalFormatting sqref="Q4:Q20">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6" min="2" style="0" width="12"/>
    <col collapsed="false" customWidth="true" hidden="false" outlineLevel="0" max="7" min="7" style="0" width="15"/>
    <col collapsed="false" customWidth="true" hidden="false" outlineLevel="0" max="9" min="8" style="0" width="13"/>
    <col collapsed="false" customWidth="true" hidden="false" outlineLevel="0" max="10" min="10" style="0" width="16"/>
    <col collapsed="false" customWidth="true" hidden="false" outlineLevel="0" max="11" min="11" style="0" width="13"/>
    <col collapsed="false" customWidth="true" hidden="false" outlineLevel="0" max="12" min="12" style="0" width="16"/>
  </cols>
  <sheetData>
    <row r="1" customFormat="false" ht="21.75" hidden="false" customHeight="true" outlineLevel="0" collapsed="false">
      <c r="A1" s="1" t="s">
        <v>1582</v>
      </c>
      <c r="B1" s="1"/>
      <c r="C1" s="1"/>
      <c r="D1" s="1"/>
      <c r="E1" s="1"/>
      <c r="F1" s="1"/>
      <c r="G1" s="1"/>
      <c r="H1" s="1"/>
      <c r="I1" s="1"/>
      <c r="J1" s="1"/>
      <c r="K1" s="1"/>
      <c r="L1" s="1"/>
    </row>
    <row r="2" customFormat="false" ht="13.5" hidden="false" customHeight="true" outlineLevel="0" collapsed="false">
      <c r="A2" s="2" t="s">
        <v>1583</v>
      </c>
      <c r="B2" s="2"/>
      <c r="C2" s="2"/>
      <c r="D2" s="2"/>
      <c r="E2" s="2"/>
      <c r="F2" s="2"/>
      <c r="G2" s="2"/>
      <c r="H2" s="2"/>
      <c r="I2" s="2"/>
      <c r="J2" s="2"/>
      <c r="K2" s="2"/>
      <c r="L2" s="2"/>
    </row>
    <row r="3" customFormat="false" ht="42" hidden="false" customHeight="true" outlineLevel="0" collapsed="false">
      <c r="A3" s="7" t="s">
        <v>1584</v>
      </c>
      <c r="B3" s="7" t="s">
        <v>1585</v>
      </c>
      <c r="C3" s="7" t="s">
        <v>1586</v>
      </c>
      <c r="D3" s="7" t="s">
        <v>1587</v>
      </c>
      <c r="E3" s="7" t="s">
        <v>1588</v>
      </c>
      <c r="F3" s="7" t="s">
        <v>1589</v>
      </c>
      <c r="G3" s="7" t="s">
        <v>1590</v>
      </c>
      <c r="H3" s="7" t="s">
        <v>1591</v>
      </c>
      <c r="I3" s="7" t="s">
        <v>1592</v>
      </c>
      <c r="J3" s="7" t="s">
        <v>1593</v>
      </c>
      <c r="K3" s="7" t="s">
        <v>1594</v>
      </c>
      <c r="L3" s="7" t="s">
        <v>1595</v>
      </c>
    </row>
    <row r="4" customFormat="false" ht="15" hidden="false" customHeight="false" outlineLevel="0" collapsed="false">
      <c r="A4" s="8" t="s">
        <v>1596</v>
      </c>
      <c r="B4" s="9" t="n">
        <v>9000</v>
      </c>
      <c r="C4" s="9" t="n">
        <v>94000</v>
      </c>
      <c r="D4" s="9" t="n">
        <v>180000</v>
      </c>
      <c r="E4" s="9" t="n">
        <v>237929</v>
      </c>
      <c r="F4" s="9" t="n">
        <v>341513</v>
      </c>
      <c r="G4" s="9" t="n">
        <v>55477</v>
      </c>
      <c r="H4" s="34" t="n">
        <f aca="false">IFERROR(F4/F$13,"n/a")</f>
        <v>0.243621497227172</v>
      </c>
      <c r="I4" s="34" t="n">
        <f aca="false">IFERROR(E4/E$13,"n/a")</f>
        <v>0.206752752457008</v>
      </c>
      <c r="J4" s="35" t="n">
        <f aca="false">IFERROR((F4/F$13-E4/E$13)*100,"n/a")</f>
        <v>3.68687447701643</v>
      </c>
      <c r="K4" s="36" t="n">
        <f aca="false">IFERROR(F4/E4-1,"n/a")</f>
        <v>0.435356766094087</v>
      </c>
      <c r="L4" s="34" t="n">
        <f aca="false">IFERROR((F4/B4)^(1/4)-1,"n/a")</f>
        <v>1.48193945307472</v>
      </c>
    </row>
    <row r="5" customFormat="false" ht="15" hidden="false" customHeight="false" outlineLevel="0" collapsed="false">
      <c r="A5" s="15" t="s">
        <v>354</v>
      </c>
      <c r="B5" s="16" t="n">
        <v>4000</v>
      </c>
      <c r="C5" s="16" t="n">
        <v>36000</v>
      </c>
      <c r="D5" s="16" t="n">
        <v>116000</v>
      </c>
      <c r="E5" s="16" t="n">
        <v>231172</v>
      </c>
      <c r="F5" s="16" t="n">
        <v>289349</v>
      </c>
      <c r="G5" s="16" t="n">
        <v>45592</v>
      </c>
      <c r="H5" s="37" t="n">
        <f aca="false">IFERROR(F5/F$13,"n/a")</f>
        <v>0.206409819249004</v>
      </c>
      <c r="I5" s="37" t="n">
        <f aca="false">IFERROR(E5/E$13,"n/a")</f>
        <v>0.200881133829804</v>
      </c>
      <c r="J5" s="38" t="n">
        <f aca="false">IFERROR((F5/F$13-E5/E$13)*100,"n/a")</f>
        <v>0.55286854191999</v>
      </c>
      <c r="K5" s="39" t="n">
        <f aca="false">IFERROR(F5/E5-1,"n/a")</f>
        <v>0.25166110082536</v>
      </c>
      <c r="L5" s="37" t="n">
        <f aca="false">IFERROR((F5/B5)^(1/4)-1,"n/a")</f>
        <v>1.91635574037234</v>
      </c>
    </row>
    <row r="6" customFormat="false" ht="15" hidden="false" customHeight="false" outlineLevel="0" collapsed="false">
      <c r="A6" s="8" t="s">
        <v>160</v>
      </c>
      <c r="B6" s="9" t="n">
        <v>20000</v>
      </c>
      <c r="C6" s="9" t="n">
        <v>92000</v>
      </c>
      <c r="D6" s="9" t="n">
        <v>109000</v>
      </c>
      <c r="E6" s="9" t="n">
        <v>131172</v>
      </c>
      <c r="F6" s="9" t="n">
        <v>239178</v>
      </c>
      <c r="G6" s="9" t="n">
        <v>29500</v>
      </c>
      <c r="H6" s="34" t="n">
        <f aca="false">IFERROR(F6/F$13,"n/a")</f>
        <v>0.170619866487661</v>
      </c>
      <c r="I6" s="34" t="n">
        <f aca="false">IFERROR(E6/E$13,"n/a")</f>
        <v>0.113984306432972</v>
      </c>
      <c r="J6" s="35" t="n">
        <f aca="false">IFERROR((F6/F$13-E6/E$13)*100,"n/a")</f>
        <v>5.66355600546889</v>
      </c>
      <c r="K6" s="36" t="n">
        <f aca="false">IFERROR(F6/E6-1,"n/a")</f>
        <v>0.823392187357058</v>
      </c>
      <c r="L6" s="34" t="n">
        <f aca="false">IFERROR((F6/B6)^(1/4)-1,"n/a")</f>
        <v>0.859614006425764</v>
      </c>
    </row>
    <row r="7" customFormat="false" ht="15" hidden="false" customHeight="false" outlineLevel="0" collapsed="false">
      <c r="A7" s="15" t="s">
        <v>394</v>
      </c>
      <c r="B7" s="16" t="n">
        <v>14000</v>
      </c>
      <c r="C7" s="16" t="n">
        <v>152000</v>
      </c>
      <c r="D7" s="16" t="n">
        <v>329000</v>
      </c>
      <c r="E7" s="16" t="n">
        <v>344300</v>
      </c>
      <c r="F7" s="16" t="n">
        <v>164295</v>
      </c>
      <c r="G7" s="16" t="n">
        <v>14102</v>
      </c>
      <c r="H7" s="37" t="n">
        <f aca="false">IFERROR(F7/F$13,"n/a")</f>
        <v>0.117201377068921</v>
      </c>
      <c r="I7" s="37" t="n">
        <f aca="false">IFERROR(E7/E$13,"n/a")</f>
        <v>0.299185776727292</v>
      </c>
      <c r="J7" s="38" t="n">
        <f aca="false">IFERROR((F7/F$13-E7/E$13)*100,"n/a")</f>
        <v>-18.1984399658371</v>
      </c>
      <c r="K7" s="39" t="n">
        <f aca="false">IFERROR(F7/E7-1,"n/a")</f>
        <v>-0.522814406041243</v>
      </c>
      <c r="L7" s="37" t="n">
        <f aca="false">IFERROR((F7/B7)^(1/4)-1,"n/a")</f>
        <v>0.85086216507851</v>
      </c>
    </row>
    <row r="8" customFormat="false" ht="15" hidden="false" customHeight="false" outlineLevel="0" collapsed="false">
      <c r="A8" s="8" t="s">
        <v>1448</v>
      </c>
      <c r="B8" s="9" t="n">
        <v>0</v>
      </c>
      <c r="C8" s="9" t="n">
        <v>3000</v>
      </c>
      <c r="D8" s="9" t="n">
        <v>25000</v>
      </c>
      <c r="E8" s="9" t="n">
        <v>48738</v>
      </c>
      <c r="F8" s="9" t="n">
        <v>144330</v>
      </c>
      <c r="G8" s="9" t="n">
        <v>22883</v>
      </c>
      <c r="H8" s="34" t="n">
        <f aca="false">IFERROR(F8/F$13,"n/a")</f>
        <v>0.102959157322848</v>
      </c>
      <c r="I8" s="34" t="n">
        <f aca="false">IFERROR(E8/E$13,"n/a")</f>
        <v>0.0423517757366679</v>
      </c>
      <c r="J8" s="35" t="n">
        <f aca="false">IFERROR((F8/F$13-E8/E$13)*100,"n/a")</f>
        <v>6.06073815861801</v>
      </c>
      <c r="K8" s="36" t="n">
        <f aca="false">IFERROR(F8/E8-1,"n/a")</f>
        <v>1.96134433091222</v>
      </c>
      <c r="L8" s="34" t="str">
        <f aca="false">IFERROR((F8/B8)^(1/4)-1,"n/a")</f>
        <v>n/a</v>
      </c>
    </row>
    <row r="9" customFormat="false" ht="15" hidden="false" customHeight="false" outlineLevel="0" collapsed="false">
      <c r="A9" s="15" t="s">
        <v>1597</v>
      </c>
      <c r="B9" s="16" t="n">
        <v>24000</v>
      </c>
      <c r="C9" s="16" t="n">
        <v>88000</v>
      </c>
      <c r="D9" s="16" t="n">
        <v>45000</v>
      </c>
      <c r="E9" s="16" t="n">
        <v>40169</v>
      </c>
      <c r="F9" s="16" t="n">
        <v>61563</v>
      </c>
      <c r="G9" s="40" t="s">
        <v>135</v>
      </c>
      <c r="H9" s="37" t="n">
        <f aca="false">IFERROR(F9/F$13,"n/a")</f>
        <v>0.0439165426610302</v>
      </c>
      <c r="I9" s="37" t="n">
        <f aca="false">IFERROR(E9/E$13,"n/a")</f>
        <v>0.0349055865970333</v>
      </c>
      <c r="J9" s="38" t="n">
        <f aca="false">IFERROR((F9/F$13-E9/E$13)*100,"n/a")</f>
        <v>0.901095606399684</v>
      </c>
      <c r="K9" s="39" t="n">
        <f aca="false">IFERROR(F9/E9-1,"n/a")</f>
        <v>0.532599765988698</v>
      </c>
      <c r="L9" s="37" t="n">
        <f aca="false">IFERROR((F9/B9)^(1/4)-1,"n/a")</f>
        <v>0.26554366251745</v>
      </c>
    </row>
    <row r="10" customFormat="false" ht="15" hidden="false" customHeight="false" outlineLevel="0" collapsed="false">
      <c r="A10" s="8" t="s">
        <v>741</v>
      </c>
      <c r="B10" s="9" t="n">
        <v>65000</v>
      </c>
      <c r="C10" s="9" t="n">
        <v>103000</v>
      </c>
      <c r="D10" s="9" t="n">
        <v>25000</v>
      </c>
      <c r="E10" s="9" t="n">
        <v>5000</v>
      </c>
      <c r="F10" s="9" t="n">
        <v>1000</v>
      </c>
      <c r="G10" s="41" t="s">
        <v>135</v>
      </c>
      <c r="H10" s="34" t="n">
        <f aca="false">IFERROR(F10/F$13,"n/a")</f>
        <v>0.00071335936619447</v>
      </c>
      <c r="I10" s="34" t="n">
        <f aca="false">IFERROR(E10/E$13,"n/a")</f>
        <v>0.00434484136984159</v>
      </c>
      <c r="J10" s="35" t="n">
        <f aca="false">IFERROR((F10/F$13-E10/E$13)*100,"n/a")</f>
        <v>-0.363148200364712</v>
      </c>
      <c r="K10" s="36" t="n">
        <f aca="false">IFERROR(F10/E10-1,"n/a")</f>
        <v>-0.8</v>
      </c>
      <c r="L10" s="34" t="n">
        <f aca="false">IFERROR((F10/B10)^(1/4)-1,"n/a")</f>
        <v>-0.647814346417676</v>
      </c>
    </row>
    <row r="11" customFormat="false" ht="15" hidden="false" customHeight="false" outlineLevel="0" collapsed="false">
      <c r="A11" s="15" t="s">
        <v>1598</v>
      </c>
      <c r="B11" s="16" t="n">
        <v>46000</v>
      </c>
      <c r="C11" s="16" t="n">
        <v>96000</v>
      </c>
      <c r="D11" s="16" t="n">
        <v>18000</v>
      </c>
      <c r="E11" s="16" t="n">
        <v>4000</v>
      </c>
      <c r="F11" s="16" t="n">
        <v>1000</v>
      </c>
      <c r="G11" s="40" t="s">
        <v>135</v>
      </c>
      <c r="H11" s="37" t="n">
        <f aca="false">IFERROR(F11/F$13,"n/a")</f>
        <v>0.00071335936619447</v>
      </c>
      <c r="I11" s="37" t="n">
        <f aca="false">IFERROR(E11/E$13,"n/a")</f>
        <v>0.00347587309587327</v>
      </c>
      <c r="J11" s="38" t="n">
        <f aca="false">IFERROR((F11/F$13-E11/E$13)*100,"n/a")</f>
        <v>-0.27625137296788</v>
      </c>
      <c r="K11" s="39" t="n">
        <f aca="false">IFERROR(F11/E11-1,"n/a")</f>
        <v>-0.75</v>
      </c>
      <c r="L11" s="37" t="n">
        <f aca="false">IFERROR((F11/B11)^(1/4)-1,"n/a")</f>
        <v>-0.616018286692065</v>
      </c>
    </row>
    <row r="12" customFormat="false" ht="15" hidden="false" customHeight="false" outlineLevel="0" collapsed="false">
      <c r="A12" s="8" t="s">
        <v>1599</v>
      </c>
      <c r="B12" s="9" t="n">
        <v>49000</v>
      </c>
      <c r="C12" s="9" t="n">
        <v>64000</v>
      </c>
      <c r="D12" s="9" t="n">
        <v>100000</v>
      </c>
      <c r="E12" s="9" t="n">
        <v>108310</v>
      </c>
      <c r="F12" s="9" t="n">
        <v>159590</v>
      </c>
      <c r="G12" s="41" t="s">
        <v>135</v>
      </c>
      <c r="H12" s="34" t="n">
        <f aca="false">IFERROR(F12/F$13,"n/a")</f>
        <v>0.113845021250976</v>
      </c>
      <c r="I12" s="34" t="n">
        <f aca="false">IFERROR(E12/E$13,"n/a")</f>
        <v>0.0941179537535085</v>
      </c>
      <c r="J12" s="35" t="n">
        <f aca="false">IFERROR((F12/F$13-E12/E$13)*100,"n/a")</f>
        <v>1.97270674974671</v>
      </c>
      <c r="K12" s="36" t="n">
        <f aca="false">IFERROR(F12/E12-1,"n/a")</f>
        <v>0.473455821253809</v>
      </c>
      <c r="L12" s="34" t="n">
        <f aca="false">IFERROR((F12/B12)^(1/4)-1,"n/a")</f>
        <v>0.343390889393673</v>
      </c>
    </row>
    <row r="13" customFormat="false" ht="15" hidden="false" customHeight="false" outlineLevel="0" collapsed="false">
      <c r="A13" s="15" t="s">
        <v>1600</v>
      </c>
      <c r="B13" s="40" t="n">
        <f aca="false">SUM(B4:B12)</f>
        <v>231000</v>
      </c>
      <c r="C13" s="40" t="n">
        <f aca="false">SUM(C4:C12)</f>
        <v>728000</v>
      </c>
      <c r="D13" s="40" t="n">
        <f aca="false">SUM(D4:D12)</f>
        <v>947000</v>
      </c>
      <c r="E13" s="40" t="n">
        <f aca="false">SUM(E4:E12)</f>
        <v>1150790</v>
      </c>
      <c r="F13" s="40" t="n">
        <f aca="false">SUM(F4:F12)</f>
        <v>1401818</v>
      </c>
      <c r="G13" s="40" t="n">
        <f aca="false">SUM(G4:G12)</f>
        <v>167554</v>
      </c>
      <c r="H13" s="42" t="n">
        <f aca="false">IFERROR(F13/F$13,"n/a")</f>
        <v>1</v>
      </c>
      <c r="I13" s="42" t="n">
        <f aca="false">IFERROR(E13/E$13,"n/a")</f>
        <v>1</v>
      </c>
      <c r="J13" s="43" t="n">
        <f aca="false">IFERROR((F13/F$13-E13/E$13)*100,"n/a")</f>
        <v>0</v>
      </c>
      <c r="K13" s="44" t="n">
        <f aca="false">IFERROR(F13/E13-1,"n/a")</f>
        <v>0.218135367877719</v>
      </c>
      <c r="L13" s="42" t="n">
        <f aca="false">IFERROR((F13/B13)^(1/4)-1,"n/a")</f>
        <v>0.569531054785787</v>
      </c>
    </row>
    <row r="15" customFormat="false" ht="25.5" hidden="false" customHeight="true" outlineLevel="0" collapsed="false">
      <c r="A15" s="45" t="s">
        <v>1601</v>
      </c>
      <c r="B15" s="45"/>
      <c r="C15" s="45"/>
      <c r="D15" s="45"/>
      <c r="E15" s="45"/>
      <c r="F15" s="45"/>
      <c r="G15" s="45"/>
      <c r="H15" s="45"/>
      <c r="I15" s="45"/>
      <c r="J15" s="45"/>
      <c r="K15" s="45"/>
      <c r="L15" s="45"/>
    </row>
    <row r="16" customFormat="false" ht="25.5" hidden="false" customHeight="true" outlineLevel="0" collapsed="false">
      <c r="A16" s="46" t="s">
        <v>1602</v>
      </c>
      <c r="B16" s="46"/>
      <c r="C16" s="46"/>
      <c r="D16" s="46"/>
      <c r="E16" s="46"/>
      <c r="F16" s="46"/>
      <c r="G16" s="46"/>
      <c r="H16" s="46"/>
      <c r="I16" s="46"/>
      <c r="J16" s="46"/>
      <c r="K16" s="46"/>
      <c r="L16" s="46"/>
    </row>
    <row r="17" customFormat="false" ht="25.5" hidden="false" customHeight="true" outlineLevel="0" collapsed="false">
      <c r="A17" s="46" t="s">
        <v>1603</v>
      </c>
      <c r="B17" s="46"/>
      <c r="C17" s="46"/>
      <c r="D17" s="46"/>
      <c r="E17" s="46"/>
      <c r="F17" s="46"/>
      <c r="G17" s="46"/>
      <c r="H17" s="46"/>
      <c r="I17" s="46"/>
      <c r="J17" s="46"/>
      <c r="K17" s="46"/>
      <c r="L17" s="46"/>
    </row>
    <row r="18" customFormat="false" ht="25.5" hidden="false" customHeight="true" outlineLevel="0" collapsed="false">
      <c r="A18" s="46" t="s">
        <v>1604</v>
      </c>
      <c r="B18" s="46"/>
      <c r="C18" s="46"/>
      <c r="D18" s="46"/>
      <c r="E18" s="46"/>
      <c r="F18" s="46"/>
      <c r="G18" s="46"/>
      <c r="H18" s="46"/>
      <c r="I18" s="46"/>
      <c r="J18" s="46"/>
      <c r="K18" s="46"/>
      <c r="L18" s="46"/>
    </row>
    <row r="19" customFormat="false" ht="25.5" hidden="false" customHeight="true" outlineLevel="0" collapsed="false">
      <c r="A19" s="46" t="s">
        <v>1605</v>
      </c>
      <c r="B19" s="46"/>
      <c r="C19" s="46"/>
      <c r="D19" s="46"/>
      <c r="E19" s="46"/>
      <c r="F19" s="46"/>
      <c r="G19" s="46"/>
      <c r="H19" s="46"/>
      <c r="I19" s="46"/>
      <c r="J19" s="46"/>
      <c r="K19" s="46"/>
      <c r="L19" s="46"/>
    </row>
    <row r="20" customFormat="false" ht="25.5" hidden="false" customHeight="true" outlineLevel="0" collapsed="false">
      <c r="A20" s="46" t="s">
        <v>1606</v>
      </c>
      <c r="B20" s="46"/>
      <c r="C20" s="46"/>
      <c r="D20" s="46"/>
      <c r="E20" s="46"/>
      <c r="F20" s="46"/>
      <c r="G20" s="46"/>
      <c r="H20" s="46"/>
      <c r="I20" s="46"/>
      <c r="J20" s="46"/>
      <c r="K20" s="46"/>
      <c r="L20" s="46"/>
    </row>
  </sheetData>
  <mergeCells count="8">
    <mergeCell ref="A1:L1"/>
    <mergeCell ref="A2:L2"/>
    <mergeCell ref="A15:L15"/>
    <mergeCell ref="A16:L16"/>
    <mergeCell ref="A17:L17"/>
    <mergeCell ref="A18:L18"/>
    <mergeCell ref="A19:L19"/>
    <mergeCell ref="A20:L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16"/>
    <col collapsed="false" customWidth="true" hidden="false" outlineLevel="0" max="5" min="5" style="0" width="14"/>
    <col collapsed="false" customWidth="true" hidden="false" outlineLevel="0" max="6" min="6" style="0" width="96"/>
  </cols>
  <sheetData>
    <row r="1" customFormat="false" ht="21.75" hidden="false" customHeight="true" outlineLevel="0" collapsed="false">
      <c r="A1" s="1" t="s">
        <v>1607</v>
      </c>
      <c r="B1" s="1"/>
      <c r="C1" s="1"/>
      <c r="D1" s="1"/>
      <c r="E1" s="1"/>
      <c r="F1" s="1"/>
    </row>
    <row r="2" customFormat="false" ht="13.5" hidden="false" customHeight="true" outlineLevel="0" collapsed="false">
      <c r="A2" s="2" t="s">
        <v>1608</v>
      </c>
      <c r="B2" s="2"/>
      <c r="C2" s="2"/>
      <c r="D2" s="2"/>
      <c r="E2" s="2"/>
      <c r="F2" s="2"/>
    </row>
    <row r="3" customFormat="false" ht="42" hidden="false" customHeight="true" outlineLevel="0" collapsed="false">
      <c r="A3" s="7" t="s">
        <v>1609</v>
      </c>
      <c r="B3" s="7" t="s">
        <v>1610</v>
      </c>
      <c r="C3" s="7" t="s">
        <v>1611</v>
      </c>
      <c r="D3" s="7" t="s">
        <v>1612</v>
      </c>
      <c r="E3" s="7" t="s">
        <v>1613</v>
      </c>
      <c r="F3" s="7" t="s">
        <v>1614</v>
      </c>
    </row>
    <row r="4" customFormat="false" ht="31.5" hidden="false" customHeight="true" outlineLevel="0" collapsed="false">
      <c r="A4" s="8" t="s">
        <v>1585</v>
      </c>
      <c r="B4" s="13" t="n">
        <v>231000</v>
      </c>
      <c r="C4" s="13" t="n">
        <v>13500000</v>
      </c>
      <c r="D4" s="47" t="n">
        <f aca="false">IFERROR(B4/C4,"n/a")</f>
        <v>0.0171111111111111</v>
      </c>
      <c r="E4" s="36" t="s">
        <v>135</v>
      </c>
      <c r="F4" s="11" t="s">
        <v>1615</v>
      </c>
    </row>
    <row r="5" customFormat="false" ht="31.5" hidden="false" customHeight="true" outlineLevel="0" collapsed="false">
      <c r="A5" s="15" t="s">
        <v>1586</v>
      </c>
      <c r="B5" s="20" t="n">
        <v>728000</v>
      </c>
      <c r="C5" s="20" t="n">
        <v>15900000</v>
      </c>
      <c r="D5" s="48" t="n">
        <f aca="false">IFERROR(B5/C5,"n/a")</f>
        <v>0.0457861635220126</v>
      </c>
      <c r="E5" s="39" t="n">
        <f aca="false">IFERROR(B5/B4-1,"n/a")</f>
        <v>2.15151515151515</v>
      </c>
      <c r="F5" s="18" t="s">
        <v>1616</v>
      </c>
    </row>
    <row r="6" customFormat="false" ht="31.5" hidden="false" customHeight="true" outlineLevel="0" collapsed="false">
      <c r="A6" s="8" t="s">
        <v>1587</v>
      </c>
      <c r="B6" s="13" t="n">
        <v>947000</v>
      </c>
      <c r="C6" s="13" t="n">
        <v>17970000</v>
      </c>
      <c r="D6" s="47" t="n">
        <f aca="false">IFERROR(B6/C6,"n/a")</f>
        <v>0.0526989426822482</v>
      </c>
      <c r="E6" s="36" t="n">
        <f aca="false">IFERROR(B6/B5-1,"n/a")</f>
        <v>0.300824175824176</v>
      </c>
      <c r="F6" s="11" t="s">
        <v>1617</v>
      </c>
    </row>
    <row r="7" customFormat="false" ht="31.5" hidden="false" customHeight="true" outlineLevel="0" collapsed="false">
      <c r="A7" s="15" t="s">
        <v>1588</v>
      </c>
      <c r="B7" s="20" t="n">
        <v>1150790</v>
      </c>
      <c r="C7" s="20" t="n">
        <v>18900000</v>
      </c>
      <c r="D7" s="48" t="n">
        <f aca="false">IFERROR(B7/C7,"n/a")</f>
        <v>0.0608883597883598</v>
      </c>
      <c r="E7" s="39" t="n">
        <f aca="false">IFERROR(B7/B6-1,"n/a")</f>
        <v>0.21519535374868</v>
      </c>
      <c r="F7" s="18" t="s">
        <v>1618</v>
      </c>
    </row>
    <row r="8" customFormat="false" ht="31.5" hidden="false" customHeight="true" outlineLevel="0" collapsed="false">
      <c r="A8" s="8" t="s">
        <v>1589</v>
      </c>
      <c r="B8" s="13" t="n">
        <v>1401818</v>
      </c>
      <c r="C8" s="13" t="n">
        <v>21430000</v>
      </c>
      <c r="D8" s="47" t="n">
        <f aca="false">IFERROR(B8/C8,"n/a")</f>
        <v>0.0654138124125058</v>
      </c>
      <c r="E8" s="36" t="n">
        <f aca="false">IFERROR(B8/B7-1,"n/a")</f>
        <v>0.218135367877719</v>
      </c>
      <c r="F8" s="11" t="s">
        <v>1619</v>
      </c>
    </row>
    <row r="10" customFormat="false" ht="30" hidden="false" customHeight="true" outlineLevel="0" collapsed="false">
      <c r="A10" s="45" t="s">
        <v>1620</v>
      </c>
      <c r="B10" s="45"/>
      <c r="C10" s="45"/>
      <c r="D10" s="45"/>
      <c r="E10" s="45"/>
      <c r="F10" s="45"/>
    </row>
    <row r="11" customFormat="false" ht="30" hidden="false" customHeight="true" outlineLevel="0" collapsed="false">
      <c r="A11" s="46" t="s">
        <v>1621</v>
      </c>
      <c r="B11" s="46"/>
      <c r="C11" s="46"/>
      <c r="D11" s="46"/>
      <c r="E11" s="46"/>
      <c r="F11" s="46"/>
    </row>
    <row r="12" customFormat="false" ht="30" hidden="false" customHeight="true" outlineLevel="0" collapsed="false">
      <c r="A12" s="46" t="s">
        <v>1622</v>
      </c>
      <c r="B12" s="46"/>
      <c r="C12" s="46"/>
      <c r="D12" s="46"/>
      <c r="E12" s="46"/>
      <c r="F12" s="46"/>
    </row>
    <row r="13" customFormat="false" ht="30" hidden="false" customHeight="true" outlineLevel="0" collapsed="false">
      <c r="A13" s="46" t="s">
        <v>1623</v>
      </c>
      <c r="B13" s="46"/>
      <c r="C13" s="46"/>
      <c r="D13" s="46"/>
      <c r="E13" s="46"/>
      <c r="F13" s="46"/>
    </row>
    <row r="14" customFormat="false" ht="30" hidden="false" customHeight="true" outlineLevel="0" collapsed="false">
      <c r="A14" s="46" t="s">
        <v>1624</v>
      </c>
      <c r="B14" s="46"/>
      <c r="C14" s="46"/>
      <c r="D14" s="46"/>
      <c r="E14" s="46"/>
      <c r="F14" s="46"/>
    </row>
  </sheetData>
  <mergeCells count="7">
    <mergeCell ref="A1:F1"/>
    <mergeCell ref="A2:F2"/>
    <mergeCell ref="A10:F10"/>
    <mergeCell ref="A11:F11"/>
    <mergeCell ref="A12:F12"/>
    <mergeCell ref="A13:F13"/>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22"/>
    <col collapsed="false" customWidth="true" hidden="false" outlineLevel="0" max="4" min="4" style="0" width="18"/>
    <col collapsed="false" customWidth="true" hidden="false" outlineLevel="0" max="6" min="5" style="0" width="60"/>
    <col collapsed="false" customWidth="true" hidden="false" outlineLevel="0" max="7" min="7" style="0" width="66"/>
  </cols>
  <sheetData>
    <row r="1" customFormat="false" ht="21.75" hidden="false" customHeight="true" outlineLevel="0" collapsed="false">
      <c r="A1" s="1" t="s">
        <v>1625</v>
      </c>
      <c r="B1" s="1"/>
      <c r="C1" s="1"/>
      <c r="D1" s="1"/>
      <c r="E1" s="1"/>
      <c r="F1" s="1"/>
      <c r="G1" s="1"/>
    </row>
    <row r="2" customFormat="false" ht="13.5" hidden="false" customHeight="true" outlineLevel="0" collapsed="false">
      <c r="A2" s="2" t="s">
        <v>1626</v>
      </c>
      <c r="B2" s="2"/>
      <c r="C2" s="2"/>
      <c r="D2" s="2"/>
      <c r="E2" s="2"/>
      <c r="F2" s="2"/>
      <c r="G2" s="2"/>
    </row>
    <row r="3" customFormat="false" ht="42" hidden="false" customHeight="true" outlineLevel="0" collapsed="false">
      <c r="A3" s="7" t="s">
        <v>1627</v>
      </c>
      <c r="B3" s="7" t="s">
        <v>1628</v>
      </c>
      <c r="C3" s="7" t="s">
        <v>1629</v>
      </c>
      <c r="D3" s="7" t="s">
        <v>1630</v>
      </c>
      <c r="E3" s="7" t="s">
        <v>1631</v>
      </c>
      <c r="F3" s="7" t="s">
        <v>1632</v>
      </c>
      <c r="G3" s="7" t="s">
        <v>1633</v>
      </c>
    </row>
    <row r="4" customFormat="false" ht="75.75" hidden="false" customHeight="true" outlineLevel="0" collapsed="false">
      <c r="A4" s="8" t="s">
        <v>1634</v>
      </c>
      <c r="B4" s="11" t="s">
        <v>1635</v>
      </c>
      <c r="C4" s="8" t="s">
        <v>1636</v>
      </c>
      <c r="D4" s="49" t="s">
        <v>32</v>
      </c>
      <c r="E4" s="11" t="s">
        <v>1637</v>
      </c>
      <c r="F4" s="11" t="s">
        <v>1638</v>
      </c>
      <c r="G4" s="11" t="s">
        <v>1639</v>
      </c>
    </row>
    <row r="5" customFormat="false" ht="75.75" hidden="false" customHeight="true" outlineLevel="0" collapsed="false">
      <c r="A5" s="15" t="s">
        <v>1640</v>
      </c>
      <c r="B5" s="18" t="s">
        <v>1641</v>
      </c>
      <c r="C5" s="15" t="s">
        <v>1636</v>
      </c>
      <c r="D5" s="49" t="s">
        <v>32</v>
      </c>
      <c r="E5" s="18" t="s">
        <v>1642</v>
      </c>
      <c r="F5" s="18" t="s">
        <v>1643</v>
      </c>
      <c r="G5" s="18" t="s">
        <v>1644</v>
      </c>
    </row>
    <row r="6" customFormat="false" ht="75.75" hidden="false" customHeight="true" outlineLevel="0" collapsed="false">
      <c r="A6" s="8" t="s">
        <v>1645</v>
      </c>
      <c r="B6" s="11" t="s">
        <v>1646</v>
      </c>
      <c r="C6" s="8" t="s">
        <v>1647</v>
      </c>
      <c r="D6" s="49" t="s">
        <v>1648</v>
      </c>
      <c r="E6" s="11" t="s">
        <v>1649</v>
      </c>
      <c r="F6" s="11" t="s">
        <v>135</v>
      </c>
      <c r="G6" s="11" t="s">
        <v>1650</v>
      </c>
    </row>
    <row r="7" customFormat="false" ht="75.75" hidden="false" customHeight="true" outlineLevel="0" collapsed="false">
      <c r="A7" s="15" t="s">
        <v>1651</v>
      </c>
      <c r="B7" s="18" t="s">
        <v>1652</v>
      </c>
      <c r="C7" s="15" t="s">
        <v>1636</v>
      </c>
      <c r="D7" s="49" t="s">
        <v>32</v>
      </c>
      <c r="E7" s="18" t="s">
        <v>1653</v>
      </c>
      <c r="F7" s="18" t="s">
        <v>135</v>
      </c>
      <c r="G7" s="18" t="s">
        <v>1654</v>
      </c>
    </row>
    <row r="8" customFormat="false" ht="75.75" hidden="false" customHeight="true" outlineLevel="0" collapsed="false">
      <c r="A8" s="8" t="s">
        <v>1655</v>
      </c>
      <c r="B8" s="11" t="s">
        <v>1656</v>
      </c>
      <c r="C8" s="8" t="s">
        <v>1657</v>
      </c>
      <c r="D8" s="50" t="s">
        <v>1658</v>
      </c>
      <c r="E8" s="11" t="s">
        <v>1659</v>
      </c>
      <c r="F8" s="11" t="s">
        <v>1660</v>
      </c>
      <c r="G8" s="11" t="s">
        <v>1661</v>
      </c>
    </row>
    <row r="9" customFormat="false" ht="75.75" hidden="false" customHeight="true" outlineLevel="0" collapsed="false">
      <c r="A9" s="15" t="s">
        <v>1662</v>
      </c>
      <c r="B9" s="18" t="s">
        <v>1663</v>
      </c>
      <c r="C9" s="15" t="s">
        <v>1664</v>
      </c>
      <c r="D9" s="50" t="s">
        <v>28</v>
      </c>
      <c r="E9" s="18" t="s">
        <v>1665</v>
      </c>
      <c r="F9" s="18" t="s">
        <v>135</v>
      </c>
      <c r="G9" s="18" t="s">
        <v>1666</v>
      </c>
    </row>
    <row r="10" customFormat="false" ht="75.75" hidden="false" customHeight="true" outlineLevel="0" collapsed="false">
      <c r="A10" s="8" t="s">
        <v>1667</v>
      </c>
      <c r="B10" s="11" t="s">
        <v>1668</v>
      </c>
      <c r="C10" s="8" t="s">
        <v>1664</v>
      </c>
      <c r="D10" s="50" t="s">
        <v>1669</v>
      </c>
      <c r="E10" s="11" t="s">
        <v>1670</v>
      </c>
      <c r="F10" s="11" t="s">
        <v>1671</v>
      </c>
      <c r="G10" s="11" t="s">
        <v>1672</v>
      </c>
    </row>
    <row r="11" customFormat="false" ht="75.75" hidden="false" customHeight="true" outlineLevel="0" collapsed="false">
      <c r="A11" s="15" t="s">
        <v>1673</v>
      </c>
      <c r="B11" s="18" t="s">
        <v>1674</v>
      </c>
      <c r="C11" s="15" t="s">
        <v>1675</v>
      </c>
      <c r="D11" s="51" t="s">
        <v>1676</v>
      </c>
      <c r="E11" s="18" t="s">
        <v>1677</v>
      </c>
      <c r="F11" s="18" t="s">
        <v>1678</v>
      </c>
      <c r="G11" s="18" t="s">
        <v>1679</v>
      </c>
    </row>
    <row r="12" customFormat="false" ht="75.75" hidden="false" customHeight="true" outlineLevel="0" collapsed="false">
      <c r="A12" s="8" t="s">
        <v>1680</v>
      </c>
      <c r="B12" s="11" t="s">
        <v>1668</v>
      </c>
      <c r="C12" s="8" t="s">
        <v>1664</v>
      </c>
      <c r="D12" s="50" t="s">
        <v>1669</v>
      </c>
      <c r="E12" s="11" t="s">
        <v>1681</v>
      </c>
      <c r="F12" s="11" t="s">
        <v>135</v>
      </c>
      <c r="G12" s="11" t="s">
        <v>1682</v>
      </c>
    </row>
    <row r="13" customFormat="false" ht="75.75" hidden="false" customHeight="true" outlineLevel="0" collapsed="false">
      <c r="A13" s="15" t="s">
        <v>1683</v>
      </c>
      <c r="B13" s="18" t="s">
        <v>1684</v>
      </c>
      <c r="C13" s="15" t="s">
        <v>1685</v>
      </c>
      <c r="D13" s="51" t="s">
        <v>30</v>
      </c>
      <c r="E13" s="18" t="s">
        <v>1686</v>
      </c>
      <c r="F13" s="18" t="s">
        <v>135</v>
      </c>
      <c r="G13" s="18" t="s">
        <v>1687</v>
      </c>
    </row>
    <row r="14" customFormat="false" ht="75.75" hidden="false" customHeight="true" outlineLevel="0" collapsed="false">
      <c r="A14" s="8" t="s">
        <v>1688</v>
      </c>
      <c r="B14" s="11" t="s">
        <v>1689</v>
      </c>
      <c r="C14" s="8" t="s">
        <v>1690</v>
      </c>
      <c r="D14" s="49" t="s">
        <v>1691</v>
      </c>
      <c r="E14" s="11" t="s">
        <v>1692</v>
      </c>
      <c r="F14" s="11" t="s">
        <v>135</v>
      </c>
      <c r="G14" s="11" t="s">
        <v>1693</v>
      </c>
    </row>
    <row r="16" customFormat="false" ht="30" hidden="false" customHeight="true" outlineLevel="0" collapsed="false">
      <c r="A16" s="52" t="s">
        <v>1694</v>
      </c>
      <c r="B16" s="52"/>
      <c r="C16" s="52"/>
      <c r="D16" s="52"/>
      <c r="E16" s="52"/>
      <c r="F16" s="52"/>
      <c r="G16" s="52"/>
    </row>
  </sheetData>
  <mergeCells count="3">
    <mergeCell ref="A1:G1"/>
    <mergeCell ref="A2:G2"/>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4"/>
    <col collapsed="false" customWidth="true" hidden="false" outlineLevel="0" max="3" min="3" style="0" width="34"/>
    <col collapsed="false" customWidth="true" hidden="false" outlineLevel="0" max="4" min="4" style="0" width="13"/>
    <col collapsed="false" customWidth="true" hidden="false" outlineLevel="0" max="5" min="5" style="0" width="44"/>
    <col collapsed="false" customWidth="true" hidden="false" outlineLevel="0" max="6" min="6" style="0" width="74"/>
  </cols>
  <sheetData>
    <row r="1" customFormat="false" ht="21.75" hidden="false" customHeight="true" outlineLevel="0" collapsed="false">
      <c r="A1" s="1" t="s">
        <v>1695</v>
      </c>
      <c r="B1" s="1"/>
      <c r="C1" s="1"/>
      <c r="D1" s="1"/>
      <c r="E1" s="1"/>
      <c r="F1" s="1"/>
    </row>
    <row r="2" customFormat="false" ht="13.5" hidden="false" customHeight="true" outlineLevel="0" collapsed="false">
      <c r="A2" s="2" t="s">
        <v>1696</v>
      </c>
      <c r="B2" s="2"/>
      <c r="C2" s="2"/>
      <c r="D2" s="2"/>
      <c r="E2" s="2"/>
      <c r="F2" s="2"/>
    </row>
    <row r="3" customFormat="false" ht="42" hidden="false" customHeight="true" outlineLevel="0" collapsed="false">
      <c r="A3" s="7" t="s">
        <v>1697</v>
      </c>
      <c r="B3" s="7" t="s">
        <v>1631</v>
      </c>
      <c r="C3" s="7" t="s">
        <v>1698</v>
      </c>
      <c r="D3" s="7" t="s">
        <v>1387</v>
      </c>
      <c r="E3" s="7" t="s">
        <v>1122</v>
      </c>
      <c r="F3" s="7" t="s">
        <v>1699</v>
      </c>
    </row>
    <row r="4" customFormat="false" ht="75.75" hidden="false" customHeight="true" outlineLevel="0" collapsed="false">
      <c r="A4" s="8" t="s">
        <v>1700</v>
      </c>
      <c r="B4" s="11" t="s">
        <v>1701</v>
      </c>
      <c r="C4" s="11" t="s">
        <v>1702</v>
      </c>
      <c r="D4" s="8" t="s">
        <v>1703</v>
      </c>
      <c r="E4" s="11" t="s">
        <v>1704</v>
      </c>
      <c r="F4" s="11" t="s">
        <v>1705</v>
      </c>
    </row>
    <row r="5" customFormat="false" ht="75.75" hidden="false" customHeight="true" outlineLevel="0" collapsed="false">
      <c r="A5" s="15" t="s">
        <v>1706</v>
      </c>
      <c r="B5" s="18" t="s">
        <v>1707</v>
      </c>
      <c r="C5" s="18" t="s">
        <v>1708</v>
      </c>
      <c r="D5" s="15" t="s">
        <v>1703</v>
      </c>
      <c r="E5" s="18" t="s">
        <v>1709</v>
      </c>
      <c r="F5" s="18" t="s">
        <v>1710</v>
      </c>
    </row>
    <row r="6" customFormat="false" ht="75.75" hidden="false" customHeight="true" outlineLevel="0" collapsed="false">
      <c r="A6" s="8" t="s">
        <v>1711</v>
      </c>
      <c r="B6" s="11" t="s">
        <v>1712</v>
      </c>
      <c r="C6" s="11" t="s">
        <v>1713</v>
      </c>
      <c r="D6" s="8" t="s">
        <v>1703</v>
      </c>
      <c r="E6" s="11" t="s">
        <v>1714</v>
      </c>
      <c r="F6" s="11" t="s">
        <v>1715</v>
      </c>
    </row>
    <row r="7" customFormat="false" ht="75.75" hidden="false" customHeight="true" outlineLevel="0" collapsed="false">
      <c r="A7" s="15" t="s">
        <v>1716</v>
      </c>
      <c r="B7" s="18" t="s">
        <v>1717</v>
      </c>
      <c r="C7" s="18" t="s">
        <v>1718</v>
      </c>
      <c r="D7" s="15" t="s">
        <v>1719</v>
      </c>
      <c r="E7" s="18" t="s">
        <v>1720</v>
      </c>
      <c r="F7" s="18" t="s">
        <v>1721</v>
      </c>
    </row>
    <row r="8" customFormat="false" ht="75.75" hidden="false" customHeight="true" outlineLevel="0" collapsed="false">
      <c r="A8" s="8" t="s">
        <v>1722</v>
      </c>
      <c r="B8" s="11" t="s">
        <v>1723</v>
      </c>
      <c r="C8" s="11" t="s">
        <v>1713</v>
      </c>
      <c r="D8" s="8" t="s">
        <v>1703</v>
      </c>
      <c r="E8" s="11" t="s">
        <v>1724</v>
      </c>
      <c r="F8" s="11" t="s">
        <v>1725</v>
      </c>
    </row>
    <row r="9" customFormat="false" ht="75.75" hidden="false" customHeight="true" outlineLevel="0" collapsed="false">
      <c r="A9" s="15" t="s">
        <v>1726</v>
      </c>
      <c r="B9" s="18" t="s">
        <v>1727</v>
      </c>
      <c r="C9" s="18" t="s">
        <v>1728</v>
      </c>
      <c r="D9" s="15" t="s">
        <v>1703</v>
      </c>
      <c r="E9" s="18" t="s">
        <v>1729</v>
      </c>
      <c r="F9" s="18" t="s">
        <v>1730</v>
      </c>
    </row>
    <row r="10" customFormat="false" ht="75.75" hidden="false" customHeight="true" outlineLevel="0" collapsed="false">
      <c r="A10" s="8" t="s">
        <v>1731</v>
      </c>
      <c r="B10" s="11" t="s">
        <v>1732</v>
      </c>
      <c r="C10" s="11" t="s">
        <v>1733</v>
      </c>
      <c r="D10" s="8" t="s">
        <v>1703</v>
      </c>
      <c r="E10" s="11" t="s">
        <v>1734</v>
      </c>
      <c r="F10" s="11" t="s">
        <v>1735</v>
      </c>
    </row>
    <row r="11" customFormat="false" ht="75.75" hidden="false" customHeight="true" outlineLevel="0" collapsed="false">
      <c r="A11" s="15" t="s">
        <v>1736</v>
      </c>
      <c r="B11" s="18" t="s">
        <v>1737</v>
      </c>
      <c r="C11" s="18" t="s">
        <v>1738</v>
      </c>
      <c r="D11" s="15" t="s">
        <v>1719</v>
      </c>
      <c r="E11" s="18" t="s">
        <v>1739</v>
      </c>
      <c r="F11" s="18" t="s">
        <v>1740</v>
      </c>
    </row>
    <row r="12" customFormat="false" ht="75.75" hidden="false" customHeight="true" outlineLevel="0" collapsed="false">
      <c r="A12" s="8" t="s">
        <v>1741</v>
      </c>
      <c r="B12" s="11" t="s">
        <v>1742</v>
      </c>
      <c r="C12" s="11" t="s">
        <v>1713</v>
      </c>
      <c r="D12" s="8" t="s">
        <v>1703</v>
      </c>
      <c r="E12" s="11" t="s">
        <v>1743</v>
      </c>
      <c r="F12" s="11" t="s">
        <v>1744</v>
      </c>
    </row>
  </sheetData>
  <mergeCells count="2">
    <mergeCell ref="A1:F1"/>
    <mergeCell ref="A2:F2"/>
  </mergeCells>
  <conditionalFormatting sqref="D4:D12">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26"/>
    <col collapsed="false" customWidth="true" hidden="false" outlineLevel="0" max="4" min="4" style="0" width="52"/>
    <col collapsed="false" customWidth="true" hidden="false" outlineLevel="0" max="5" min="5" style="0" width="74"/>
  </cols>
  <sheetData>
    <row r="1" customFormat="false" ht="21.75" hidden="false" customHeight="true" outlineLevel="0" collapsed="false">
      <c r="A1" s="1" t="s">
        <v>1745</v>
      </c>
      <c r="B1" s="1"/>
      <c r="C1" s="1"/>
      <c r="D1" s="1"/>
      <c r="E1" s="1"/>
    </row>
    <row r="2" customFormat="false" ht="13.5" hidden="false" customHeight="true" outlineLevel="0" collapsed="false">
      <c r="A2" s="2" t="s">
        <v>1746</v>
      </c>
      <c r="B2" s="2"/>
      <c r="C2" s="2"/>
      <c r="D2" s="2"/>
      <c r="E2" s="2"/>
    </row>
    <row r="3" customFormat="false" ht="42" hidden="false" customHeight="true" outlineLevel="0" collapsed="false">
      <c r="A3" s="7" t="s">
        <v>1747</v>
      </c>
      <c r="B3" s="7" t="s">
        <v>693</v>
      </c>
      <c r="C3" s="7" t="s">
        <v>1748</v>
      </c>
      <c r="D3" s="7" t="s">
        <v>1122</v>
      </c>
      <c r="E3" s="7" t="s">
        <v>1749</v>
      </c>
    </row>
    <row r="4" customFormat="false" ht="31.5" hidden="false" customHeight="true" outlineLevel="0" collapsed="false">
      <c r="A4" s="8" t="s">
        <v>1750</v>
      </c>
      <c r="B4" s="53" t="n">
        <v>108</v>
      </c>
      <c r="C4" s="8" t="s">
        <v>1751</v>
      </c>
      <c r="D4" s="11" t="s">
        <v>1752</v>
      </c>
      <c r="E4" s="11" t="s">
        <v>1753</v>
      </c>
    </row>
    <row r="5" customFormat="false" ht="31.5" hidden="false" customHeight="true" outlineLevel="0" collapsed="false">
      <c r="A5" s="15" t="s">
        <v>1754</v>
      </c>
      <c r="B5" s="54" t="n">
        <v>99</v>
      </c>
      <c r="C5" s="15" t="s">
        <v>1751</v>
      </c>
      <c r="D5" s="18" t="s">
        <v>1755</v>
      </c>
      <c r="E5" s="18" t="s">
        <v>1756</v>
      </c>
    </row>
    <row r="6" customFormat="false" ht="31.5" hidden="false" customHeight="true" outlineLevel="0" collapsed="false">
      <c r="A6" s="8" t="s">
        <v>1757</v>
      </c>
      <c r="B6" s="53" t="n">
        <v>81</v>
      </c>
      <c r="C6" s="8" t="s">
        <v>1751</v>
      </c>
      <c r="D6" s="11" t="s">
        <v>1755</v>
      </c>
      <c r="E6" s="11" t="s">
        <v>1758</v>
      </c>
    </row>
    <row r="7" customFormat="false" ht="31.5" hidden="false" customHeight="true" outlineLevel="0" collapsed="false">
      <c r="A7" s="15" t="s">
        <v>1759</v>
      </c>
      <c r="B7" s="54" t="n">
        <v>128</v>
      </c>
      <c r="C7" s="15" t="s">
        <v>1751</v>
      </c>
      <c r="D7" s="18" t="s">
        <v>1755</v>
      </c>
      <c r="E7" s="18" t="s">
        <v>1760</v>
      </c>
    </row>
    <row r="8" customFormat="false" ht="31.5" hidden="false" customHeight="true" outlineLevel="0" collapsed="false">
      <c r="A8" s="8" t="s">
        <v>1761</v>
      </c>
      <c r="B8" s="53" t="n">
        <v>74</v>
      </c>
      <c r="C8" s="8" t="s">
        <v>1751</v>
      </c>
      <c r="D8" s="11" t="s">
        <v>1755</v>
      </c>
      <c r="E8" s="11" t="s">
        <v>1762</v>
      </c>
    </row>
    <row r="9" customFormat="false" ht="31.5" hidden="false" customHeight="true" outlineLevel="0" collapsed="false">
      <c r="A9" s="15" t="s">
        <v>1763</v>
      </c>
      <c r="B9" s="55" t="n">
        <v>0.75</v>
      </c>
      <c r="C9" s="15" t="s">
        <v>1764</v>
      </c>
      <c r="D9" s="18" t="s">
        <v>1765</v>
      </c>
      <c r="E9" s="18" t="s">
        <v>1766</v>
      </c>
    </row>
    <row r="10" customFormat="false" ht="31.5" hidden="false" customHeight="true" outlineLevel="0" collapsed="false">
      <c r="A10" s="8" t="s">
        <v>1767</v>
      </c>
      <c r="B10" s="56" t="n">
        <v>0.23</v>
      </c>
      <c r="C10" s="8" t="s">
        <v>1768</v>
      </c>
      <c r="D10" s="11" t="s">
        <v>1769</v>
      </c>
      <c r="E10" s="11" t="s">
        <v>1770</v>
      </c>
    </row>
    <row r="11" customFormat="false" ht="31.5" hidden="false" customHeight="true" outlineLevel="0" collapsed="false">
      <c r="A11" s="15" t="s">
        <v>1771</v>
      </c>
      <c r="B11" s="55" t="n">
        <v>0.306</v>
      </c>
      <c r="C11" s="15" t="s">
        <v>1768</v>
      </c>
      <c r="D11" s="18" t="s">
        <v>1772</v>
      </c>
      <c r="E11" s="18" t="s">
        <v>1773</v>
      </c>
    </row>
    <row r="12" customFormat="false" ht="31.5" hidden="false" customHeight="true" outlineLevel="0" collapsed="false">
      <c r="A12" s="8" t="s">
        <v>1774</v>
      </c>
      <c r="B12" s="53" t="n">
        <v>25000</v>
      </c>
      <c r="C12" s="8" t="s">
        <v>1775</v>
      </c>
      <c r="D12" s="11" t="s">
        <v>1776</v>
      </c>
      <c r="E12" s="11" t="s">
        <v>1777</v>
      </c>
    </row>
    <row r="13" customFormat="false" ht="31.5" hidden="false" customHeight="true" outlineLevel="0" collapsed="false">
      <c r="A13" s="15" t="s">
        <v>1778</v>
      </c>
      <c r="B13" s="54" t="n">
        <v>2</v>
      </c>
      <c r="C13" s="15" t="s">
        <v>1779</v>
      </c>
      <c r="D13" s="18" t="s">
        <v>1780</v>
      </c>
      <c r="E13" s="18" t="s">
        <v>1781</v>
      </c>
    </row>
    <row r="14" customFormat="false" ht="31.5" hidden="false" customHeight="true" outlineLevel="0" collapsed="false">
      <c r="A14" s="8" t="s">
        <v>1782</v>
      </c>
      <c r="B14" s="57" t="n">
        <v>87</v>
      </c>
      <c r="C14" s="8" t="s">
        <v>1783</v>
      </c>
      <c r="D14" s="11" t="s">
        <v>1784</v>
      </c>
      <c r="E14" s="11" t="s">
        <v>1785</v>
      </c>
    </row>
    <row r="16" customFormat="false" ht="15" hidden="false" customHeight="false" outlineLevel="0" collapsed="false">
      <c r="A16" s="6" t="s">
        <v>1786</v>
      </c>
    </row>
    <row r="17" customFormat="false" ht="42" hidden="false" customHeight="true" outlineLevel="0" collapsed="false">
      <c r="A17" s="7" t="s">
        <v>1787</v>
      </c>
      <c r="B17" s="7" t="s">
        <v>1788</v>
      </c>
      <c r="C17" s="7" t="s">
        <v>1789</v>
      </c>
      <c r="D17" s="7" t="s">
        <v>1790</v>
      </c>
      <c r="E17" s="7" t="s">
        <v>1791</v>
      </c>
    </row>
    <row r="18" customFormat="false" ht="15" hidden="false" customHeight="false" outlineLevel="0" collapsed="false">
      <c r="A18" s="12" t="n">
        <v>2.2</v>
      </c>
      <c r="B18" s="22" t="n">
        <f aca="false">A18*$B$4</f>
        <v>237.6</v>
      </c>
      <c r="C18" s="22" t="n">
        <f aca="false">B18*$B$14</f>
        <v>20671.2</v>
      </c>
      <c r="D18" s="22" t="n">
        <f aca="false">A18*$B$6*$B$14</f>
        <v>15503.4</v>
      </c>
      <c r="E18" s="34" t="n">
        <f aca="false">C18/120000</f>
        <v>0.17226</v>
      </c>
    </row>
    <row r="19" customFormat="false" ht="15" hidden="false" customHeight="false" outlineLevel="0" collapsed="false">
      <c r="A19" s="19" t="n">
        <v>2.5</v>
      </c>
      <c r="B19" s="23" t="n">
        <f aca="false">A19*$B$4</f>
        <v>270</v>
      </c>
      <c r="C19" s="23" t="n">
        <f aca="false">B19*$B$14</f>
        <v>23490</v>
      </c>
      <c r="D19" s="23" t="n">
        <f aca="false">A19*$B$6*$B$14</f>
        <v>17617.5</v>
      </c>
      <c r="E19" s="37" t="n">
        <f aca="false">C19/120000</f>
        <v>0.19575</v>
      </c>
    </row>
    <row r="20" customFormat="false" ht="15" hidden="false" customHeight="false" outlineLevel="0" collapsed="false">
      <c r="A20" s="12" t="n">
        <v>3</v>
      </c>
      <c r="B20" s="22" t="n">
        <f aca="false">A20*$B$4</f>
        <v>324</v>
      </c>
      <c r="C20" s="22" t="n">
        <f aca="false">B20*$B$14</f>
        <v>28188</v>
      </c>
      <c r="D20" s="22" t="n">
        <f aca="false">A20*$B$6*$B$14</f>
        <v>21141</v>
      </c>
      <c r="E20" s="34" t="n">
        <f aca="false">C20/120000</f>
        <v>0.2349</v>
      </c>
    </row>
    <row r="21" customFormat="false" ht="15" hidden="false" customHeight="false" outlineLevel="0" collapsed="false">
      <c r="A21" s="19" t="n">
        <v>3.5</v>
      </c>
      <c r="B21" s="23" t="n">
        <f aca="false">A21*$B$4</f>
        <v>378</v>
      </c>
      <c r="C21" s="23" t="n">
        <f aca="false">B21*$B$14</f>
        <v>32886</v>
      </c>
      <c r="D21" s="23" t="n">
        <f aca="false">A21*$B$6*$B$14</f>
        <v>24664.5</v>
      </c>
      <c r="E21" s="37" t="n">
        <f aca="false">C21/120000</f>
        <v>0.27405</v>
      </c>
    </row>
    <row r="22" customFormat="false" ht="15" hidden="false" customHeight="false" outlineLevel="0" collapsed="false">
      <c r="A22" s="12" t="n">
        <v>4</v>
      </c>
      <c r="B22" s="22" t="n">
        <f aca="false">A22*$B$4</f>
        <v>432</v>
      </c>
      <c r="C22" s="22" t="n">
        <f aca="false">B22*$B$14</f>
        <v>37584</v>
      </c>
      <c r="D22" s="22" t="n">
        <f aca="false">A22*$B$6*$B$14</f>
        <v>28188</v>
      </c>
      <c r="E22" s="34" t="n">
        <f aca="false">C22/120000</f>
        <v>0.3132</v>
      </c>
    </row>
    <row r="23" customFormat="false" ht="15" hidden="false" customHeight="false" outlineLevel="0" collapsed="false">
      <c r="A23" s="19" t="n">
        <v>5</v>
      </c>
      <c r="B23" s="23" t="n">
        <f aca="false">A23*$B$4</f>
        <v>540</v>
      </c>
      <c r="C23" s="23" t="n">
        <f aca="false">B23*$B$14</f>
        <v>46980</v>
      </c>
      <c r="D23" s="23" t="n">
        <f aca="false">A23*$B$6*$B$14</f>
        <v>35235</v>
      </c>
      <c r="E23" s="37" t="n">
        <f aca="false">C23/120000</f>
        <v>0.3915</v>
      </c>
    </row>
    <row r="24" customFormat="false" ht="15" hidden="false" customHeight="false" outlineLevel="0" collapsed="false">
      <c r="A24" s="12" t="n">
        <v>5.4</v>
      </c>
      <c r="B24" s="22" t="n">
        <f aca="false">A24*$B$4</f>
        <v>583.2</v>
      </c>
      <c r="C24" s="22" t="n">
        <f aca="false">B24*$B$14</f>
        <v>50738.4</v>
      </c>
      <c r="D24" s="22" t="n">
        <f aca="false">A24*$B$6*$B$14</f>
        <v>38053.8</v>
      </c>
      <c r="E24" s="34" t="n">
        <f aca="false">C24/120000</f>
        <v>0.42282</v>
      </c>
    </row>
    <row r="25" customFormat="false" ht="15" hidden="false" customHeight="false" outlineLevel="0" collapsed="false">
      <c r="A25" s="19" t="n">
        <v>7.1</v>
      </c>
      <c r="B25" s="23" t="n">
        <f aca="false">A25*$B$4</f>
        <v>766.8</v>
      </c>
      <c r="C25" s="23" t="n">
        <f aca="false">B25*$B$14</f>
        <v>66711.6</v>
      </c>
      <c r="D25" s="23" t="n">
        <f aca="false">A25*$B$6*$B$14</f>
        <v>50033.7</v>
      </c>
      <c r="E25" s="37" t="n">
        <f aca="false">C25/120000</f>
        <v>0.55593</v>
      </c>
    </row>
    <row r="26" customFormat="false" ht="15" hidden="false" customHeight="false" outlineLevel="0" collapsed="false">
      <c r="A26" s="12" t="n">
        <v>10.3</v>
      </c>
      <c r="B26" s="22" t="n">
        <f aca="false">A26*$B$4</f>
        <v>1112.4</v>
      </c>
      <c r="C26" s="22" t="n">
        <f aca="false">B26*$B$14</f>
        <v>96778.8</v>
      </c>
      <c r="D26" s="22" t="n">
        <f aca="false">A26*$B$6*$B$14</f>
        <v>72584.1</v>
      </c>
      <c r="E26" s="34" t="n">
        <f aca="false">C26/120000</f>
        <v>0.80649</v>
      </c>
    </row>
    <row r="28" customFormat="false" ht="57.75" hidden="false" customHeight="true" outlineLevel="0" collapsed="false">
      <c r="A28" s="58" t="s">
        <v>1792</v>
      </c>
      <c r="B28" s="58"/>
      <c r="C28" s="58"/>
      <c r="D28" s="58"/>
      <c r="E28" s="58"/>
    </row>
  </sheetData>
  <mergeCells count="3">
    <mergeCell ref="A1:E1"/>
    <mergeCell ref="A2:E2"/>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26"/>
    <col collapsed="false" customWidth="true" hidden="false" outlineLevel="0" max="3" min="3" style="0" width="74"/>
    <col collapsed="false" customWidth="true" hidden="false" outlineLevel="0" max="4" min="4" style="0" width="20"/>
  </cols>
  <sheetData>
    <row r="1" customFormat="false" ht="21.75" hidden="false" customHeight="true" outlineLevel="0" collapsed="false">
      <c r="A1" s="1" t="s">
        <v>1793</v>
      </c>
      <c r="B1" s="1"/>
      <c r="C1" s="1"/>
      <c r="D1" s="1"/>
    </row>
    <row r="2" customFormat="false" ht="13.5" hidden="false" customHeight="true" outlineLevel="0" collapsed="false">
      <c r="A2" s="2" t="s">
        <v>1794</v>
      </c>
      <c r="B2" s="2"/>
      <c r="C2" s="2"/>
      <c r="D2" s="2"/>
    </row>
    <row r="3" customFormat="false" ht="42" hidden="false" customHeight="true" outlineLevel="0" collapsed="false">
      <c r="A3" s="7" t="s">
        <v>1122</v>
      </c>
      <c r="B3" s="7" t="s">
        <v>1372</v>
      </c>
      <c r="C3" s="7" t="s">
        <v>1795</v>
      </c>
      <c r="D3" s="7" t="s">
        <v>1796</v>
      </c>
    </row>
    <row r="4" customFormat="false" ht="27.75" hidden="false" customHeight="true" outlineLevel="0" collapsed="false">
      <c r="A4" s="8" t="s">
        <v>1797</v>
      </c>
      <c r="B4" s="8" t="s">
        <v>1798</v>
      </c>
      <c r="C4" s="11" t="s">
        <v>1799</v>
      </c>
      <c r="D4" s="8" t="s">
        <v>134</v>
      </c>
    </row>
    <row r="5" customFormat="false" ht="27.75" hidden="false" customHeight="true" outlineLevel="0" collapsed="false">
      <c r="A5" s="15" t="s">
        <v>1800</v>
      </c>
      <c r="B5" s="15" t="s">
        <v>1801</v>
      </c>
      <c r="C5" s="18" t="s">
        <v>1802</v>
      </c>
      <c r="D5" s="15" t="s">
        <v>520</v>
      </c>
    </row>
    <row r="6" customFormat="false" ht="27.75" hidden="false" customHeight="true" outlineLevel="0" collapsed="false">
      <c r="A6" s="8" t="s">
        <v>1803</v>
      </c>
      <c r="B6" s="8" t="s">
        <v>1804</v>
      </c>
      <c r="C6" s="11" t="s">
        <v>1805</v>
      </c>
      <c r="D6" s="8" t="s">
        <v>134</v>
      </c>
    </row>
    <row r="7" customFormat="false" ht="27.75" hidden="false" customHeight="true" outlineLevel="0" collapsed="false">
      <c r="A7" s="15" t="s">
        <v>1806</v>
      </c>
      <c r="B7" s="15" t="s">
        <v>1804</v>
      </c>
      <c r="C7" s="18" t="s">
        <v>1807</v>
      </c>
      <c r="D7" s="15" t="s">
        <v>134</v>
      </c>
    </row>
    <row r="8" customFormat="false" ht="27.75" hidden="false" customHeight="true" outlineLevel="0" collapsed="false">
      <c r="A8" s="8" t="s">
        <v>1808</v>
      </c>
      <c r="B8" s="8" t="s">
        <v>1804</v>
      </c>
      <c r="C8" s="11" t="s">
        <v>1809</v>
      </c>
      <c r="D8" s="8" t="s">
        <v>134</v>
      </c>
    </row>
    <row r="9" customFormat="false" ht="27.75" hidden="false" customHeight="true" outlineLevel="0" collapsed="false">
      <c r="A9" s="15" t="s">
        <v>1810</v>
      </c>
      <c r="B9" s="15" t="s">
        <v>1804</v>
      </c>
      <c r="C9" s="18" t="s">
        <v>1811</v>
      </c>
      <c r="D9" s="15" t="s">
        <v>134</v>
      </c>
    </row>
    <row r="10" customFormat="false" ht="27.75" hidden="false" customHeight="true" outlineLevel="0" collapsed="false">
      <c r="A10" s="8" t="s">
        <v>848</v>
      </c>
      <c r="B10" s="8" t="s">
        <v>1804</v>
      </c>
      <c r="C10" s="11" t="s">
        <v>1812</v>
      </c>
      <c r="D10" s="8" t="s">
        <v>134</v>
      </c>
    </row>
    <row r="11" customFormat="false" ht="27.75" hidden="false" customHeight="true" outlineLevel="0" collapsed="false">
      <c r="A11" s="15" t="s">
        <v>1813</v>
      </c>
      <c r="B11" s="15" t="s">
        <v>1804</v>
      </c>
      <c r="C11" s="18" t="s">
        <v>1814</v>
      </c>
      <c r="D11" s="15" t="s">
        <v>1266</v>
      </c>
    </row>
    <row r="12" customFormat="false" ht="27.75" hidden="false" customHeight="true" outlineLevel="0" collapsed="false">
      <c r="A12" s="8" t="s">
        <v>1815</v>
      </c>
      <c r="B12" s="8" t="s">
        <v>1804</v>
      </c>
      <c r="C12" s="11" t="s">
        <v>1816</v>
      </c>
      <c r="D12" s="8" t="s">
        <v>1817</v>
      </c>
    </row>
    <row r="13" customFormat="false" ht="27.75" hidden="false" customHeight="true" outlineLevel="0" collapsed="false">
      <c r="A13" s="15" t="s">
        <v>1818</v>
      </c>
      <c r="B13" s="15" t="s">
        <v>1819</v>
      </c>
      <c r="C13" s="18" t="s">
        <v>1820</v>
      </c>
      <c r="D13" s="15" t="s">
        <v>1817</v>
      </c>
    </row>
    <row r="14" customFormat="false" ht="27.75" hidden="false" customHeight="true" outlineLevel="0" collapsed="false">
      <c r="A14" s="8" t="s">
        <v>1821</v>
      </c>
      <c r="B14" s="8" t="s">
        <v>1798</v>
      </c>
      <c r="C14" s="11" t="s">
        <v>1822</v>
      </c>
      <c r="D14" s="8" t="s">
        <v>134</v>
      </c>
    </row>
    <row r="15" customFormat="false" ht="27.75" hidden="false" customHeight="true" outlineLevel="0" collapsed="false">
      <c r="A15" s="15" t="s">
        <v>1823</v>
      </c>
      <c r="B15" s="15" t="s">
        <v>1798</v>
      </c>
      <c r="C15" s="18" t="s">
        <v>1824</v>
      </c>
      <c r="D15" s="15" t="s">
        <v>1825</v>
      </c>
    </row>
    <row r="16" customFormat="false" ht="27.75" hidden="false" customHeight="true" outlineLevel="0" collapsed="false">
      <c r="A16" s="8" t="s">
        <v>1826</v>
      </c>
      <c r="B16" s="8" t="s">
        <v>1798</v>
      </c>
      <c r="C16" s="11" t="s">
        <v>1827</v>
      </c>
      <c r="D16" s="8" t="s">
        <v>1828</v>
      </c>
    </row>
    <row r="17" customFormat="false" ht="27.75" hidden="false" customHeight="true" outlineLevel="0" collapsed="false">
      <c r="A17" s="15" t="s">
        <v>1829</v>
      </c>
      <c r="B17" s="15" t="s">
        <v>1830</v>
      </c>
      <c r="C17" s="18" t="s">
        <v>1831</v>
      </c>
      <c r="D17" s="15" t="s">
        <v>1832</v>
      </c>
    </row>
    <row r="18" customFormat="false" ht="27.75" hidden="false" customHeight="true" outlineLevel="0" collapsed="false">
      <c r="A18" s="8" t="s">
        <v>1833</v>
      </c>
      <c r="B18" s="8" t="s">
        <v>1830</v>
      </c>
      <c r="C18" s="11" t="s">
        <v>1834</v>
      </c>
      <c r="D18" s="8" t="s">
        <v>489</v>
      </c>
    </row>
    <row r="19" customFormat="false" ht="27.75" hidden="false" customHeight="true" outlineLevel="0" collapsed="false">
      <c r="A19" s="15" t="s">
        <v>1835</v>
      </c>
      <c r="B19" s="15" t="s">
        <v>1836</v>
      </c>
      <c r="C19" s="18" t="s">
        <v>1837</v>
      </c>
      <c r="D19" s="15" t="s">
        <v>134</v>
      </c>
    </row>
    <row r="20" customFormat="false" ht="27.75" hidden="false" customHeight="true" outlineLevel="0" collapsed="false">
      <c r="A20" s="8" t="s">
        <v>1274</v>
      </c>
      <c r="B20" s="8" t="s">
        <v>1836</v>
      </c>
      <c r="C20" s="11" t="s">
        <v>1838</v>
      </c>
      <c r="D20" s="8" t="s">
        <v>489</v>
      </c>
    </row>
    <row r="21" customFormat="false" ht="27.75" hidden="false" customHeight="true" outlineLevel="0" collapsed="false">
      <c r="A21" s="15" t="s">
        <v>1839</v>
      </c>
      <c r="B21" s="15" t="s">
        <v>1836</v>
      </c>
      <c r="C21" s="18" t="s">
        <v>1840</v>
      </c>
      <c r="D21" s="15" t="s">
        <v>520</v>
      </c>
    </row>
    <row r="22" customFormat="false" ht="27.75" hidden="false" customHeight="true" outlineLevel="0" collapsed="false">
      <c r="A22" s="8" t="s">
        <v>1841</v>
      </c>
      <c r="B22" s="8" t="s">
        <v>1836</v>
      </c>
      <c r="C22" s="11" t="s">
        <v>1842</v>
      </c>
      <c r="D22" s="8" t="s">
        <v>1843</v>
      </c>
    </row>
    <row r="23" customFormat="false" ht="27.75" hidden="false" customHeight="true" outlineLevel="0" collapsed="false">
      <c r="A23" s="15" t="s">
        <v>1844</v>
      </c>
      <c r="B23" s="15" t="s">
        <v>1836</v>
      </c>
      <c r="C23" s="18" t="s">
        <v>1845</v>
      </c>
      <c r="D23" s="15" t="s">
        <v>1817</v>
      </c>
    </row>
    <row r="24" customFormat="false" ht="27.75" hidden="false" customHeight="true" outlineLevel="0" collapsed="false">
      <c r="A24" s="8" t="s">
        <v>1846</v>
      </c>
      <c r="B24" s="8" t="s">
        <v>1836</v>
      </c>
      <c r="C24" s="11" t="s">
        <v>1847</v>
      </c>
      <c r="D24" s="8" t="s">
        <v>1817</v>
      </c>
    </row>
    <row r="25" customFormat="false" ht="27.75" hidden="false" customHeight="true" outlineLevel="0" collapsed="false">
      <c r="A25" s="15" t="s">
        <v>1848</v>
      </c>
      <c r="B25" s="15" t="s">
        <v>1836</v>
      </c>
      <c r="C25" s="18" t="s">
        <v>1849</v>
      </c>
      <c r="D25" s="15" t="s">
        <v>1850</v>
      </c>
    </row>
    <row r="26" customFormat="false" ht="27.75" hidden="false" customHeight="true" outlineLevel="0" collapsed="false">
      <c r="A26" s="8" t="s">
        <v>1851</v>
      </c>
      <c r="B26" s="8" t="s">
        <v>1852</v>
      </c>
      <c r="C26" s="11" t="s">
        <v>1853</v>
      </c>
      <c r="D26" s="8" t="s">
        <v>134</v>
      </c>
    </row>
    <row r="28" customFormat="false" ht="43.5" hidden="false" customHeight="true" outlineLevel="0" collapsed="false">
      <c r="A28" s="58" t="s">
        <v>1854</v>
      </c>
      <c r="B28" s="58"/>
      <c r="C28" s="58"/>
      <c r="D28" s="58"/>
    </row>
  </sheetData>
  <mergeCells count="3">
    <mergeCell ref="A1:D1"/>
    <mergeCell ref="A2:D2"/>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2026-08-25T12:54:52Z</dcterms:created>
  <dc:creator>openpyxl</dc:creator>
  <dc:description/>
  <dc:language>en-US</dc:language>
  <cp:lastModifiedBy/>
  <dcterms:modified xsi:type="dcterms:W3CDTF">2026-08-25T12:54:52Z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