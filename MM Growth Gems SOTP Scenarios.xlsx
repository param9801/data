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Current SOTP" sheetId="3" state="visible" r:id="rId5"/>
    <sheet name="Growth Gems" sheetId="4" state="visible" r:id="rId6"/>
    <sheet name="MEAL Valuation" sheetId="5" state="visible" r:id="rId7"/>
    <sheet name="Scenario SOTP" sheetId="6" state="visible" r:id="rId8"/>
    <sheet name="SOTP Detail" sheetId="7" state="visible" r:id="rId9"/>
    <sheet name="Sensitivit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<sst xmlns="http://schemas.openxmlformats.org/spreadsheetml/2006/main" count="523" uniqueCount="297">
  <si>
    <t xml:space="preserve">M&amp;M (MM IN) — Growth Gems &amp; SOTP Scenario Framework</t>
  </si>
  <si>
    <t xml:space="preserve">Bernstein India Autos | Client deliverable | 21 August 2026 | All values Rs mn unless stated</t>
  </si>
  <si>
    <t xml:space="preserve">PURPOSE</t>
  </si>
  <si>
    <t xml:space="preserve">Answers the client question: how should the Growth Gems be valued going forward, and how should that flow into M&amp;M's overall SOTP? The workbook converts the existing single-point SOTP into a five-case scenario framework built on six explicit, independently flexible axes.</t>
  </si>
  <si>
    <t xml:space="preserve">THE SIX AXES</t>
  </si>
  <si>
    <t xml:space="preserve">1. Core auto+farm — P/E multiple x FY28E earnings level
2. Listed subsidiaries — control premium, stake-level discount, re-rating
3. MEAL (EV subsidiary) — valuation METHODOLOGY, not just level
4. Growth Gems — book / private mark / monetisation mark / 5x-Challenge target
5. Holdco discount — 0% to 25%
6. Structure events — IPOs, InvIT, stake sales (drive movement across axes 3-5)</t>
  </si>
  <si>
    <t xml:space="preserve">THE CENTRAL ISSUE</t>
  </si>
  <si>
    <t xml:space="preserve">MEAL is c.22% of the current gross SOTP and is carried on a 'last funding round +20%/yr' mark of Rs 1,296,000mn. That methodology is contradicted by MEAL's own CCPS conversion on 1 May 2026 at a value of Rs 40,425cr (Rs 404,250mn) — roughly one third. MEAL is therefore modelled as the PRIMARY scenario axis, not a fixed block.</t>
  </si>
  <si>
    <t xml:space="preserve">TAB GUIDE</t>
  </si>
  <si>
    <t xml:space="preserve">Assumptions ....... every input and scenario lever. THE ONLY TAB TO EDIT.
Current SOTP ...... the existing valuation, reproduced as-is, with issues flagged
Growth Gems ....... gem-by-gem valuation ladder across all five scenarios
MEAL Valuation .... the EV subsidiary methodology ladder
Scenario SOTP ..... the summary five-case grid and target prices
SOTP Detail ....... full SOTP in the original format, one table per scenario, with a logic column
Sensitivity ....... core multiple vs MEAL value, and holdco discount flex</t>
  </si>
  <si>
    <t xml:space="preserve">COLOUR LEGEND</t>
  </si>
  <si>
    <t xml:space="preserve">BLUE text = hardcoded input or scenario lever — edit these
BLACK text = formula calculated on the same sheet
GREEN text = link pulled from another sheet
YELLOW fill = key assumption worth challenging</t>
  </si>
  <si>
    <t xml:space="preserve">HEALTH WARNING</t>
  </si>
  <si>
    <t xml:space="preserve">Gem book values are an allocation of the Rs 199,487mn 'Other investments' line in the existing SOTP and are ESTIMATES, not disclosed segmentals. Private marks (LMM Rs 10,822cr Lightrock round, Jul-26; Susten OTPP-implied) are reported transaction values. Blue-sky targets are management's stated ambition, not our forecast.</t>
  </si>
  <si>
    <t xml:space="preserve">Assumptions &amp; Scenario Levers</t>
  </si>
  <si>
    <t xml:space="preserve">Blue cells are inputs — this is the only tab that should be edited. Everything else recalculates.</t>
  </si>
  <si>
    <t xml:space="preserve">1. GLOBAL INPUTS</t>
  </si>
  <si>
    <t xml:space="preserve">Input</t>
  </si>
  <si>
    <t xml:space="preserve">Value</t>
  </si>
  <si>
    <t xml:space="preserve">Unit</t>
  </si>
  <si>
    <t xml:space="preserve">Source / logic</t>
  </si>
  <si>
    <t xml:space="preserve">Shares outstanding</t>
  </si>
  <si>
    <t xml:space="preserve">mn</t>
  </si>
  <si>
    <t xml:space="preserve">Verified share count, Aug-26. NOTE: the existing SOTP implies c.1,243mn (3,284,241 / 2,642) — c.3% too high, which understates every per-share line.</t>
  </si>
  <si>
    <t xml:space="preserve">Current share price</t>
  </si>
  <si>
    <t xml:space="preserve">Rs</t>
  </si>
  <si>
    <t xml:space="preserve">Market price, 21-Aug-26. Used only for upside/downside.</t>
  </si>
  <si>
    <t xml:space="preserve">INR/USD</t>
  </si>
  <si>
    <t xml:space="preserve">-</t>
  </si>
  <si>
    <t xml:space="preserve">Used to translate management's US$ Growth Gem valuation targets.</t>
  </si>
  <si>
    <t xml:space="preserve">FY28E core PAT (auto + farm, ex-S&amp;A)</t>
  </si>
  <si>
    <t xml:space="preserve">Rs mn</t>
  </si>
  <si>
    <t xml:space="preserve">Derived from the existing SOTP: core value 3,284,241 / 18x = FY28E PAT. Anchors the core leg so the model reconciles to the current note.</t>
  </si>
  <si>
    <t xml:space="preserve">2. LISTED SUBSIDIARIES — MARKET DATA (refresh to a single trading date before publishing)</t>
  </si>
  <si>
    <t xml:space="preserve">Entity</t>
  </si>
  <si>
    <t xml:space="preserve">Mcap (Rs mn)</t>
  </si>
  <si>
    <t xml:space="preserve">M&amp;M stake %</t>
  </si>
  <si>
    <t xml:space="preserve">MMFSL  (MMFS IN)</t>
  </si>
  <si>
    <t xml:space="preserve">Mcap c.Rs 55,376cr (Aug-26) — the existing SOTP carries Rs 49,553cr. Refresh upward.</t>
  </si>
  <si>
    <t xml:space="preserve">Tech Mahindra  (TECHM IN)</t>
  </si>
  <si>
    <t xml:space="preserve">Mcap c.Rs 153,000cr — consistent with the existing SOTP. Non-core, minority-controlled.</t>
  </si>
  <si>
    <t xml:space="preserve">M&amp;M Logistics  (MAHLOG IN)</t>
  </si>
  <si>
    <t xml:space="preserve">Per existing SOTP; rights issue completed FY26 — verify post-issue mcap and stake.</t>
  </si>
  <si>
    <t xml:space="preserve">Mahindra Lifespace  (MAHLIFE IN)</t>
  </si>
  <si>
    <t xml:space="preserve">Per existing SOTP; consistent with market (c.Rs 7,700-8,500cr).</t>
  </si>
  <si>
    <t xml:space="preserve">Mahindra Holidays  (MHRL IN)</t>
  </si>
  <si>
    <t xml:space="preserve">Mcap c.Rs 6,400cr (Aug-26) — the existing SOTP carries Rs 4,422cr. Refresh upward.</t>
  </si>
  <si>
    <t xml:space="preserve">3. MEAL (EV SUBSIDIARY) — INPUTS</t>
  </si>
  <si>
    <t xml:space="preserve">M&amp;M stake in MEAL (post CCPS conversion)</t>
  </si>
  <si>
    <t xml:space="preserve">%</t>
  </si>
  <si>
    <t xml:space="preserve">BSE filing 1-May-26: CCPS converted, M&amp;M diluted from 99.99% to 92.45%. The existing SOTP labels the stake '78%' but computes 1,214,767/1,296,000 = 93.7% — the label is wrong and the maths is close to right.</t>
  </si>
  <si>
    <t xml:space="preserve">MEAL CCPS conversion value (1-May-26)</t>
  </si>
  <si>
    <t xml:space="preserve">Rs 40,425cr per the BSE filing. Best read as a contractual conversion-mechanism value, not a fresh round — but it is the ONLY transaction-based datapoint on MEAL equity value, and it sits at c.1/3 of the carried mark.</t>
  </si>
  <si>
    <t xml:space="preserve">MEAL funding-round mark (Temasek Aug-23 +20%/yr)</t>
  </si>
  <si>
    <t xml:space="preserve">The existing SOTP methodology: Rs 80,580cr Temasek mark (Aug-23) compounded at 20% p.a. Never tested by a priced round.</t>
  </si>
  <si>
    <t xml:space="preserve">FY26 EV business revenue (actual)</t>
  </si>
  <si>
    <t xml:space="preserve">Sum of FY26 quarterly EV-business revenue. Blends MEAL with e-SUV contract manufacturing and PLI — treat as approximate.</t>
  </si>
  <si>
    <t xml:space="preserve">FY28E EV business revenue</t>
  </si>
  <si>
    <t xml:space="preserve">Bernstein estimate. Scaling from c.5-6k/month Born-Electric run-rate on 8k/month Chakan capacity.</t>
  </si>
  <si>
    <t xml:space="preserve">4. SCENARIO LEVERS — the six axes</t>
  </si>
  <si>
    <t xml:space="preserve">Lever</t>
  </si>
  <si>
    <t xml:space="preserve">Stress</t>
  </si>
  <si>
    <t xml:space="preserve">Bear</t>
  </si>
  <si>
    <t xml:space="preserve">Base</t>
  </si>
  <si>
    <t xml:space="preserve">Bull</t>
  </si>
  <si>
    <t xml:space="preserve">Blue Sky</t>
  </si>
  <si>
    <t xml:space="preserve">Logic — why the lever moves this way</t>
  </si>
  <si>
    <t xml:space="preserve">Core P/E multiple (x FY28E)</t>
  </si>
  <si>
    <t xml:space="preserve">x</t>
  </si>
  <si>
    <t xml:space="preserve">Base 18x is the existing note. 14x = the trough M&amp;M has traded at through a rural down-cycle; 22x = the peak paid for #1 SUV + #1 tractor share with 20% ROE. Highest single contributor to the spread.</t>
  </si>
  <si>
    <t xml:space="preserve">Core FY28E earnings vs consensus</t>
  </si>
  <si>
    <t xml:space="preserve">Bear cases assume CAFE-III compliance cost, rural cycle turn and SUV competitive intensity (Tata, Maruti e-Vitara/Victoris, Toyota, Kia) bite. Bull assumes GST 2.0 demand pull-through holds.</t>
  </si>
  <si>
    <t xml:space="preserve">Control premium on listed subs</t>
  </si>
  <si>
    <t xml:space="preserve">The existing SOTP applies 20% to the four controlled listed subs. Bear/stress strip it — a control premium is only real if control is monetisable, and M&amp;M has shown no intent to sell these.</t>
  </si>
  <si>
    <t xml:space="preserve">Tech Mahindra stake discount</t>
  </si>
  <si>
    <t xml:space="preserve">TechM is non-core, only 28%-held, and structurally slower. The market habitually discounts it inside M&amp;M. Zero discount only if a stake reduction is signalled.</t>
  </si>
  <si>
    <t xml:space="preserve">Listed sub re-rating / (de-rating)</t>
  </si>
  <si>
    <t xml:space="preserve">Bull/blue-sky assume the listed tail re-rates with the group as gem IPOs crystallise marks.</t>
  </si>
  <si>
    <t xml:space="preserve">MEAL EV/Sales on FY28E</t>
  </si>
  <si>
    <t xml:space="preserve">Market-based cross-check. Ola Electric trades c.4-5x forward EV/sales while loss-making; global EV pure-plays (Li Auto, XPeng, NIO) sit low-single-digit. 3x on a profitable, share-gaining #2 is the defensible base.</t>
  </si>
  <si>
    <t xml:space="preserve">MEAL IPO / listing premium</t>
  </si>
  <si>
    <t xml:space="preserve">Applied only in blue sky, where MEAL lists and the private mark is validated at a premium.</t>
  </si>
  <si>
    <t xml:space="preserve">Growth Gems — multiple of book (default)</t>
  </si>
  <si>
    <t xml:space="preserve">Applied to gems with no external mark. 1.0x book = the existing SOTP treatment (status quo). Stress writes down sub-scale gems; base credits the 18% ROE hurdle being met.</t>
  </si>
  <si>
    <t xml:space="preserve">Private-mark illiquidity discount</t>
  </si>
  <si>
    <t xml:space="preserve">Haircut on last-round private marks for illiquidity and stale-price risk. Falls as gems approach listing.</t>
  </si>
  <si>
    <t xml:space="preserve">'5x Challenge' delivery probability</t>
  </si>
  <si>
    <t xml:space="preserve">Probability applied to management's stated targets (US$2-3bn per scalable gem, US$1bn per emerging gem by FY30). Credited in blue sky only.</t>
  </si>
  <si>
    <t xml:space="preserve">Holdco discount</t>
  </si>
  <si>
    <t xml:space="preserve">Base 10% = the existing note. Indian pure holdcos trade at 50-80% NAV discounts; M&amp;M is an operating company with a subsidiary tail, so 10% is the right order of magnitude but is generous. Narrows on each crystallised listing.</t>
  </si>
  <si>
    <t xml:space="preserve">Note: an example of how to use this tab — change D29 from 18x to 16x and every scenario table, the detail SOTP and the sensitivity grid update.</t>
  </si>
  <si>
    <t xml:space="preserve">Existing Bernstein SOTP — reproduced as-is</t>
  </si>
  <si>
    <t xml:space="preserve">Exactly as supplied. Hardcoded reference only; the scenario model does not read from this tab.</t>
  </si>
  <si>
    <t xml:space="preserve">% Stake</t>
  </si>
  <si>
    <t xml:space="preserve">Ticker</t>
  </si>
  <si>
    <t xml:space="preserve">Market cap (Rs mn)</t>
  </si>
  <si>
    <t xml:space="preserve">M&amp;M share (Rs mn)</t>
  </si>
  <si>
    <t xml:space="preserve">Comments</t>
  </si>
  <si>
    <t xml:space="preserve">Per share (Rs)</t>
  </si>
  <si>
    <t xml:space="preserve">Issue flagged</t>
  </si>
  <si>
    <t xml:space="preserve">Standalone Ex S&amp;A</t>
  </si>
  <si>
    <t xml:space="preserve">18x FY28</t>
  </si>
  <si>
    <t xml:space="preserve">Multiple is fair-to-slightly-full vs M&amp;M's own history and vs Maruti / Tata / HMIL. Retained as the base-case anchor.</t>
  </si>
  <si>
    <t xml:space="preserve">Listed subsidiary</t>
  </si>
  <si>
    <t xml:space="preserve">MMFSL</t>
  </si>
  <si>
    <t xml:space="preserve">MMFS IN</t>
  </si>
  <si>
    <t xml:space="preserve">with 20% control premium</t>
  </si>
  <si>
    <t xml:space="preserve">Mcap stale — c.Rs 55,376cr as at Aug-26 vs Rs 49,553cr here. Understates the block.</t>
  </si>
  <si>
    <t xml:space="preserve">Tech Mahindra</t>
  </si>
  <si>
    <t xml:space="preserve">TECHM IN</t>
  </si>
  <si>
    <t xml:space="preserve">Carried at full market with no discount. Non-core and only 28%-held — the market applies a discount here.</t>
  </si>
  <si>
    <t xml:space="preserve">M&amp;M Logistics</t>
  </si>
  <si>
    <t xml:space="preserve">MAHLOG</t>
  </si>
  <si>
    <t xml:space="preserve">Immaterial to the target. Refresh post rights issue.</t>
  </si>
  <si>
    <t xml:space="preserve">Mahindra Lifespace Devel</t>
  </si>
  <si>
    <t xml:space="preserve">MAHLIFE</t>
  </si>
  <si>
    <t xml:space="preserve">Consistent with market.</t>
  </si>
  <si>
    <t xml:space="preserve">Mahindra Holidays &amp; Resorts</t>
  </si>
  <si>
    <t xml:space="preserve">MHRL IN</t>
  </si>
  <si>
    <t xml:space="preserve">Mcap stale — c.Rs 6,400cr as at Aug-26 vs Rs 4,422cr here.</t>
  </si>
  <si>
    <t xml:space="preserve">Mahindra EV subsidiary</t>
  </si>
  <si>
    <t xml:space="preserve">Private valuation</t>
  </si>
  <si>
    <t xml:space="preserve">THE CENTRAL ISSUE. (i) Stake is 92.45% post the 1-May-26 CCPS conversion, not 78% — though the maths implies 93.7%, so the label is the error. (ii) No control premium is actually applied despite the comment. (iii) The 'funding round +20%/yr' mark of Rs 1,296,000mn is c.3x the Rs 404,250mn CCPS conversion value and c.2x a market EV/sales cross-check.</t>
  </si>
  <si>
    <t xml:space="preserve">Non listed subsidiaries / JV</t>
  </si>
  <si>
    <t xml:space="preserve">Other investment</t>
  </si>
  <si>
    <t xml:space="preserve">At 1x FY26 book value</t>
  </si>
  <si>
    <t xml:space="preserve">Holds the entire unlisted Growth Gems portfolio at book. Ignores the LMM Lightrock mark (Rs 10,822cr, Jul-26), the Susten OTPP mark and the InvIT, and gives zero credit to the '5x Challenge'. This is the client's actual question.</t>
  </si>
  <si>
    <t xml:space="preserve">Total</t>
  </si>
  <si>
    <t xml:space="preserve">Sums to Rs 4,469/sh as per the note.</t>
  </si>
  <si>
    <t xml:space="preserve">Target (rounded off)</t>
  </si>
  <si>
    <t xml:space="preserve">10% holdco discount</t>
  </si>
  <si>
    <t xml:space="preserve">Rs 4,469 x 0.90 = Rs 4,022, rounded to Rs 4,100.</t>
  </si>
  <si>
    <t xml:space="preserve">Implied share count</t>
  </si>
  <si>
    <t xml:space="preserve">mn shares</t>
  </si>
  <si>
    <t xml:space="preserve">c.1,243mn vs the verified c.1,203mn. Correcting this alone lifts every per-share line by c.3%.</t>
  </si>
  <si>
    <t xml:space="preserve">Growth Gems — valuation framework, gem by gem</t>
  </si>
  <si>
    <t xml:space="preserve">Four valuation regimes: book (status quo) -&gt; private mark -&gt; monetisation mark -&gt; '5x Challenge' target</t>
  </si>
  <si>
    <t xml:space="preserve">Gem</t>
  </si>
  <si>
    <t xml:space="preserve">Category</t>
  </si>
  <si>
    <t xml:space="preserve">M&amp;M stake</t>
  </si>
  <si>
    <t xml:space="preserve">Book / invested capital (Rs mn)</t>
  </si>
  <si>
    <t xml:space="preserve">Latest external mark (100%, Rs mn)</t>
  </si>
  <si>
    <t xml:space="preserve">5x target (US$bn, 100%)</t>
  </si>
  <si>
    <t xml:space="preserve">Valuation logic &amp; source</t>
  </si>
  <si>
    <t xml:space="preserve">Mahindra Last Mile Mobility</t>
  </si>
  <si>
    <t xml:space="preserve">Scalable</t>
  </si>
  <si>
    <t xml:space="preserve">Lightrock-led Rs 322cr round, 30-Jul-26, at Rs 10,822cr — with IFC and the India-Japan Fund/NIIF. Prior IFC round (2023) at up to Rs 6,020cr, i.e. the mark has c.1.8x'd in three years. &gt;100,000 cumulative e-3W sold in FY26, c.40% L5 share, 85% YoY Q1FY27 volume growth. IPO planned H2-2027 — the nearest crystallisation event and the single best leading indicator for the whole gems thesis.</t>
  </si>
  <si>
    <t xml:space="preserve">Mahindra Susten (renewables)</t>
  </si>
  <si>
    <t xml:space="preserve">OTPP bought 30% in Sep-22 at US$300m, implying c.Rs 7,900cr equity value; Rs 1,800cr rights issue Aug-25 at Rs 60.40/sh. Scaling 1.5GW to 7GW. InvIT planned — an InvIT crystallises a yield-based mark and is the second unlock after LMM.</t>
  </si>
  <si>
    <t xml:space="preserve">Mahindra Trucks &amp; Buses (incl. SML)</t>
  </si>
  <si>
    <t xml:space="preserve">SML (Swaraj Mazda) acquisition completed. Targeting top-3 ILCV and a Rs 15,000cr business by FY31. No external mark, so valued off book until profitability is demonstrated — the gem most exposed to the 18% ROE hurdle.</t>
  </si>
  <si>
    <t xml:space="preserve">Mahindra Accelo</t>
  </si>
  <si>
    <t xml:space="preserve">Emerging</t>
  </si>
  <si>
    <t xml:space="preserve">Steel processing and vehicle recycling. Targeting the largest organised recycler position, c.25% share by FY28. Scrappage-policy optionality is real but unpriced.</t>
  </si>
  <si>
    <t xml:space="preserve">Mahindra Aerostructures</t>
  </si>
  <si>
    <t xml:space="preserve">Preferred aero component supplier. Long-cycle, order-book visible, but sub-scale. Global aerostructure peers trade on EV/sales, not book — a re-mark is credible once revenue scales.</t>
  </si>
  <si>
    <t xml:space="preserve">Classic Legends (Jawa/Yezdi/BSA)</t>
  </si>
  <si>
    <t xml:space="preserve">BSA Goldstar 650 award-winning; exports scaling. The clearest candidate for a strategic sale rather than an IPO — a global motorcycle brand portfolio has scarcity value.</t>
  </si>
  <si>
    <t xml:space="preserve">Car&amp;Bike / Mahindra First Choice</t>
  </si>
  <si>
    <t xml:space="preserve">Content-to-commerce used-vehicle platform. Asset-light; would be valued on GMV/take-rate, not book, if listed. Note M&amp;M has already exited First Choice Services — the discipline cuts both ways.</t>
  </si>
  <si>
    <t xml:space="preserve">Bristlecone</t>
  </si>
  <si>
    <t xml:space="preserve">Adjacent</t>
  </si>
  <si>
    <t xml:space="preserve">Supply-chain software and consulting. Comparable listed SaaS/consulting multiples are well above book, but growth has been unremarkable — modest credit only.</t>
  </si>
  <si>
    <t xml:space="preserve">Other JVs, agri and residual</t>
  </si>
  <si>
    <t xml:space="preserve">Residual</t>
  </si>
  <si>
    <t xml:space="preserve">Balancing figure to the Rs 199,487mn 'Other investments' line: Mahindra Agri/Krish-e, Teqo, HZPC, Summit, the Manulife 50:50 life-insurance JV (each partner up to US$400m) and other JVs. Held at book throughout — no credit taken, and a new loss-making bet here is what would widen the holdco discount.</t>
  </si>
  <si>
    <t xml:space="preserve">Total Growth Gems (Rs mn)</t>
  </si>
  <si>
    <t xml:space="preserve">Book total ties to the Rs 199,487mn 'Other investments' line in the existing SOTP.</t>
  </si>
  <si>
    <t xml:space="preserve">Per M&amp;M share (Rs)</t>
  </si>
  <si>
    <t xml:space="preserve">Existing SOTP carries this bucket at Rs 160/sh. The Bear column is the like-for-like comparison (1x book on the corrected share count).</t>
  </si>
  <si>
    <t xml:space="preserve">MANAGEMENT'S STATED AMBITION</t>
  </si>
  <si>
    <t xml:space="preserve">Anish Shah, Q4 FY25 (5 May 2025) and reaffirmed at the Nov-2025 Investor Day: scalable Growth Gems carry valuation targets of US$2-3bn each, emerging gems US$1bn, under a '5x Challenge' over FY25-30.</t>
  </si>
  <si>
    <t xml:space="preserve">Autocar Professional (Nov-2025 Investor Day): the gems' share of group market capitalisation grew sevenfold between March 2020 and November 2025, reaching Rs 56,000cr.</t>
  </si>
  <si>
    <t xml:space="preserve">Credibility anchor: under Anish Shah, M&amp;M exited c.15 underperforming businesses (SsangYong/KG Mobility, Peugeot Motocycles, US farm restructuring, Sampo Rosenlew, First Choice Services), hit the 18% ROE target within c.18 months, and now runs a hard 18% ROE turn-around-or-exit hurdle. This is the reason to credit the gems in a bull case — but not the reason to credit them today at book-plus.</t>
  </si>
  <si>
    <t xml:space="preserve">Mahindra Electric Automobile Ltd (MEAL) — the primary scenario axis</t>
  </si>
  <si>
    <t xml:space="preserve">c.22% of the existing gross SOTP rests on one untested private mark. Methodology, not level, is the variable.</t>
  </si>
  <si>
    <t xml:space="preserve">Scenario</t>
  </si>
  <si>
    <t xml:space="preserve">Method</t>
  </si>
  <si>
    <t xml:space="preserve">Equity value 100% (Rs mn)</t>
  </si>
  <si>
    <t xml:space="preserve">Logic &amp; derivation</t>
  </si>
  <si>
    <t xml:space="preserve">CCPS conversion mark</t>
  </si>
  <si>
    <t xml:space="preserve">Marks MEAL at the Rs 40,425cr value at which the CCPS actually converted on 1-May-26. This is the only transaction-based datapoint that exists. BII and Temasek received 12.11cr, 9.23cr and 13.84cr shares respectively, and total dilution of c.7.55% sits at or above the top of the originally disclosed ownership bands (BII 2.75-4.76%, Temasek 1.49-2.97%) — consistent with a LOWER conversion valuation maximising investor shares. If a fresh priced round lands anywhere near here, the existing SOTP loses c.Rs 670/share.</t>
  </si>
  <si>
    <t xml:space="preserve">2.0x FY28E EV revenue</t>
  </si>
  <si>
    <t xml:space="preserve">Market cross-check at a multiple consistent with global EV pure-plays that have stopped growing (NIO c.1x, Li Auto and XPeng low-single-digit forward EV/sales). Assumes Born-Electric volumes plateau at the current c.5-6k/month and the FY30 target of 20-30% of SUV sales being EV slips again.</t>
  </si>
  <si>
    <t xml:space="preserve">3.0x FY28E EV revenue</t>
  </si>
  <si>
    <t xml:space="preserve">Our recommended base. FY26 EV revenue c.Rs 14,111cr with EBITDA c.Rs 1,314cr and PBIT +Rs 287cr — MEAL is profitable, unlike Ola Electric (Rs 487cr Q3FY26 net loss, 61% volume decline, Emkay TP cut c.60% in Feb-26). A 3x multiple on a profitable c.19% e-PV share #2 player, against Ola's c.4-5x while loss-making, is defensible and conservative. Roughly HALVES the existing MEAL contribution.</t>
  </si>
  <si>
    <t xml:space="preserve">Funding round +20%/yr (status quo)</t>
  </si>
  <si>
    <t xml:space="preserve">The existing SOTP methodology retained — Rs 80,580cr Temasek mark (Aug-23) compounded at 20% p.a. This is a BULL case, not a base case: it requires the next priced round to validate a mark c.3x the CCPS conversion value. Read-across: Tata's TPEM was marked at c.US$9.1bn in the Jan-23 TPG Rise round on a much larger base (c.68-70% India EV PV share) — M&amp;M is being carried at a similar absolute value on roughly a quarter of the share.</t>
  </si>
  <si>
    <t xml:space="preserve">Funding round mark + IPO premium</t>
  </si>
  <si>
    <t xml:space="preserve">MEAL lists and prices above the last private mark. Requires sustained &gt;6,000/month Born-Electric volumes, consistently EBIT-positive EV margins, and the 8k/month Chakan capacity being filled.</t>
  </si>
  <si>
    <t xml:space="preserve">Existing SOTP carries MEAL at</t>
  </si>
  <si>
    <t xml:space="preserve">Rs 977/sh on a c.1,243mn implied share count. Our base of c.Rs 540 implies a c.Rs 435/share reduction — by far the highest-leverage single edit in the model.</t>
  </si>
  <si>
    <t xml:space="preserve">M&amp;M SOTP — five-case scenario grid</t>
  </si>
  <si>
    <t xml:space="preserve">Per share (Rs) unless stated. Every cell is a live formula off the Assumptions tab.</t>
  </si>
  <si>
    <t xml:space="preserve">Building block</t>
  </si>
  <si>
    <t xml:space="preserve">Methodology — how this block is valued and why it moves</t>
  </si>
  <si>
    <t xml:space="preserve">Core auto + farm (ex-S&amp;A)</t>
  </si>
  <si>
    <t xml:space="preserve">FY28E core PAT x (1 + earnings delta) x P/E, divided by shares. Anchored to the existing note's 18x. #1 SUV share (25.3% revenue share FY26), #1 tractor share (43.6%, highest-ever full year), 52.3% LCV &lt;3.5T. FY26 consolidated PAT Rs 17,099cr (+35% ex one-offs), ROE 20.1%.</t>
  </si>
  <si>
    <t xml:space="preserve">Listed subsidiaries</t>
  </si>
  <si>
    <t xml:space="preserve">Mark-to-market on each stake, then flexed for the control premium (four controlled subs), a Tech Mahindra stake discount, and a group re-rating. TechM alone is c.40-45% of this block, which is why the discount on it drives most of the spread.</t>
  </si>
  <si>
    <t xml:space="preserve">MEAL (EV subsidiary)</t>
  </si>
  <si>
    <t xml:space="preserve">Pulled from the MEAL Valuation tab. The methodology itself changes by scenario — CCPS conversion mark / market EV-sales / funding-round mark / funding-round + IPO premium. This is the widest block in the model: c.Rs 311 to c.Rs 1,145 per share.</t>
  </si>
  <si>
    <t xml:space="preserve">Growth Gems &amp; other investments</t>
  </si>
  <si>
    <t xml:space="preserve">Pulled from the Growth Gems tab. Regime shifts by scenario: 0.8x book (write-down) / 1.0x book (existing SOTP treatment) / latest private marks less illiquidity / monetisation marks / '5x Challenge' targets probability-weighted.</t>
  </si>
  <si>
    <t xml:space="preserve">Gross SOTP (Rs/share)</t>
  </si>
  <si>
    <t xml:space="preserve">Sum of the four blocks, before the holdco discount.</t>
  </si>
  <si>
    <t xml:space="preserve">Indian pure holdcos (Bajaj Holdings, Maharashtra Scooters, Kalyani, JSW Holdings) trade at 50-80% NAV discounts; global conglomerates 5-20%. M&amp;M is an operating company with a subsidiary tail, so 10% is the right order of magnitude — but it narrows only when marks are crystallised, not when they are asserted.</t>
  </si>
  <si>
    <t xml:space="preserve">TARGET PRICE (Rs/share)</t>
  </si>
  <si>
    <t xml:space="preserve">Current price (Rs)</t>
  </si>
  <si>
    <t xml:space="preserve">Upside / (downside)</t>
  </si>
  <si>
    <t xml:space="preserve">Implied P/E on FY28E core PAT (x)</t>
  </si>
  <si>
    <t xml:space="preserve">Sanity check: what the whole target implies on core earnings alone. A number far above the core multiple is the model telling you how much of the target is non-core — and therefore how much rests on marks rather than earnings.</t>
  </si>
  <si>
    <t xml:space="preserve">SCENARIO NARRATIVES — the one-line story behind each case</t>
  </si>
  <si>
    <t xml:space="preserve">Target (Rs)</t>
  </si>
  <si>
    <t xml:space="preserve">Upside</t>
  </si>
  <si>
    <t xml:space="preserve">The story</t>
  </si>
  <si>
    <t xml:space="preserve">MEAL is re-marked to the CCPS conversion value in a priced round or a listing, the core de-rates through a rural down-cycle with CAFE-III costs landing, control premiums prove unmonetisable, TechM is discounted 30%, gems are written down below book, and the holdco discount widens to 25% as capital goes into new loss-making bets. This is the 'the marks were never real' case.</t>
  </si>
  <si>
    <t xml:space="preserve">No crisis, just no credit. MEAL is valued on where loss-making EV pure-plays actually trade, gems stay at 1x book exactly as the existing SOTP has them, no control premium is given, and the holdco discount sits at 20%. Note this case is only c.Rs 30/share below where the stock trades — the market is roughly here.</t>
  </si>
  <si>
    <t xml:space="preserve">OUR RECOMMENDED CASE. Core holds 18x on consensus FY28E. MEAL is cross-checked to market at 3x FY28E EV revenue rather than compounded off a 2023 round. Gems are marked to their latest actual private rounds (LMM at the Jul-26 Lightrock mark, Susten OTPP-implied) less a 20% illiquidity haircut. Control premiums retained, holdco discount 10%.</t>
  </si>
  <si>
    <t xml:space="preserve">The existing note's MEAL methodology is vindicated by a fresh priced round, LMM lists in H2-2027 above its last mark, the Susten InvIT prices, gems re-rate to 2x book, the listed tail re-rates 5% with the group and the holdco discount narrows to 5% as marks become market prices.</t>
  </si>
  <si>
    <t xml:space="preserve">MEAL lists at a premium to the private mark AND management delivers the '5x Challenge' — US$2-3bn per scalable gem, US$1bn per emerging gem — at 60% probability, with the holdco discount eliminated. This is the number to quote when a client asks what the ambition is worth if fully executed. It is not a forecast.</t>
  </si>
  <si>
    <t xml:space="preserve">Street context</t>
  </si>
  <si>
    <t xml:space="preserve">Consensus c.38 analysts, average TP c.Rs 4,318, range Rs 3,030-5,005. Nomura Rs 4,875 (16x FY28F EV/EBITDA), CLSA Rs 4,702, Jefferies Rs 4,500, Motilal Rs 4,521, HSBC Rs 4,250, Nuvama Rs 3,800 (25x core FY28 EPS + Rs 580/sh aggregate subsidiary value), Geojit Rs 3,508. Critically, NO accessible broker note discloses a standalone MEAL valuation line — the EV subsidiary is bundled everywhere. That is the analytical gap this framework exploits.</t>
  </si>
  <si>
    <t xml:space="preserve">Full SOTP in the original format — one table per scenario</t>
  </si>
  <si>
    <t xml:space="preserve">Same layout as the existing note, with an added logic column showing how each line is derived.</t>
  </si>
  <si>
    <t xml:space="preserve">SCENARIO 1 of 5 — STRESS</t>
  </si>
  <si>
    <t xml:space="preserve">Logic — how this number is arrived at</t>
  </si>
  <si>
    <t xml:space="preserve">FY28E core PAT of Rs 182,458mn (back-solved from the existing note: Rs 3,284,241mn / 18x), flexed for the scenario earnings delta, times the scenario P/E, divided by 1,203mn shares.</t>
  </si>
  <si>
    <t xml:space="preserve">Mcap x 52% x (1 + control premium). Control premium applied only where M&amp;M has majority control AND monetisable optionality. Mcap refreshed to c.Rs 55,376cr (the existing note uses a stale Rs 49,553cr).</t>
  </si>
  <si>
    <t xml:space="preserve">Mcap x 28% x (1 - stake discount). No control premium — M&amp;M does not control TechM outright. The stake discount reflects that TechM is non-core, slower-growing, and that the market has never given M&amp;M full credit for it inside the SOTP.</t>
  </si>
  <si>
    <t xml:space="preserve">MAHLOG IN</t>
  </si>
  <si>
    <t xml:space="preserve">Mcap x 58% x (1 + control premium). Immaterial to the target; refresh post the FY26 rights issue.</t>
  </si>
  <si>
    <t xml:space="preserve">Mahindra Lifespace</t>
  </si>
  <si>
    <t xml:space="preserve">MAHLIFE IN</t>
  </si>
  <si>
    <t xml:space="preserve">Mcap x 51% x (1 + control premium). A listed 'scalable gem' — already marked to market, so it does not double-count against the Growth Gems tab.</t>
  </si>
  <si>
    <t xml:space="preserve">Mahindra Holidays</t>
  </si>
  <si>
    <t xml:space="preserve">Mcap x 67% x (1 + control premium). Mcap refreshed to c.Rs 6,400cr (the existing note uses a stale Rs 4,422cr). Also a listed scalable gem.</t>
  </si>
  <si>
    <t xml:space="preserve">Mahindra EV subsidiary (MEAL)</t>
  </si>
  <si>
    <t xml:space="preserve">Stake corrected to 92.45% (BSE filing, 1-May-26) from the '78%' label in the existing note. No control premium — MEAL is already &gt;92% owned and consolidated, so a control premium on top of a whole-company valuation double-counts. Method for this scenario is shown in the Comments column; full derivation on the MEAL Valuation tab.</t>
  </si>
  <si>
    <t xml:space="preserve">0.8x book</t>
  </si>
  <si>
    <t xml:space="preserve">Write-down case: sub-scale gems fail the 18% ROE hurdle and are exited below carrying value.</t>
  </si>
  <si>
    <t xml:space="preserve">Total (gross)</t>
  </si>
  <si>
    <t xml:space="preserve">Sum of all blocks before the holdco discount.</t>
  </si>
  <si>
    <t xml:space="preserve">holdco discount</t>
  </si>
  <si>
    <t xml:space="preserve">Gross SOTP less the holdco discount, rounded to the nearest Rs 100 as per house convention.</t>
  </si>
  <si>
    <t xml:space="preserve">Upside / (downside) vs current price</t>
  </si>
  <si>
    <t xml:space="preserve">SCENARIO 2 of 5 — BEAR</t>
  </si>
  <si>
    <t xml:space="preserve">1x book (as existing)</t>
  </si>
  <si>
    <t xml:space="preserve">Status quo — identical treatment to the existing SOTP's Rs 199,487mn at 1x FY26 book.</t>
  </si>
  <si>
    <t xml:space="preserve">SCENARIO 3 of 5 — BASE</t>
  </si>
  <si>
    <t xml:space="preserve">Private marks less illiquidity</t>
  </si>
  <si>
    <t xml:space="preserve">Each gem marked to its own latest external round where one exists (LMM Rs 10,822cr Jul-26; Susten OTPP-implied), else 1.5x book, all less a 20% illiquidity haircut.</t>
  </si>
  <si>
    <t xml:space="preserve">SCENARIO 4 of 5 — BULL</t>
  </si>
  <si>
    <t xml:space="preserve">Monetisation marks</t>
  </si>
  <si>
    <t xml:space="preserve">Monetisation: marked gems at 1.5x their last round (IPO uplift), unmarked at 2x book, less a 10% haircut. Triggered by the LMM H2-2027 IPO and the Susten InvIT.</t>
  </si>
  <si>
    <t xml:space="preserve">SCENARIO 5 of 5 — BLUE SKY</t>
  </si>
  <si>
    <t xml:space="preserve">'5x Challenge' at 60%</t>
  </si>
  <si>
    <t xml:space="preserve">Management's stated US$2-3bn/US$1bn per-gem targets at 60% delivery probability, floored at the Bull value.</t>
  </si>
  <si>
    <t xml:space="preserve">Sensitivity — where the value actually comes from</t>
  </si>
  <si>
    <t xml:space="preserve">Base-case listed subs, gems and holdco discount held constant unless stated.</t>
  </si>
  <si>
    <t xml:space="preserve">Static blocks used in the grids (base case)</t>
  </si>
  <si>
    <t xml:space="preserve">Listed subsidiaries (Rs/share)</t>
  </si>
  <si>
    <t xml:space="preserve">Growth Gems (Rs/share)</t>
  </si>
  <si>
    <t xml:space="preserve">FY28E core PAT (Rs mn)</t>
  </si>
  <si>
    <t xml:space="preserve">Shares (mn)</t>
  </si>
  <si>
    <t xml:space="preserve">GRID 1 — Target price (Rs): core P/E multiple vs MEAL value per share</t>
  </si>
  <si>
    <t xml:space="preserve">MEAL (Rs/sh)  \  Core P/E (x)</t>
  </si>
  <si>
    <t xml:space="preserve">Read across a row to see the core-multiple risk; read down a column to see the MEAL methodology risk. The vertical spread (c.Rs 750/share from MEAL alone) is wider than the horizontal spread across a 10-turn P/E range — that is the whole argument for treating MEAL as the primary axis rather than a fixed block.</t>
  </si>
  <si>
    <t xml:space="preserve">GRID 2 — Target price (Rs): holdco discount vs Growth Gems value per share</t>
  </si>
  <si>
    <t xml:space="preserve">Gems (Rs/sh)  \  Holdco discount</t>
  </si>
  <si>
    <t xml:space="preserve">Gems and the holdco discount are linked, not independent: every crystallised listing raises the gems value AND narrows the discount, so the realistic path runs diagonally from bottom-left to top-right. Rs 160/sh at a 20% discount is roughly where the market prices M&amp;M today; Rs 300/sh at 5% is the LMM-IPO-plus-Susten-InvIT outcome.</t>
  </si>
  <si>
    <t xml:space="preserve">CATALYST WATCHLIST — what moves you between scenarios</t>
  </si>
  <si>
    <t xml:space="preserve">Catalyst</t>
  </si>
  <si>
    <t xml:space="preserve">Timing</t>
  </si>
  <si>
    <t xml:space="preserve">Axis affected</t>
  </si>
  <si>
    <t xml:space="preserve">Why it matters / what to watch</t>
  </si>
  <si>
    <t xml:space="preserve">LMM IPO</t>
  </si>
  <si>
    <t xml:space="preserve">H2 2027</t>
  </si>
  <si>
    <t xml:space="preserve">Gems + holdco discount</t>
  </si>
  <si>
    <t xml:space="preserve">Prices the largest unlisted gem against its Rs 10,822cr Jul-26 mark. A listing above the mark validates the whole private-mark approach and pulls the holdco discount toward 5%; a listing below it is the first real evidence the gem marks are optimistic.</t>
  </si>
  <si>
    <t xml:space="preserve">Fresh priced MEAL round or MEAL IPO</t>
  </si>
  <si>
    <t xml:space="preserve">Open</t>
  </si>
  <si>
    <t xml:space="preserve">MEAL — decisive</t>
  </si>
  <si>
    <t xml:space="preserve">THE definitive test. Anywhere near the funding-round mark justifies moving base toward Rs 4,300-4,500; anywhere near the Rs 40,425cr CCPS conversion value caps fair value nearer Rs 3,200-3,400.</t>
  </si>
  <si>
    <t xml:space="preserve">Susten InvIT</t>
  </si>
  <si>
    <t xml:space="preserve">Crystallises a yield-based mark on the second-largest gem and creates a repeatable monetisation template.</t>
  </si>
  <si>
    <t xml:space="preserve">Born-Electric monthly volumes</t>
  </si>
  <si>
    <t xml:space="preserve">Monthly</t>
  </si>
  <si>
    <t xml:space="preserve">MEAL</t>
  </si>
  <si>
    <t xml:space="preserve">Sustained &gt;6,000/month on the 8k/month Chakan capacity, with EV margins consistently EBIT-positive, is what earns the move from 3x to a premium EV/sales multiple. FY26 e-SUV EBITDA margin 9.1%, EBIT 2.0% — thin.</t>
  </si>
  <si>
    <t xml:space="preserve">Core SUV and tractor share / margins</t>
  </si>
  <si>
    <t xml:space="preserve">Quarterly</t>
  </si>
  <si>
    <t xml:space="preserve">Core multiple</t>
  </si>
  <si>
    <t xml:space="preserve">25.3% SUV revenue share and 43.6% tractor share are the highest-ever. The 18x base assumes these hold. Watch Tata, Maruti (e-Vitara, Victoris), Toyota and Kia, plus CAFE-III compliance cost.</t>
  </si>
  <si>
    <t xml:space="preserve">New capital into loss-making bets</t>
  </si>
  <si>
    <t xml:space="preserve">Ongoing</t>
  </si>
  <si>
    <t xml:space="preserve">The Manulife 50:50 life-insurance JV (each partner up to US$400m) is the test case. The 18% ROE hurdle is the whole reason the market gives M&amp;M credit — capital going somewhere it cannot clear that hurdle widens the discount.</t>
  </si>
</sst>
</file>

<file path=xl/styles.xml><?xml version="1.0" encoding="utf-8"?>
<styleSheet xmlns="http://schemas.openxmlformats.org/spreadsheetml/2006/main">
  <numFmts count="8">
    <numFmt numFmtId="164" formatCode="General"/>
    <numFmt numFmtId="165" formatCode="#,##0;\(#,##0\);\-"/>
    <numFmt numFmtId="166" formatCode="0.0%;\(0.0%\);\-"/>
    <numFmt numFmtId="167" formatCode="0.0\x"/>
    <numFmt numFmtId="168" formatCode="0%"/>
    <numFmt numFmtId="169" formatCode="#,##0"/>
    <numFmt numFmtId="170" formatCode="0.00"/>
    <numFmt numFmtId="171" formatCode="0.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FFFFFF"/>
      <name val="Arial"/>
      <family val="0"/>
      <charset val="1"/>
    </font>
    <font>
      <b val="true"/>
      <sz val="10"/>
      <name val="Arial"/>
      <family val="0"/>
      <charset val="1"/>
    </font>
    <font>
      <sz val="10"/>
      <name val="Arial"/>
      <family val="0"/>
      <charset val="1"/>
    </font>
    <font>
      <b val="true"/>
      <sz val="10"/>
      <color rgb="FF000000"/>
      <name val="Arial"/>
      <family val="0"/>
      <charset val="1"/>
    </font>
    <font>
      <b val="true"/>
      <sz val="10"/>
      <color rgb="FFFFFFFF"/>
      <name val="Arial"/>
      <family val="0"/>
      <charset val="1"/>
    </font>
    <font>
      <sz val="10"/>
      <color rgb="FF0000FF"/>
      <name val="Arial"/>
      <family val="0"/>
      <charset val="1"/>
    </font>
    <font>
      <i val="true"/>
      <sz val="9"/>
      <color rgb="FF404040"/>
      <name val="Arial"/>
      <family val="0"/>
      <charset val="1"/>
    </font>
    <font>
      <b val="true"/>
      <sz val="10"/>
      <color rgb="FF0000FF"/>
      <name val="Arial"/>
      <family val="0"/>
      <charset val="1"/>
    </font>
    <font>
      <sz val="10"/>
      <color rgb="FF008000"/>
      <name val="Arial"/>
      <family val="0"/>
      <charset val="1"/>
    </font>
  </fonts>
  <fills count="8">
    <fill>
      <patternFill patternType="none"/>
    </fill>
    <fill>
      <patternFill patternType="gray125"/>
    </fill>
    <fill>
      <patternFill patternType="solid">
        <fgColor rgb="FF3B3B3B"/>
        <bgColor rgb="FF404040"/>
      </patternFill>
    </fill>
    <fill>
      <patternFill patternType="solid">
        <fgColor rgb="FFD9D9D9"/>
        <bgColor rgb="FFBFBFBF"/>
      </patternFill>
    </fill>
    <fill>
      <patternFill patternType="solid">
        <fgColor rgb="FF595959"/>
        <bgColor rgb="FF404040"/>
      </patternFill>
    </fill>
    <fill>
      <patternFill patternType="solid">
        <fgColor rgb="FFFFFF00"/>
        <bgColor rgb="FFFFFF00"/>
      </patternFill>
    </fill>
    <fill>
      <patternFill patternType="solid">
        <fgColor rgb="FFBFBFBF"/>
        <bgColor rgb="FFD9D9D9"/>
      </patternFill>
    </fill>
    <fill>
      <patternFill patternType="solid">
        <fgColor rgb="FF4EC9A0"/>
        <bgColor rgb="FF3399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2" borderId="0" xfId="0" applyFont="true" applyBorder="true" applyAlignment="true" applyProtection="false">
      <alignment horizontal="general" vertical="center" textRotation="0" wrapText="false" indent="1"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center" vertical="bottom" textRotation="0" wrapText="fals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5" fontId="6" fillId="6"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5" fontId="12" fillId="7" borderId="1" xfId="0" applyFont="true" applyBorder="true" applyAlignment="false" applyProtection="false">
      <alignment horizontal="general" vertical="bottom" textRotation="0" wrapText="false" indent="0" shrinkToFit="false"/>
      <protection locked="true" hidden="false"/>
    </xf>
    <xf numFmtId="164" fontId="11" fillId="7" borderId="1" xfId="0" applyFont="true" applyBorder="tru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0" fillId="5" borderId="0" xfId="0" applyFont="true" applyBorder="false" applyAlignment="false" applyProtection="false">
      <alignment horizontal="general" vertical="bottom" textRotation="0" wrapText="false" indent="0" shrinkToFit="false"/>
      <protection locked="true" hidden="false"/>
    </xf>
    <xf numFmtId="170" fontId="10" fillId="5"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xf numFmtId="165" fontId="6" fillId="7"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true" applyProtection="false">
      <alignment horizontal="center" vertical="bottom" textRotation="0" wrapText="false" indent="0" shrinkToFit="false"/>
      <protection locked="true" hidden="false"/>
    </xf>
    <xf numFmtId="171"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8" fontId="13" fillId="7" borderId="1" xfId="0" applyFont="true" applyBorder="tru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7" fontId="9" fillId="4" borderId="1" xfId="0" applyFont="true" applyBorder="true" applyAlignment="true" applyProtection="false">
      <alignment horizontal="center"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8" fontId="9"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EC9A0"/>
      <rgbColor rgb="FF99CC00"/>
      <rgbColor rgb="FFFFCC00"/>
      <rgbColor rgb="FFFF9900"/>
      <rgbColor rgb="FFFF6600"/>
      <rgbColor rgb="FF595959"/>
      <rgbColor rgb="FF969696"/>
      <rgbColor rgb="FF003366"/>
      <rgbColor rgb="FF339966"/>
      <rgbColor rgb="FF003300"/>
      <rgbColor rgb="FF404040"/>
      <rgbColor rgb="FF993300"/>
      <rgbColor rgb="FF993366"/>
      <rgbColor rgb="FF333399"/>
      <rgbColor rgb="FF3B3B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4"/>
    <col collapsed="false" customWidth="true" hidden="false" outlineLevel="0" max="4" min="3" style="0" width="2"/>
  </cols>
  <sheetData>
    <row r="1" customFormat="false" ht="25.5" hidden="false" customHeight="true" outlineLevel="0" collapsed="false">
      <c r="A1" s="1" t="s">
        <v>0</v>
      </c>
      <c r="B1" s="1"/>
      <c r="C1" s="1"/>
      <c r="D1" s="1"/>
    </row>
    <row r="2" customFormat="false" ht="15.75" hidden="false" customHeight="true" outlineLevel="0" collapsed="false">
      <c r="A2" s="2" t="s">
        <v>1</v>
      </c>
      <c r="B2" s="2"/>
      <c r="C2" s="2"/>
      <c r="D2" s="2"/>
    </row>
    <row r="5" customFormat="false" ht="39" hidden="false" customHeight="true" outlineLevel="0" collapsed="false">
      <c r="A5" s="3" t="s">
        <v>2</v>
      </c>
      <c r="B5" s="4" t="s">
        <v>3</v>
      </c>
    </row>
    <row r="7" customFormat="false" ht="129.75" hidden="false" customHeight="true" outlineLevel="0" collapsed="false">
      <c r="A7" s="3" t="s">
        <v>4</v>
      </c>
      <c r="B7" s="4" t="s">
        <v>5</v>
      </c>
    </row>
    <row r="9" customFormat="false" ht="51.75" hidden="false" customHeight="true" outlineLevel="0" collapsed="false">
      <c r="A9" s="3" t="s">
        <v>6</v>
      </c>
      <c r="B9" s="4" t="s">
        <v>7</v>
      </c>
    </row>
    <row r="11" customFormat="false" ht="156" hidden="false" customHeight="true" outlineLevel="0" collapsed="false">
      <c r="A11" s="3" t="s">
        <v>8</v>
      </c>
      <c r="B11" s="4" t="s">
        <v>9</v>
      </c>
    </row>
    <row r="13" customFormat="false" ht="78" hidden="false" customHeight="true" outlineLevel="0" collapsed="false">
      <c r="A13" s="3" t="s">
        <v>10</v>
      </c>
      <c r="B13" s="4" t="s">
        <v>11</v>
      </c>
    </row>
    <row r="15" customFormat="false" ht="51.75" hidden="false" customHeight="true" outlineLevel="0" collapsed="false">
      <c r="A15" s="3" t="s">
        <v>12</v>
      </c>
      <c r="B15" s="4" t="s">
        <v>13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5"/>
    <col collapsed="false" customWidth="true" hidden="false" outlineLevel="0" max="7" min="7" style="0" width="13"/>
    <col collapsed="false" customWidth="true" hidden="false" outlineLevel="0" max="8" min="8" style="0" width="78"/>
  </cols>
  <sheetData>
    <row r="1" customFormat="false" ht="25.5" hidden="false" customHeight="true" outlineLevel="0" collapsed="false">
      <c r="A1" s="1" t="s">
        <v>14</v>
      </c>
      <c r="B1" s="1"/>
      <c r="C1" s="1"/>
      <c r="D1" s="1"/>
      <c r="E1" s="1"/>
      <c r="F1" s="1"/>
      <c r="G1" s="1"/>
      <c r="H1" s="1"/>
    </row>
    <row r="2" customFormat="false" ht="15.75" hidden="false" customHeight="true" outlineLevel="0" collapsed="false">
      <c r="A2" s="2" t="s">
        <v>15</v>
      </c>
      <c r="B2" s="2"/>
      <c r="C2" s="2"/>
      <c r="D2" s="2"/>
      <c r="E2" s="2"/>
      <c r="F2" s="2"/>
      <c r="G2" s="2"/>
      <c r="H2" s="2"/>
    </row>
    <row r="4" customFormat="false" ht="15" hidden="false" customHeight="false" outlineLevel="0" collapsed="false">
      <c r="A4" s="5" t="s">
        <v>16</v>
      </c>
      <c r="B4" s="6"/>
      <c r="C4" s="6"/>
      <c r="D4" s="6"/>
      <c r="E4" s="6"/>
      <c r="F4" s="6"/>
      <c r="G4" s="6"/>
      <c r="H4" s="6"/>
    </row>
    <row r="5" customFormat="false" ht="30" hidden="false" customHeight="true" outlineLevel="0" collapsed="false">
      <c r="A5" s="7" t="s">
        <v>17</v>
      </c>
      <c r="B5" s="7" t="s">
        <v>18</v>
      </c>
      <c r="C5" s="7" t="s">
        <v>19</v>
      </c>
      <c r="D5" s="7"/>
      <c r="E5" s="7"/>
      <c r="F5" s="7"/>
      <c r="G5" s="7"/>
      <c r="H5" s="7" t="s">
        <v>20</v>
      </c>
    </row>
    <row r="6" customFormat="false" ht="25.5" hidden="false" customHeight="true" outlineLevel="0" collapsed="false">
      <c r="A6" s="8" t="s">
        <v>21</v>
      </c>
      <c r="B6" s="9" t="n">
        <v>1203</v>
      </c>
      <c r="C6" s="10" t="s">
        <v>22</v>
      </c>
      <c r="H6" s="11" t="s">
        <v>23</v>
      </c>
    </row>
    <row r="7" customFormat="false" ht="25.5" hidden="false" customHeight="true" outlineLevel="0" collapsed="false">
      <c r="A7" s="8" t="s">
        <v>24</v>
      </c>
      <c r="B7" s="9" t="n">
        <v>3418</v>
      </c>
      <c r="C7" s="10" t="s">
        <v>25</v>
      </c>
      <c r="H7" s="11" t="s">
        <v>26</v>
      </c>
    </row>
    <row r="8" customFormat="false" ht="25.5" hidden="false" customHeight="true" outlineLevel="0" collapsed="false">
      <c r="A8" s="8" t="s">
        <v>27</v>
      </c>
      <c r="B8" s="9" t="n">
        <v>88</v>
      </c>
      <c r="C8" s="10" t="s">
        <v>28</v>
      </c>
      <c r="H8" s="11" t="s">
        <v>29</v>
      </c>
    </row>
    <row r="9" customFormat="false" ht="25.5" hidden="false" customHeight="true" outlineLevel="0" collapsed="false">
      <c r="A9" s="8" t="s">
        <v>30</v>
      </c>
      <c r="B9" s="9" t="n">
        <v>182458</v>
      </c>
      <c r="C9" s="10" t="s">
        <v>31</v>
      </c>
      <c r="H9" s="11" t="s">
        <v>32</v>
      </c>
    </row>
    <row r="11" customFormat="false" ht="15" hidden="false" customHeight="false" outlineLevel="0" collapsed="false">
      <c r="A11" s="5" t="s">
        <v>33</v>
      </c>
      <c r="B11" s="6"/>
      <c r="C11" s="6"/>
      <c r="D11" s="6"/>
      <c r="E11" s="6"/>
      <c r="F11" s="6"/>
      <c r="G11" s="6"/>
      <c r="H11" s="6"/>
    </row>
    <row r="12" customFormat="false" ht="30" hidden="false" customHeight="true" outlineLevel="0" collapsed="false">
      <c r="A12" s="7" t="s">
        <v>34</v>
      </c>
      <c r="B12" s="7" t="s">
        <v>35</v>
      </c>
      <c r="C12" s="7" t="s">
        <v>36</v>
      </c>
      <c r="D12" s="7"/>
      <c r="E12" s="7"/>
      <c r="F12" s="7"/>
      <c r="G12" s="7"/>
      <c r="H12" s="7" t="s">
        <v>20</v>
      </c>
    </row>
    <row r="13" customFormat="false" ht="24" hidden="false" customHeight="true" outlineLevel="0" collapsed="false">
      <c r="A13" s="8" t="s">
        <v>37</v>
      </c>
      <c r="B13" s="9" t="n">
        <v>553760</v>
      </c>
      <c r="C13" s="12" t="n">
        <v>0.52</v>
      </c>
      <c r="H13" s="11" t="s">
        <v>38</v>
      </c>
    </row>
    <row r="14" customFormat="false" ht="24" hidden="false" customHeight="true" outlineLevel="0" collapsed="false">
      <c r="A14" s="8" t="s">
        <v>39</v>
      </c>
      <c r="B14" s="9" t="n">
        <v>1530000</v>
      </c>
      <c r="C14" s="12" t="n">
        <v>0.28</v>
      </c>
      <c r="H14" s="11" t="s">
        <v>40</v>
      </c>
    </row>
    <row r="15" customFormat="false" ht="24" hidden="false" customHeight="true" outlineLevel="0" collapsed="false">
      <c r="A15" s="8" t="s">
        <v>41</v>
      </c>
      <c r="B15" s="9" t="n">
        <v>41310</v>
      </c>
      <c r="C15" s="12" t="n">
        <v>0.58</v>
      </c>
      <c r="H15" s="11" t="s">
        <v>42</v>
      </c>
    </row>
    <row r="16" customFormat="false" ht="24" hidden="false" customHeight="true" outlineLevel="0" collapsed="false">
      <c r="A16" s="8" t="s">
        <v>43</v>
      </c>
      <c r="B16" s="9" t="n">
        <v>79929</v>
      </c>
      <c r="C16" s="12" t="n">
        <v>0.51</v>
      </c>
      <c r="H16" s="11" t="s">
        <v>44</v>
      </c>
    </row>
    <row r="17" customFormat="false" ht="24" hidden="false" customHeight="true" outlineLevel="0" collapsed="false">
      <c r="A17" s="8" t="s">
        <v>45</v>
      </c>
      <c r="B17" s="9" t="n">
        <v>64000</v>
      </c>
      <c r="C17" s="12" t="n">
        <v>0.67</v>
      </c>
      <c r="H17" s="11" t="s">
        <v>46</v>
      </c>
    </row>
    <row r="19" customFormat="false" ht="15" hidden="false" customHeight="false" outlineLevel="0" collapsed="false">
      <c r="A19" s="5" t="s">
        <v>47</v>
      </c>
      <c r="B19" s="6"/>
      <c r="C19" s="6"/>
      <c r="D19" s="6"/>
      <c r="E19" s="6"/>
      <c r="F19" s="6"/>
      <c r="G19" s="6"/>
      <c r="H19" s="6"/>
    </row>
    <row r="20" customFormat="false" ht="30" hidden="false" customHeight="true" outlineLevel="0" collapsed="false">
      <c r="A20" s="7" t="s">
        <v>17</v>
      </c>
      <c r="B20" s="7" t="s">
        <v>18</v>
      </c>
      <c r="C20" s="7" t="s">
        <v>19</v>
      </c>
      <c r="D20" s="7"/>
      <c r="E20" s="7"/>
      <c r="F20" s="7"/>
      <c r="G20" s="7"/>
      <c r="H20" s="7" t="s">
        <v>20</v>
      </c>
    </row>
    <row r="21" customFormat="false" ht="31.5" hidden="false" customHeight="true" outlineLevel="0" collapsed="false">
      <c r="A21" s="8" t="s">
        <v>48</v>
      </c>
      <c r="B21" s="12" t="n">
        <v>0.9245</v>
      </c>
      <c r="C21" s="10" t="s">
        <v>49</v>
      </c>
      <c r="H21" s="11" t="s">
        <v>50</v>
      </c>
    </row>
    <row r="22" customFormat="false" ht="31.5" hidden="false" customHeight="true" outlineLevel="0" collapsed="false">
      <c r="A22" s="8" t="s">
        <v>51</v>
      </c>
      <c r="B22" s="9" t="n">
        <v>404250</v>
      </c>
      <c r="C22" s="10" t="s">
        <v>31</v>
      </c>
      <c r="H22" s="11" t="s">
        <v>52</v>
      </c>
    </row>
    <row r="23" customFormat="false" ht="31.5" hidden="false" customHeight="true" outlineLevel="0" collapsed="false">
      <c r="A23" s="8" t="s">
        <v>53</v>
      </c>
      <c r="B23" s="9" t="n">
        <v>1296000</v>
      </c>
      <c r="C23" s="10" t="s">
        <v>31</v>
      </c>
      <c r="H23" s="11" t="s">
        <v>54</v>
      </c>
    </row>
    <row r="24" customFormat="false" ht="31.5" hidden="false" customHeight="true" outlineLevel="0" collapsed="false">
      <c r="A24" s="8" t="s">
        <v>55</v>
      </c>
      <c r="B24" s="9" t="n">
        <v>141110</v>
      </c>
      <c r="C24" s="10" t="s">
        <v>31</v>
      </c>
      <c r="H24" s="11" t="s">
        <v>56</v>
      </c>
    </row>
    <row r="25" customFormat="false" ht="31.5" hidden="false" customHeight="true" outlineLevel="0" collapsed="false">
      <c r="A25" s="8" t="s">
        <v>57</v>
      </c>
      <c r="B25" s="9" t="n">
        <v>235000</v>
      </c>
      <c r="C25" s="10" t="s">
        <v>31</v>
      </c>
      <c r="H25" s="11" t="s">
        <v>58</v>
      </c>
    </row>
    <row r="27" customFormat="false" ht="15" hidden="false" customHeight="false" outlineLevel="0" collapsed="false">
      <c r="A27" s="5" t="s">
        <v>59</v>
      </c>
      <c r="B27" s="6"/>
      <c r="C27" s="6"/>
      <c r="D27" s="6"/>
      <c r="E27" s="6"/>
      <c r="F27" s="6"/>
      <c r="G27" s="6"/>
      <c r="H27" s="6"/>
    </row>
    <row r="28" customFormat="false" ht="30" hidden="false" customHeight="true" outlineLevel="0" collapsed="false">
      <c r="A28" s="7" t="s">
        <v>60</v>
      </c>
      <c r="B28" s="7" t="s">
        <v>61</v>
      </c>
      <c r="C28" s="7" t="s">
        <v>62</v>
      </c>
      <c r="D28" s="7" t="s">
        <v>63</v>
      </c>
      <c r="E28" s="7" t="s">
        <v>64</v>
      </c>
      <c r="F28" s="7" t="s">
        <v>65</v>
      </c>
      <c r="G28" s="7" t="s">
        <v>19</v>
      </c>
      <c r="H28" s="7" t="s">
        <v>66</v>
      </c>
    </row>
    <row r="29" customFormat="false" ht="33.75" hidden="false" customHeight="true" outlineLevel="0" collapsed="false">
      <c r="A29" s="8" t="s">
        <v>67</v>
      </c>
      <c r="B29" s="13" t="n">
        <v>12</v>
      </c>
      <c r="C29" s="13" t="n">
        <v>14</v>
      </c>
      <c r="D29" s="13" t="n">
        <v>18</v>
      </c>
      <c r="E29" s="13" t="n">
        <v>20</v>
      </c>
      <c r="F29" s="13" t="n">
        <v>22</v>
      </c>
      <c r="G29" s="10" t="s">
        <v>68</v>
      </c>
      <c r="H29" s="11" t="s">
        <v>69</v>
      </c>
    </row>
    <row r="30" customFormat="false" ht="33.75" hidden="false" customHeight="true" outlineLevel="0" collapsed="false">
      <c r="A30" s="8" t="s">
        <v>70</v>
      </c>
      <c r="B30" s="14" t="n">
        <v>-0.15</v>
      </c>
      <c r="C30" s="14" t="n">
        <v>-0.1</v>
      </c>
      <c r="D30" s="14" t="n">
        <v>0</v>
      </c>
      <c r="E30" s="14" t="n">
        <v>0.05</v>
      </c>
      <c r="F30" s="14" t="n">
        <v>0.1</v>
      </c>
      <c r="G30" s="10" t="s">
        <v>49</v>
      </c>
      <c r="H30" s="11" t="s">
        <v>71</v>
      </c>
    </row>
    <row r="31" customFormat="false" ht="33.75" hidden="false" customHeight="true" outlineLevel="0" collapsed="false">
      <c r="A31" s="8" t="s">
        <v>72</v>
      </c>
      <c r="B31" s="14" t="n">
        <v>0</v>
      </c>
      <c r="C31" s="14" t="n">
        <v>0</v>
      </c>
      <c r="D31" s="14" t="n">
        <v>0.2</v>
      </c>
      <c r="E31" s="14" t="n">
        <v>0.2</v>
      </c>
      <c r="F31" s="14" t="n">
        <v>0.2</v>
      </c>
      <c r="G31" s="10" t="s">
        <v>49</v>
      </c>
      <c r="H31" s="11" t="s">
        <v>73</v>
      </c>
    </row>
    <row r="32" customFormat="false" ht="33.75" hidden="false" customHeight="true" outlineLevel="0" collapsed="false">
      <c r="A32" s="8" t="s">
        <v>74</v>
      </c>
      <c r="B32" s="14" t="n">
        <v>0.3</v>
      </c>
      <c r="C32" s="14" t="n">
        <v>0.15</v>
      </c>
      <c r="D32" s="14" t="n">
        <v>0</v>
      </c>
      <c r="E32" s="14" t="n">
        <v>0</v>
      </c>
      <c r="F32" s="14" t="n">
        <v>0</v>
      </c>
      <c r="G32" s="10" t="s">
        <v>49</v>
      </c>
      <c r="H32" s="11" t="s">
        <v>75</v>
      </c>
    </row>
    <row r="33" customFormat="false" ht="33.75" hidden="false" customHeight="true" outlineLevel="0" collapsed="false">
      <c r="A33" s="8" t="s">
        <v>76</v>
      </c>
      <c r="B33" s="14" t="n">
        <v>0</v>
      </c>
      <c r="C33" s="14" t="n">
        <v>0</v>
      </c>
      <c r="D33" s="14" t="n">
        <v>0</v>
      </c>
      <c r="E33" s="14" t="n">
        <v>0.05</v>
      </c>
      <c r="F33" s="14" t="n">
        <v>0.15</v>
      </c>
      <c r="G33" s="10" t="s">
        <v>49</v>
      </c>
      <c r="H33" s="11" t="s">
        <v>77</v>
      </c>
    </row>
    <row r="34" customFormat="false" ht="33.75" hidden="false" customHeight="true" outlineLevel="0" collapsed="false">
      <c r="A34" s="8" t="s">
        <v>78</v>
      </c>
      <c r="B34" s="13" t="n">
        <v>0</v>
      </c>
      <c r="C34" s="13" t="n">
        <v>2</v>
      </c>
      <c r="D34" s="13" t="n">
        <v>3</v>
      </c>
      <c r="E34" s="13" t="n">
        <v>0</v>
      </c>
      <c r="F34" s="13" t="n">
        <v>0</v>
      </c>
      <c r="G34" s="10" t="s">
        <v>68</v>
      </c>
      <c r="H34" s="11" t="s">
        <v>79</v>
      </c>
    </row>
    <row r="35" customFormat="false" ht="33.75" hidden="false" customHeight="true" outlineLevel="0" collapsed="false">
      <c r="A35" s="8" t="s">
        <v>80</v>
      </c>
      <c r="B35" s="14" t="n">
        <v>0</v>
      </c>
      <c r="C35" s="14" t="n">
        <v>0</v>
      </c>
      <c r="D35" s="14" t="n">
        <v>0</v>
      </c>
      <c r="E35" s="14" t="n">
        <v>0</v>
      </c>
      <c r="F35" s="14" t="n">
        <v>0.15</v>
      </c>
      <c r="G35" s="10" t="s">
        <v>49</v>
      </c>
      <c r="H35" s="11" t="s">
        <v>81</v>
      </c>
    </row>
    <row r="36" customFormat="false" ht="33.75" hidden="false" customHeight="true" outlineLevel="0" collapsed="false">
      <c r="A36" s="8" t="s">
        <v>82</v>
      </c>
      <c r="B36" s="13" t="n">
        <v>0.8</v>
      </c>
      <c r="C36" s="13" t="n">
        <v>1</v>
      </c>
      <c r="D36" s="13" t="n">
        <v>1.5</v>
      </c>
      <c r="E36" s="13" t="n">
        <v>2</v>
      </c>
      <c r="F36" s="13" t="n">
        <v>0</v>
      </c>
      <c r="G36" s="10" t="s">
        <v>68</v>
      </c>
      <c r="H36" s="11" t="s">
        <v>83</v>
      </c>
    </row>
    <row r="37" customFormat="false" ht="33.75" hidden="false" customHeight="true" outlineLevel="0" collapsed="false">
      <c r="A37" s="8" t="s">
        <v>84</v>
      </c>
      <c r="B37" s="14" t="n">
        <v>0</v>
      </c>
      <c r="C37" s="14" t="n">
        <v>0</v>
      </c>
      <c r="D37" s="14" t="n">
        <v>0.2</v>
      </c>
      <c r="E37" s="14" t="n">
        <v>0.1</v>
      </c>
      <c r="F37" s="14" t="n">
        <v>0</v>
      </c>
      <c r="G37" s="10" t="s">
        <v>49</v>
      </c>
      <c r="H37" s="11" t="s">
        <v>85</v>
      </c>
    </row>
    <row r="38" customFormat="false" ht="33.75" hidden="false" customHeight="true" outlineLevel="0" collapsed="false">
      <c r="A38" s="8" t="s">
        <v>86</v>
      </c>
      <c r="B38" s="14" t="n">
        <v>0</v>
      </c>
      <c r="C38" s="14" t="n">
        <v>0</v>
      </c>
      <c r="D38" s="14" t="n">
        <v>0</v>
      </c>
      <c r="E38" s="14" t="n">
        <v>0</v>
      </c>
      <c r="F38" s="14" t="n">
        <v>0.6</v>
      </c>
      <c r="G38" s="10" t="s">
        <v>49</v>
      </c>
      <c r="H38" s="11" t="s">
        <v>87</v>
      </c>
    </row>
    <row r="39" customFormat="false" ht="33.75" hidden="false" customHeight="true" outlineLevel="0" collapsed="false">
      <c r="A39" s="8" t="s">
        <v>88</v>
      </c>
      <c r="B39" s="14" t="n">
        <v>0.25</v>
      </c>
      <c r="C39" s="14" t="n">
        <v>0.2</v>
      </c>
      <c r="D39" s="14" t="n">
        <v>0.1</v>
      </c>
      <c r="E39" s="14" t="n">
        <v>0.05</v>
      </c>
      <c r="F39" s="14" t="n">
        <v>0</v>
      </c>
      <c r="G39" s="10" t="s">
        <v>49</v>
      </c>
      <c r="H39" s="11" t="s">
        <v>89</v>
      </c>
    </row>
    <row r="41" customFormat="false" ht="15" hidden="false" customHeight="false" outlineLevel="0" collapsed="false">
      <c r="A41" s="10" t="s">
        <v>90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12"/>
    <col collapsed="false" customWidth="true" hidden="false" outlineLevel="0" max="5" min="4" style="0" width="15"/>
    <col collapsed="false" customWidth="true" hidden="false" outlineLevel="0" max="6" min="6" style="0" width="26"/>
    <col collapsed="false" customWidth="true" hidden="false" outlineLevel="0" max="7" min="7" style="0" width="12"/>
    <col collapsed="false" customWidth="true" hidden="false" outlineLevel="0" max="8" min="8" style="0" width="70"/>
  </cols>
  <sheetData>
    <row r="1" customFormat="false" ht="25.5" hidden="false" customHeight="true" outlineLevel="0" collapsed="false">
      <c r="A1" s="1" t="s">
        <v>91</v>
      </c>
      <c r="B1" s="1"/>
      <c r="C1" s="1"/>
      <c r="D1" s="1"/>
      <c r="E1" s="1"/>
      <c r="F1" s="1"/>
      <c r="G1" s="1"/>
      <c r="H1" s="1"/>
    </row>
    <row r="2" customFormat="false" ht="15.75" hidden="false" customHeight="true" outlineLevel="0" collapsed="false">
      <c r="A2" s="2" t="s">
        <v>92</v>
      </c>
      <c r="B2" s="2"/>
      <c r="C2" s="2"/>
      <c r="D2" s="2"/>
      <c r="E2" s="2"/>
      <c r="F2" s="2"/>
      <c r="G2" s="2"/>
      <c r="H2" s="2"/>
    </row>
    <row r="4" customFormat="false" ht="30" hidden="false" customHeight="true" outlineLevel="0" collapsed="false">
      <c r="A4" s="7" t="s">
        <v>34</v>
      </c>
      <c r="B4" s="7" t="s">
        <v>93</v>
      </c>
      <c r="C4" s="7" t="s">
        <v>94</v>
      </c>
      <c r="D4" s="7" t="s">
        <v>95</v>
      </c>
      <c r="E4" s="7" t="s">
        <v>96</v>
      </c>
      <c r="F4" s="7" t="s">
        <v>97</v>
      </c>
      <c r="G4" s="7" t="s">
        <v>98</v>
      </c>
      <c r="H4" s="7" t="s">
        <v>99</v>
      </c>
    </row>
    <row r="5" customFormat="false" ht="24" hidden="false" customHeight="true" outlineLevel="0" collapsed="false">
      <c r="A5" s="15" t="s">
        <v>100</v>
      </c>
      <c r="B5" s="16" t="n">
        <v>1</v>
      </c>
      <c r="C5" s="15"/>
      <c r="D5" s="17"/>
      <c r="E5" s="18" t="n">
        <v>3284241</v>
      </c>
      <c r="F5" s="15" t="s">
        <v>101</v>
      </c>
      <c r="G5" s="18" t="n">
        <v>2642</v>
      </c>
      <c r="H5" s="19" t="s">
        <v>102</v>
      </c>
    </row>
    <row r="6" customFormat="false" ht="15" hidden="false" customHeight="false" outlineLevel="0" collapsed="false">
      <c r="A6" s="5" t="s">
        <v>103</v>
      </c>
      <c r="B6" s="6"/>
      <c r="C6" s="6"/>
      <c r="D6" s="6"/>
      <c r="E6" s="6"/>
      <c r="F6" s="6"/>
      <c r="G6" s="6"/>
      <c r="H6" s="6"/>
    </row>
    <row r="7" customFormat="false" ht="24" hidden="false" customHeight="true" outlineLevel="0" collapsed="false">
      <c r="A7" s="15" t="s">
        <v>104</v>
      </c>
      <c r="B7" s="16" t="n">
        <v>0.52</v>
      </c>
      <c r="C7" s="15" t="s">
        <v>105</v>
      </c>
      <c r="D7" s="18" t="n">
        <v>495525</v>
      </c>
      <c r="E7" s="18" t="n">
        <v>310635</v>
      </c>
      <c r="F7" s="15" t="s">
        <v>106</v>
      </c>
      <c r="G7" s="18" t="n">
        <v>250</v>
      </c>
      <c r="H7" s="19" t="s">
        <v>107</v>
      </c>
    </row>
    <row r="8" customFormat="false" ht="24" hidden="false" customHeight="true" outlineLevel="0" collapsed="false">
      <c r="A8" s="15" t="s">
        <v>108</v>
      </c>
      <c r="B8" s="16" t="n">
        <v>0.28</v>
      </c>
      <c r="C8" s="15" t="s">
        <v>109</v>
      </c>
      <c r="D8" s="18" t="n">
        <v>1530000</v>
      </c>
      <c r="E8" s="18" t="n">
        <v>431613</v>
      </c>
      <c r="F8" s="15"/>
      <c r="G8" s="18" t="n">
        <v>347</v>
      </c>
      <c r="H8" s="19" t="s">
        <v>110</v>
      </c>
    </row>
    <row r="9" customFormat="false" ht="24" hidden="false" customHeight="true" outlineLevel="0" collapsed="false">
      <c r="A9" s="15" t="s">
        <v>111</v>
      </c>
      <c r="B9" s="16" t="n">
        <v>0.58</v>
      </c>
      <c r="C9" s="15" t="s">
        <v>112</v>
      </c>
      <c r="D9" s="18" t="n">
        <v>41310</v>
      </c>
      <c r="E9" s="18" t="n">
        <v>28796</v>
      </c>
      <c r="F9" s="15" t="s">
        <v>106</v>
      </c>
      <c r="G9" s="18" t="n">
        <v>23</v>
      </c>
      <c r="H9" s="19" t="s">
        <v>113</v>
      </c>
    </row>
    <row r="10" customFormat="false" ht="24" hidden="false" customHeight="true" outlineLevel="0" collapsed="false">
      <c r="A10" s="15" t="s">
        <v>114</v>
      </c>
      <c r="B10" s="16" t="n">
        <v>0.51</v>
      </c>
      <c r="C10" s="15" t="s">
        <v>115</v>
      </c>
      <c r="D10" s="18" t="n">
        <v>79929</v>
      </c>
      <c r="E10" s="18" t="n">
        <v>49185</v>
      </c>
      <c r="F10" s="15" t="s">
        <v>106</v>
      </c>
      <c r="G10" s="18" t="n">
        <v>40</v>
      </c>
      <c r="H10" s="19" t="s">
        <v>116</v>
      </c>
    </row>
    <row r="11" customFormat="false" ht="24" hidden="false" customHeight="true" outlineLevel="0" collapsed="false">
      <c r="A11" s="15" t="s">
        <v>117</v>
      </c>
      <c r="B11" s="16" t="n">
        <v>0.67</v>
      </c>
      <c r="C11" s="15" t="s">
        <v>118</v>
      </c>
      <c r="D11" s="18" t="n">
        <v>44220</v>
      </c>
      <c r="E11" s="18" t="n">
        <v>35648</v>
      </c>
      <c r="F11" s="15" t="s">
        <v>106</v>
      </c>
      <c r="G11" s="18" t="n">
        <v>29</v>
      </c>
      <c r="H11" s="19" t="s">
        <v>119</v>
      </c>
    </row>
    <row r="12" customFormat="false" ht="39.75" hidden="false" customHeight="true" outlineLevel="0" collapsed="false">
      <c r="A12" s="15" t="s">
        <v>120</v>
      </c>
      <c r="B12" s="16" t="n">
        <v>0.78</v>
      </c>
      <c r="C12" s="15" t="s">
        <v>121</v>
      </c>
      <c r="D12" s="18" t="n">
        <v>1296000</v>
      </c>
      <c r="E12" s="18" t="n">
        <v>1214767</v>
      </c>
      <c r="F12" s="15" t="s">
        <v>106</v>
      </c>
      <c r="G12" s="18" t="n">
        <v>977</v>
      </c>
      <c r="H12" s="19" t="s">
        <v>122</v>
      </c>
    </row>
    <row r="13" customFormat="false" ht="15" hidden="false" customHeight="false" outlineLevel="0" collapsed="false">
      <c r="A13" s="5" t="s">
        <v>123</v>
      </c>
      <c r="B13" s="6"/>
      <c r="C13" s="6"/>
      <c r="D13" s="6"/>
      <c r="E13" s="6"/>
      <c r="F13" s="6"/>
      <c r="G13" s="6"/>
      <c r="H13" s="6"/>
    </row>
    <row r="14" customFormat="false" ht="39.75" hidden="false" customHeight="true" outlineLevel="0" collapsed="false">
      <c r="A14" s="15" t="s">
        <v>124</v>
      </c>
      <c r="B14" s="17"/>
      <c r="C14" s="15"/>
      <c r="D14" s="17"/>
      <c r="E14" s="18" t="n">
        <v>199487</v>
      </c>
      <c r="F14" s="15" t="s">
        <v>125</v>
      </c>
      <c r="G14" s="18" t="n">
        <v>160</v>
      </c>
      <c r="H14" s="19" t="s">
        <v>126</v>
      </c>
    </row>
    <row r="15" customFormat="false" ht="15" hidden="false" customHeight="false" outlineLevel="0" collapsed="false">
      <c r="A15" s="20" t="s">
        <v>127</v>
      </c>
      <c r="B15" s="21"/>
      <c r="C15" s="21"/>
      <c r="D15" s="21"/>
      <c r="E15" s="21"/>
      <c r="F15" s="21"/>
      <c r="G15" s="22" t="n">
        <f aca="false">SUM(G5:G14)</f>
        <v>4468</v>
      </c>
      <c r="H15" s="23" t="s">
        <v>128</v>
      </c>
    </row>
    <row r="16" customFormat="false" ht="15" hidden="false" customHeight="false" outlineLevel="0" collapsed="false">
      <c r="A16" s="24" t="s">
        <v>129</v>
      </c>
      <c r="B16" s="24" t="s">
        <v>130</v>
      </c>
      <c r="C16" s="25"/>
      <c r="D16" s="25"/>
      <c r="E16" s="25"/>
      <c r="F16" s="25"/>
      <c r="G16" s="26" t="n">
        <v>4100</v>
      </c>
      <c r="H16" s="27" t="s">
        <v>131</v>
      </c>
    </row>
    <row r="18" customFormat="false" ht="15" hidden="false" customHeight="false" outlineLevel="0" collapsed="false">
      <c r="A18" s="3" t="s">
        <v>132</v>
      </c>
      <c r="E18" s="28" t="n">
        <f aca="false">E5/G5</f>
        <v>1243.08894776684</v>
      </c>
      <c r="F18" s="10" t="s">
        <v>133</v>
      </c>
      <c r="H18" s="10" t="s">
        <v>134</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4" topLeftCell="G5" activePane="bottomRight" state="frozen"/>
      <selection pane="topLeft" activeCell="A1" activeCellId="0" sqref="A1"/>
      <selection pane="topRight" activeCell="G1" activeCellId="0" sqref="G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5"/>
    <col collapsed="false" customWidth="true" hidden="false" outlineLevel="0" max="3" min="3" style="0" width="10"/>
    <col collapsed="false" customWidth="true" hidden="false" outlineLevel="0" max="4" min="4" style="0" width="13"/>
    <col collapsed="false" customWidth="true" hidden="false" outlineLevel="0" max="5" min="5" style="0" width="15"/>
    <col collapsed="false" customWidth="true" hidden="false" outlineLevel="0" max="6" min="6" style="0" width="13"/>
    <col collapsed="false" customWidth="true" hidden="false" outlineLevel="0" max="11" min="7" style="0" width="12"/>
    <col collapsed="false" customWidth="true" hidden="false" outlineLevel="0" max="12" min="12" style="0" width="88"/>
  </cols>
  <sheetData>
    <row r="1" customFormat="false" ht="25.5" hidden="false" customHeight="true" outlineLevel="0" collapsed="false">
      <c r="A1" s="1" t="s">
        <v>135</v>
      </c>
      <c r="B1" s="1"/>
      <c r="C1" s="1"/>
      <c r="D1" s="1"/>
      <c r="E1" s="1"/>
      <c r="F1" s="1"/>
      <c r="G1" s="1"/>
      <c r="H1" s="1"/>
      <c r="I1" s="1"/>
      <c r="J1" s="1"/>
      <c r="K1" s="1"/>
      <c r="L1" s="1"/>
    </row>
    <row r="2" customFormat="false" ht="15.75" hidden="false" customHeight="true" outlineLevel="0" collapsed="false">
      <c r="A2" s="2" t="s">
        <v>136</v>
      </c>
      <c r="B2" s="2"/>
      <c r="C2" s="2"/>
      <c r="D2" s="2"/>
      <c r="E2" s="2"/>
      <c r="F2" s="2"/>
      <c r="G2" s="2"/>
      <c r="H2" s="2"/>
      <c r="I2" s="2"/>
      <c r="J2" s="2"/>
      <c r="K2" s="2"/>
      <c r="L2" s="2"/>
    </row>
    <row r="4" customFormat="false" ht="30" hidden="false" customHeight="true" outlineLevel="0" collapsed="false">
      <c r="A4" s="7" t="s">
        <v>137</v>
      </c>
      <c r="B4" s="7" t="s">
        <v>138</v>
      </c>
      <c r="C4" s="7" t="s">
        <v>139</v>
      </c>
      <c r="D4" s="7" t="s">
        <v>140</v>
      </c>
      <c r="E4" s="7" t="s">
        <v>141</v>
      </c>
      <c r="F4" s="7" t="s">
        <v>142</v>
      </c>
      <c r="G4" s="7" t="s">
        <v>61</v>
      </c>
      <c r="H4" s="7" t="s">
        <v>62</v>
      </c>
      <c r="I4" s="7" t="s">
        <v>63</v>
      </c>
      <c r="J4" s="7" t="s">
        <v>64</v>
      </c>
      <c r="K4" s="7" t="s">
        <v>65</v>
      </c>
      <c r="L4" s="7" t="s">
        <v>143</v>
      </c>
    </row>
    <row r="5" customFormat="false" ht="61.5" hidden="false" customHeight="true" outlineLevel="0" collapsed="false">
      <c r="A5" s="8" t="s">
        <v>144</v>
      </c>
      <c r="B5" s="8" t="s">
        <v>145</v>
      </c>
      <c r="C5" s="29" t="n">
        <v>0.7579</v>
      </c>
      <c r="D5" s="30" t="n">
        <v>35000</v>
      </c>
      <c r="E5" s="30" t="n">
        <v>108220</v>
      </c>
      <c r="F5" s="31" t="n">
        <v>2</v>
      </c>
      <c r="G5" s="32" t="n">
        <f aca="false">$D5*Assumptions!$B$36</f>
        <v>28000</v>
      </c>
      <c r="H5" s="32" t="n">
        <f aca="false">$D5*Assumptions!$C$36</f>
        <v>35000</v>
      </c>
      <c r="I5" s="32" t="n">
        <f aca="false">IF($E5&gt;0,$E5*$C5,$D5*Assumptions!$D$36)*(1-Assumptions!$D$37)</f>
        <v>65615.9504</v>
      </c>
      <c r="J5" s="32" t="n">
        <f aca="false">MAX(IF($E5&gt;0,$E5*$C5*1.5,0),$D5*Assumptions!$E$36)*(1-Assumptions!$E$37)</f>
        <v>110726.9163</v>
      </c>
      <c r="K5" s="32" t="n">
        <f aca="false">MAX($F5*Assumptions!$B$8*1000*$C5*Assumptions!$F$38,$J5)</f>
        <v>110726.9163</v>
      </c>
      <c r="L5" s="11" t="s">
        <v>146</v>
      </c>
    </row>
    <row r="6" customFormat="false" ht="61.5" hidden="false" customHeight="true" outlineLevel="0" collapsed="false">
      <c r="A6" s="8" t="s">
        <v>147</v>
      </c>
      <c r="B6" s="8" t="s">
        <v>145</v>
      </c>
      <c r="C6" s="29" t="n">
        <v>0.7</v>
      </c>
      <c r="D6" s="30" t="n">
        <v>40000</v>
      </c>
      <c r="E6" s="30" t="n">
        <v>100000</v>
      </c>
      <c r="F6" s="31" t="n">
        <v>2</v>
      </c>
      <c r="G6" s="32" t="n">
        <f aca="false">$D6*Assumptions!$B$36</f>
        <v>32000</v>
      </c>
      <c r="H6" s="32" t="n">
        <f aca="false">$D6*Assumptions!$C$36</f>
        <v>40000</v>
      </c>
      <c r="I6" s="32" t="n">
        <f aca="false">IF($E6&gt;0,$E6*$C6,$D6*Assumptions!$D$36)*(1-Assumptions!$D$37)</f>
        <v>56000</v>
      </c>
      <c r="J6" s="32" t="n">
        <f aca="false">MAX(IF($E6&gt;0,$E6*$C6*1.5,0),$D6*Assumptions!$E$36)*(1-Assumptions!$E$37)</f>
        <v>94500</v>
      </c>
      <c r="K6" s="32" t="n">
        <f aca="false">MAX($F6*Assumptions!$B$8*1000*$C6*Assumptions!$F$38,$J6)</f>
        <v>94500</v>
      </c>
      <c r="L6" s="11" t="s">
        <v>148</v>
      </c>
    </row>
    <row r="7" customFormat="false" ht="61.5" hidden="false" customHeight="true" outlineLevel="0" collapsed="false">
      <c r="A7" s="8" t="s">
        <v>149</v>
      </c>
      <c r="B7" s="8" t="s">
        <v>145</v>
      </c>
      <c r="C7" s="29" t="n">
        <v>1</v>
      </c>
      <c r="D7" s="30" t="n">
        <v>45000</v>
      </c>
      <c r="E7" s="30" t="n">
        <v>0</v>
      </c>
      <c r="F7" s="31" t="n">
        <v>2</v>
      </c>
      <c r="G7" s="32" t="n">
        <f aca="false">$D7*Assumptions!$B$36</f>
        <v>36000</v>
      </c>
      <c r="H7" s="32" t="n">
        <f aca="false">$D7*Assumptions!$C$36</f>
        <v>45000</v>
      </c>
      <c r="I7" s="32" t="n">
        <f aca="false">IF($E7&gt;0,$E7*$C7,$D7*Assumptions!$D$36)*(1-Assumptions!$D$37)</f>
        <v>54000</v>
      </c>
      <c r="J7" s="32" t="n">
        <f aca="false">MAX(IF($E7&gt;0,$E7*$C7*1.5,0),$D7*Assumptions!$E$36)*(1-Assumptions!$E$37)</f>
        <v>81000</v>
      </c>
      <c r="K7" s="32" t="n">
        <f aca="false">MAX($F7*Assumptions!$B$8*1000*$C7*Assumptions!$F$38,$J7)</f>
        <v>105600</v>
      </c>
      <c r="L7" s="11" t="s">
        <v>150</v>
      </c>
    </row>
    <row r="8" customFormat="false" ht="61.5" hidden="false" customHeight="true" outlineLevel="0" collapsed="false">
      <c r="A8" s="8" t="s">
        <v>151</v>
      </c>
      <c r="B8" s="8" t="s">
        <v>152</v>
      </c>
      <c r="C8" s="29" t="n">
        <v>1</v>
      </c>
      <c r="D8" s="30" t="n">
        <v>15000</v>
      </c>
      <c r="E8" s="30" t="n">
        <v>0</v>
      </c>
      <c r="F8" s="31" t="n">
        <v>1</v>
      </c>
      <c r="G8" s="32" t="n">
        <f aca="false">$D8*Assumptions!$B$36</f>
        <v>12000</v>
      </c>
      <c r="H8" s="32" t="n">
        <f aca="false">$D8*Assumptions!$C$36</f>
        <v>15000</v>
      </c>
      <c r="I8" s="32" t="n">
        <f aca="false">IF($E8&gt;0,$E8*$C8,$D8*Assumptions!$D$36)*(1-Assumptions!$D$37)</f>
        <v>18000</v>
      </c>
      <c r="J8" s="32" t="n">
        <f aca="false">MAX(IF($E8&gt;0,$E8*$C8*1.5,0),$D8*Assumptions!$E$36)*(1-Assumptions!$E$37)</f>
        <v>27000</v>
      </c>
      <c r="K8" s="32" t="n">
        <f aca="false">MAX($F8*Assumptions!$B$8*1000*$C8*Assumptions!$F$38,$J8)</f>
        <v>52800</v>
      </c>
      <c r="L8" s="11" t="s">
        <v>153</v>
      </c>
    </row>
    <row r="9" customFormat="false" ht="61.5" hidden="false" customHeight="true" outlineLevel="0" collapsed="false">
      <c r="A9" s="8" t="s">
        <v>154</v>
      </c>
      <c r="B9" s="8" t="s">
        <v>152</v>
      </c>
      <c r="C9" s="29" t="n">
        <v>1</v>
      </c>
      <c r="D9" s="30" t="n">
        <v>12000</v>
      </c>
      <c r="E9" s="30" t="n">
        <v>0</v>
      </c>
      <c r="F9" s="31" t="n">
        <v>1</v>
      </c>
      <c r="G9" s="32" t="n">
        <f aca="false">$D9*Assumptions!$B$36</f>
        <v>9600</v>
      </c>
      <c r="H9" s="32" t="n">
        <f aca="false">$D9*Assumptions!$C$36</f>
        <v>12000</v>
      </c>
      <c r="I9" s="32" t="n">
        <f aca="false">IF($E9&gt;0,$E9*$C9,$D9*Assumptions!$D$36)*(1-Assumptions!$D$37)</f>
        <v>14400</v>
      </c>
      <c r="J9" s="32" t="n">
        <f aca="false">MAX(IF($E9&gt;0,$E9*$C9*1.5,0),$D9*Assumptions!$E$36)*(1-Assumptions!$E$37)</f>
        <v>21600</v>
      </c>
      <c r="K9" s="32" t="n">
        <f aca="false">MAX($F9*Assumptions!$B$8*1000*$C9*Assumptions!$F$38,$J9)</f>
        <v>52800</v>
      </c>
      <c r="L9" s="11" t="s">
        <v>155</v>
      </c>
    </row>
    <row r="10" customFormat="false" ht="61.5" hidden="false" customHeight="true" outlineLevel="0" collapsed="false">
      <c r="A10" s="8" t="s">
        <v>156</v>
      </c>
      <c r="B10" s="8" t="s">
        <v>152</v>
      </c>
      <c r="C10" s="29" t="n">
        <v>0.6</v>
      </c>
      <c r="D10" s="30" t="n">
        <v>10000</v>
      </c>
      <c r="E10" s="30" t="n">
        <v>0</v>
      </c>
      <c r="F10" s="31" t="n">
        <v>1</v>
      </c>
      <c r="G10" s="32" t="n">
        <f aca="false">$D10*Assumptions!$B$36</f>
        <v>8000</v>
      </c>
      <c r="H10" s="32" t="n">
        <f aca="false">$D10*Assumptions!$C$36</f>
        <v>10000</v>
      </c>
      <c r="I10" s="32" t="n">
        <f aca="false">IF($E10&gt;0,$E10*$C10,$D10*Assumptions!$D$36)*(1-Assumptions!$D$37)</f>
        <v>12000</v>
      </c>
      <c r="J10" s="32" t="n">
        <f aca="false">MAX(IF($E10&gt;0,$E10*$C10*1.5,0),$D10*Assumptions!$E$36)*(1-Assumptions!$E$37)</f>
        <v>18000</v>
      </c>
      <c r="K10" s="32" t="n">
        <f aca="false">MAX($F10*Assumptions!$B$8*1000*$C10*Assumptions!$F$38,$J10)</f>
        <v>31680</v>
      </c>
      <c r="L10" s="11" t="s">
        <v>157</v>
      </c>
    </row>
    <row r="11" customFormat="false" ht="61.5" hidden="false" customHeight="true" outlineLevel="0" collapsed="false">
      <c r="A11" s="8" t="s">
        <v>158</v>
      </c>
      <c r="B11" s="8" t="s">
        <v>152</v>
      </c>
      <c r="C11" s="29" t="n">
        <v>1</v>
      </c>
      <c r="D11" s="30" t="n">
        <v>6000</v>
      </c>
      <c r="E11" s="30" t="n">
        <v>0</v>
      </c>
      <c r="F11" s="31" t="n">
        <v>1</v>
      </c>
      <c r="G11" s="32" t="n">
        <f aca="false">$D11*Assumptions!$B$36</f>
        <v>4800</v>
      </c>
      <c r="H11" s="32" t="n">
        <f aca="false">$D11*Assumptions!$C$36</f>
        <v>6000</v>
      </c>
      <c r="I11" s="32" t="n">
        <f aca="false">IF($E11&gt;0,$E11*$C11,$D11*Assumptions!$D$36)*(1-Assumptions!$D$37)</f>
        <v>7200</v>
      </c>
      <c r="J11" s="32" t="n">
        <f aca="false">MAX(IF($E11&gt;0,$E11*$C11*1.5,0),$D11*Assumptions!$E$36)*(1-Assumptions!$E$37)</f>
        <v>10800</v>
      </c>
      <c r="K11" s="32" t="n">
        <f aca="false">MAX($F11*Assumptions!$B$8*1000*$C11*Assumptions!$F$38,$J11)</f>
        <v>52800</v>
      </c>
      <c r="L11" s="11" t="s">
        <v>159</v>
      </c>
    </row>
    <row r="12" customFormat="false" ht="61.5" hidden="false" customHeight="true" outlineLevel="0" collapsed="false">
      <c r="A12" s="8" t="s">
        <v>160</v>
      </c>
      <c r="B12" s="8" t="s">
        <v>161</v>
      </c>
      <c r="C12" s="29" t="n">
        <v>0.75</v>
      </c>
      <c r="D12" s="30" t="n">
        <v>8000</v>
      </c>
      <c r="E12" s="30" t="n">
        <v>0</v>
      </c>
      <c r="F12" s="31" t="n">
        <v>0.75</v>
      </c>
      <c r="G12" s="32" t="n">
        <f aca="false">$D12*Assumptions!$B$36</f>
        <v>6400</v>
      </c>
      <c r="H12" s="32" t="n">
        <f aca="false">$D12*Assumptions!$C$36</f>
        <v>8000</v>
      </c>
      <c r="I12" s="32" t="n">
        <f aca="false">IF($E12&gt;0,$E12*$C12,$D12*Assumptions!$D$36)*(1-Assumptions!$D$37)</f>
        <v>9600</v>
      </c>
      <c r="J12" s="32" t="n">
        <f aca="false">MAX(IF($E12&gt;0,$E12*$C12*1.5,0),$D12*Assumptions!$E$36)*(1-Assumptions!$E$37)</f>
        <v>14400</v>
      </c>
      <c r="K12" s="32" t="n">
        <f aca="false">MAX($F12*Assumptions!$B$8*1000*$C12*Assumptions!$F$38,$J12)</f>
        <v>29700</v>
      </c>
      <c r="L12" s="11" t="s">
        <v>162</v>
      </c>
    </row>
    <row r="13" customFormat="false" ht="61.5" hidden="false" customHeight="true" outlineLevel="0" collapsed="false">
      <c r="A13" s="8" t="s">
        <v>163</v>
      </c>
      <c r="B13" s="8" t="s">
        <v>164</v>
      </c>
      <c r="C13" s="29" t="n">
        <v>1</v>
      </c>
      <c r="D13" s="30" t="n">
        <v>28487</v>
      </c>
      <c r="E13" s="30" t="n">
        <v>0</v>
      </c>
      <c r="F13" s="31" t="n">
        <v>0</v>
      </c>
      <c r="G13" s="32" t="n">
        <f aca="false">$D13*Assumptions!$B$36</f>
        <v>22789.6</v>
      </c>
      <c r="H13" s="32" t="n">
        <f aca="false">$D13*Assumptions!$C$36</f>
        <v>28487</v>
      </c>
      <c r="I13" s="32" t="n">
        <f aca="false">IF($E13&gt;0,$E13*$C13,$D13*Assumptions!$D$36)*(1-Assumptions!$D$37)</f>
        <v>34184.4</v>
      </c>
      <c r="J13" s="32" t="n">
        <f aca="false">MAX(IF($E13&gt;0,$E13*$C13*1.5,0),$D13*Assumptions!$E$36)*(1-Assumptions!$E$37)</f>
        <v>51276.6</v>
      </c>
      <c r="K13" s="32" t="n">
        <f aca="false">MAX($F13*Assumptions!$B$8*1000*$C13*Assumptions!$F$38,$J13)</f>
        <v>51276.6</v>
      </c>
      <c r="L13" s="11" t="s">
        <v>165</v>
      </c>
    </row>
    <row r="14" customFormat="false" ht="15" hidden="false" customHeight="false" outlineLevel="0" collapsed="false">
      <c r="A14" s="20" t="s">
        <v>166</v>
      </c>
      <c r="B14" s="21"/>
      <c r="C14" s="21"/>
      <c r="D14" s="22" t="n">
        <f aca="false">SUM(D5:D13)</f>
        <v>199487</v>
      </c>
      <c r="E14" s="21"/>
      <c r="F14" s="21"/>
      <c r="G14" s="22" t="n">
        <f aca="false">SUM(G5:G13)</f>
        <v>159589.6</v>
      </c>
      <c r="H14" s="22" t="n">
        <f aca="false">SUM(H5:H13)</f>
        <v>199487</v>
      </c>
      <c r="I14" s="22" t="n">
        <f aca="false">SUM(I5:I13)</f>
        <v>271000.3504</v>
      </c>
      <c r="J14" s="22" t="n">
        <f aca="false">SUM(J5:J13)</f>
        <v>429303.5163</v>
      </c>
      <c r="K14" s="22" t="n">
        <f aca="false">SUM(K5:K13)</f>
        <v>581883.5163</v>
      </c>
      <c r="L14" s="23" t="s">
        <v>167</v>
      </c>
    </row>
    <row r="15" customFormat="false" ht="15" hidden="false" customHeight="false" outlineLevel="0" collapsed="false">
      <c r="A15" s="3" t="s">
        <v>168</v>
      </c>
      <c r="G15" s="33" t="n">
        <f aca="false">G14/Assumptions!$B$6</f>
        <v>132.659684123026</v>
      </c>
      <c r="H15" s="33" t="n">
        <f aca="false">H14/Assumptions!$B$6</f>
        <v>165.824605153782</v>
      </c>
      <c r="I15" s="33" t="n">
        <f aca="false">I14/Assumptions!$B$6</f>
        <v>225.270449210308</v>
      </c>
      <c r="J15" s="33" t="n">
        <f aca="false">J14/Assumptions!$B$6</f>
        <v>356.860778304239</v>
      </c>
      <c r="K15" s="33" t="n">
        <f aca="false">K14/Assumptions!$B$6</f>
        <v>483.693696009975</v>
      </c>
      <c r="L15" s="10" t="s">
        <v>169</v>
      </c>
    </row>
    <row r="17" customFormat="false" ht="15" hidden="false" customHeight="false" outlineLevel="0" collapsed="false">
      <c r="A17" s="3" t="s">
        <v>170</v>
      </c>
    </row>
    <row r="18" customFormat="false" ht="27.75" hidden="false" customHeight="true" outlineLevel="0" collapsed="false">
      <c r="A18" s="34" t="s">
        <v>171</v>
      </c>
      <c r="B18" s="34"/>
      <c r="C18" s="34"/>
      <c r="D18" s="34"/>
      <c r="E18" s="34"/>
      <c r="F18" s="34"/>
      <c r="G18" s="34"/>
      <c r="H18" s="34"/>
      <c r="I18" s="34"/>
      <c r="J18" s="34"/>
      <c r="K18" s="34"/>
      <c r="L18" s="34"/>
    </row>
    <row r="19" customFormat="false" ht="27.75" hidden="false" customHeight="true" outlineLevel="0" collapsed="false">
      <c r="A19" s="34" t="s">
        <v>172</v>
      </c>
      <c r="B19" s="34"/>
      <c r="C19" s="34"/>
      <c r="D19" s="34"/>
      <c r="E19" s="34"/>
      <c r="F19" s="34"/>
      <c r="G19" s="34"/>
      <c r="H19" s="34"/>
      <c r="I19" s="34"/>
      <c r="J19" s="34"/>
      <c r="K19" s="34"/>
      <c r="L19" s="34"/>
    </row>
    <row r="20" customFormat="false" ht="27.75" hidden="false" customHeight="true" outlineLevel="0" collapsed="false">
      <c r="A20" s="34" t="s">
        <v>173</v>
      </c>
      <c r="B20" s="34"/>
      <c r="C20" s="34"/>
      <c r="D20" s="34"/>
      <c r="E20" s="34"/>
      <c r="F20" s="34"/>
      <c r="G20" s="34"/>
      <c r="H20" s="34"/>
      <c r="I20" s="34"/>
      <c r="J20" s="34"/>
      <c r="K20" s="34"/>
      <c r="L20" s="34"/>
    </row>
  </sheetData>
  <mergeCells count="5">
    <mergeCell ref="A1:L1"/>
    <mergeCell ref="A2:L2"/>
    <mergeCell ref="A18:L18"/>
    <mergeCell ref="A19:L19"/>
    <mergeCell ref="A20:L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20"/>
    <col collapsed="false" customWidth="true" hidden="false" outlineLevel="0" max="4" min="4" style="0" width="12"/>
    <col collapsed="false" customWidth="true" hidden="false" outlineLevel="0" max="5" min="5" style="0" width="20"/>
    <col collapsed="false" customWidth="true" hidden="false" outlineLevel="0" max="6" min="6" style="0" width="14"/>
    <col collapsed="false" customWidth="true" hidden="false" outlineLevel="0" max="7" min="7" style="0" width="3"/>
    <col collapsed="false" customWidth="true" hidden="false" outlineLevel="0" max="8" min="8" style="0" width="96"/>
  </cols>
  <sheetData>
    <row r="1" customFormat="false" ht="25.5" hidden="false" customHeight="true" outlineLevel="0" collapsed="false">
      <c r="A1" s="1" t="s">
        <v>174</v>
      </c>
      <c r="B1" s="1"/>
      <c r="C1" s="1"/>
      <c r="D1" s="1"/>
      <c r="E1" s="1"/>
      <c r="F1" s="1"/>
      <c r="G1" s="1"/>
      <c r="H1" s="1"/>
    </row>
    <row r="2" customFormat="false" ht="15.75" hidden="false" customHeight="true" outlineLevel="0" collapsed="false">
      <c r="A2" s="2" t="s">
        <v>175</v>
      </c>
      <c r="B2" s="2"/>
      <c r="C2" s="2"/>
      <c r="D2" s="2"/>
      <c r="E2" s="2"/>
      <c r="F2" s="2"/>
      <c r="G2" s="2"/>
      <c r="H2" s="2"/>
    </row>
    <row r="4" customFormat="false" ht="30" hidden="false" customHeight="true" outlineLevel="0" collapsed="false">
      <c r="A4" s="7" t="s">
        <v>176</v>
      </c>
      <c r="B4" s="7" t="s">
        <v>177</v>
      </c>
      <c r="C4" s="7" t="s">
        <v>178</v>
      </c>
      <c r="D4" s="7" t="s">
        <v>139</v>
      </c>
      <c r="E4" s="7" t="s">
        <v>96</v>
      </c>
      <c r="F4" s="7" t="s">
        <v>98</v>
      </c>
      <c r="G4" s="7"/>
      <c r="H4" s="7" t="s">
        <v>179</v>
      </c>
    </row>
    <row r="5" customFormat="false" ht="73.5" hidden="false" customHeight="true" outlineLevel="0" collapsed="false">
      <c r="A5" s="35" t="s">
        <v>61</v>
      </c>
      <c r="B5" s="15" t="s">
        <v>180</v>
      </c>
      <c r="C5" s="32" t="n">
        <f aca="false">Assumptions!$B$22</f>
        <v>404250</v>
      </c>
      <c r="D5" s="36" t="n">
        <f aca="false">Assumptions!$B$21</f>
        <v>0.9245</v>
      </c>
      <c r="E5" s="37" t="n">
        <f aca="false">C5*D5</f>
        <v>373729.125</v>
      </c>
      <c r="F5" s="37" t="n">
        <f aca="false">E5/Assumptions!$B$6</f>
        <v>310.66427680798</v>
      </c>
      <c r="H5" s="11" t="s">
        <v>181</v>
      </c>
    </row>
    <row r="6" customFormat="false" ht="73.5" hidden="false" customHeight="true" outlineLevel="0" collapsed="false">
      <c r="A6" s="35" t="s">
        <v>62</v>
      </c>
      <c r="B6" s="15" t="s">
        <v>182</v>
      </c>
      <c r="C6" s="32" t="n">
        <f aca="false">Assumptions!$B$25*Assumptions!$C$34</f>
        <v>470000</v>
      </c>
      <c r="D6" s="36" t="n">
        <f aca="false">Assumptions!$B$21</f>
        <v>0.9245</v>
      </c>
      <c r="E6" s="37" t="n">
        <f aca="false">C6*D6</f>
        <v>434515</v>
      </c>
      <c r="F6" s="37" t="n">
        <f aca="false">E6/Assumptions!$B$6</f>
        <v>361.19285120532</v>
      </c>
      <c r="H6" s="11" t="s">
        <v>183</v>
      </c>
    </row>
    <row r="7" customFormat="false" ht="73.5" hidden="false" customHeight="true" outlineLevel="0" collapsed="false">
      <c r="A7" s="35" t="s">
        <v>63</v>
      </c>
      <c r="B7" s="15" t="s">
        <v>184</v>
      </c>
      <c r="C7" s="32" t="n">
        <f aca="false">Assumptions!$B$25*Assumptions!$D$34</f>
        <v>705000</v>
      </c>
      <c r="D7" s="36" t="n">
        <f aca="false">Assumptions!$B$21</f>
        <v>0.9245</v>
      </c>
      <c r="E7" s="37" t="n">
        <f aca="false">C7*D7</f>
        <v>651772.5</v>
      </c>
      <c r="F7" s="37" t="n">
        <f aca="false">E7/Assumptions!$B$6</f>
        <v>541.78927680798</v>
      </c>
      <c r="H7" s="11" t="s">
        <v>185</v>
      </c>
    </row>
    <row r="8" customFormat="false" ht="73.5" hidden="false" customHeight="true" outlineLevel="0" collapsed="false">
      <c r="A8" s="35" t="s">
        <v>64</v>
      </c>
      <c r="B8" s="15" t="s">
        <v>186</v>
      </c>
      <c r="C8" s="32" t="n">
        <f aca="false">Assumptions!$B$23</f>
        <v>1296000</v>
      </c>
      <c r="D8" s="36" t="n">
        <f aca="false">Assumptions!$B$21</f>
        <v>0.9245</v>
      </c>
      <c r="E8" s="37" t="n">
        <f aca="false">C8*D8</f>
        <v>1198152</v>
      </c>
      <c r="F8" s="37" t="n">
        <f aca="false">E8/Assumptions!$B$6</f>
        <v>995.970074812968</v>
      </c>
      <c r="H8" s="11" t="s">
        <v>187</v>
      </c>
    </row>
    <row r="9" customFormat="false" ht="73.5" hidden="false" customHeight="true" outlineLevel="0" collapsed="false">
      <c r="A9" s="35" t="s">
        <v>65</v>
      </c>
      <c r="B9" s="15" t="s">
        <v>188</v>
      </c>
      <c r="C9" s="32" t="n">
        <f aca="false">Assumptions!$B$23*(1+Assumptions!$F$35)</f>
        <v>1490400</v>
      </c>
      <c r="D9" s="36" t="n">
        <f aca="false">Assumptions!$B$21</f>
        <v>0.9245</v>
      </c>
      <c r="E9" s="37" t="n">
        <f aca="false">C9*D9</f>
        <v>1377874.8</v>
      </c>
      <c r="F9" s="37" t="n">
        <f aca="false">E9/Assumptions!$B$6</f>
        <v>1145.36558603491</v>
      </c>
      <c r="H9" s="11" t="s">
        <v>189</v>
      </c>
    </row>
    <row r="11" customFormat="false" ht="15" hidden="false" customHeight="false" outlineLevel="0" collapsed="false">
      <c r="A11" s="3" t="s">
        <v>190</v>
      </c>
      <c r="F11" s="38" t="n">
        <v>977</v>
      </c>
      <c r="H11" s="10" t="s">
        <v>191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4"/>
    <col collapsed="false" customWidth="true" hidden="false" outlineLevel="0" max="7" min="7" style="0" width="3"/>
    <col collapsed="false" customWidth="true" hidden="false" outlineLevel="0" max="8" min="8" style="0" width="96"/>
  </cols>
  <sheetData>
    <row r="1" customFormat="false" ht="25.5" hidden="false" customHeight="true" outlineLevel="0" collapsed="false">
      <c r="A1" s="1" t="s">
        <v>192</v>
      </c>
      <c r="B1" s="1"/>
      <c r="C1" s="1"/>
      <c r="D1" s="1"/>
      <c r="E1" s="1"/>
      <c r="F1" s="1"/>
      <c r="G1" s="1"/>
      <c r="H1" s="1"/>
    </row>
    <row r="2" customFormat="false" ht="15.75" hidden="false" customHeight="true" outlineLevel="0" collapsed="false">
      <c r="A2" s="2" t="s">
        <v>193</v>
      </c>
      <c r="B2" s="2"/>
      <c r="C2" s="2"/>
      <c r="D2" s="2"/>
      <c r="E2" s="2"/>
      <c r="F2" s="2"/>
      <c r="G2" s="2"/>
      <c r="H2" s="2"/>
    </row>
    <row r="4" customFormat="false" ht="30" hidden="false" customHeight="true" outlineLevel="0" collapsed="false">
      <c r="A4" s="7" t="s">
        <v>194</v>
      </c>
      <c r="B4" s="7" t="s">
        <v>61</v>
      </c>
      <c r="C4" s="7" t="s">
        <v>62</v>
      </c>
      <c r="D4" s="7" t="s">
        <v>63</v>
      </c>
      <c r="E4" s="7" t="s">
        <v>64</v>
      </c>
      <c r="F4" s="7" t="s">
        <v>65</v>
      </c>
      <c r="G4" s="7"/>
      <c r="H4" s="7" t="s">
        <v>195</v>
      </c>
    </row>
    <row r="5" customFormat="false" ht="45.75" hidden="false" customHeight="true" outlineLevel="0" collapsed="false">
      <c r="A5" s="8" t="s">
        <v>196</v>
      </c>
      <c r="B5" s="32" t="n">
        <f aca="false">Assumptions!$B$9*(1+Assumptions!$B$30)*Assumptions!$B$29/Assumptions!$B$6</f>
        <v>1547.02543640898</v>
      </c>
      <c r="C5" s="32" t="n">
        <f aca="false">Assumptions!$B$9*(1+Assumptions!$C$30)*Assumptions!$C$29/Assumptions!$B$6</f>
        <v>1911.03142144638</v>
      </c>
      <c r="D5" s="32" t="n">
        <f aca="false">Assumptions!$B$9*(1+Assumptions!$D$30)*Assumptions!$D$29/Assumptions!$B$6</f>
        <v>2730.04488778055</v>
      </c>
      <c r="E5" s="32" t="n">
        <f aca="false">Assumptions!$B$9*(1+Assumptions!$E$30)*Assumptions!$E$29/Assumptions!$B$6</f>
        <v>3185.05236907731</v>
      </c>
      <c r="F5" s="32" t="n">
        <f aca="false">Assumptions!$B$9*(1+Assumptions!$F$30)*Assumptions!$F$29/Assumptions!$B$6</f>
        <v>3670.39368246052</v>
      </c>
      <c r="H5" s="10" t="s">
        <v>197</v>
      </c>
    </row>
    <row r="6" customFormat="false" ht="39.75" hidden="false" customHeight="true" outlineLevel="0" collapsed="false">
      <c r="A6" s="8" t="s">
        <v>198</v>
      </c>
      <c r="B6" s="32" t="n">
        <f aca="false">(Assumptions!$B$13*Assumptions!$C$13*(1+Assumptions!$B$31)+Assumptions!$B$14*Assumptions!$C$14*(1-Assumptions!$B$32)+Assumptions!$B$15*Assumptions!$C$15*(1+Assumptions!$B$31)+Assumptions!$B$16*Assumptions!$C$16*(1+Assumptions!$B$31)+Assumptions!$B$17*Assumptions!$C$17*(1+Assumptions!$B$31))*(1+Assumptions!$B$33)/Assumptions!$B$6</f>
        <v>578.08710723192</v>
      </c>
      <c r="C6" s="32" t="n">
        <f aca="false">(Assumptions!$B$13*Assumptions!$C$13*(1+Assumptions!$C$31)+Assumptions!$B$14*Assumptions!$C$14*(1-Assumptions!$C$32)+Assumptions!$B$15*Assumptions!$C$15*(1+Assumptions!$C$31)+Assumptions!$B$16*Assumptions!$C$16*(1+Assumptions!$C$31)+Assumptions!$B$17*Assumptions!$C$17*(1+Assumptions!$C$31))*(1+Assumptions!$C$33)/Assumptions!$B$6</f>
        <v>631.503566084788</v>
      </c>
      <c r="D6" s="32" t="n">
        <f aca="false">(Assumptions!$B$13*Assumptions!$C$13*(1+Assumptions!$D$31)+Assumptions!$B$14*Assumptions!$C$14*(1-Assumptions!$D$32)+Assumptions!$B$15*Assumptions!$C$15*(1+Assumptions!$D$31)+Assumptions!$B$16*Assumptions!$C$16*(1+Assumptions!$D$31)+Assumptions!$B$17*Assumptions!$C$17*(1+Assumptions!$D$31))*(1+Assumptions!$D$33)/Assumptions!$B$6</f>
        <v>750.68208478803</v>
      </c>
      <c r="E6" s="32" t="n">
        <f aca="false">(Assumptions!$B$13*Assumptions!$C$13*(1+Assumptions!$E$31)+Assumptions!$B$14*Assumptions!$C$14*(1-Assumptions!$E$32)+Assumptions!$B$15*Assumptions!$C$15*(1+Assumptions!$E$31)+Assumptions!$B$16*Assumptions!$C$16*(1+Assumptions!$E$31)+Assumptions!$B$17*Assumptions!$C$17*(1+Assumptions!$E$31))*(1+Assumptions!$E$33)/Assumptions!$B$6</f>
        <v>788.216189027431</v>
      </c>
      <c r="F6" s="32" t="n">
        <f aca="false">(Assumptions!$B$13*Assumptions!$C$13*(1+Assumptions!$F$31)+Assumptions!$B$14*Assumptions!$C$14*(1-Assumptions!$F$32)+Assumptions!$B$15*Assumptions!$C$15*(1+Assumptions!$F$31)+Assumptions!$B$16*Assumptions!$C$16*(1+Assumptions!$F$31)+Assumptions!$B$17*Assumptions!$C$17*(1+Assumptions!$F$31))*(1+Assumptions!$F$33)/Assumptions!$B$6</f>
        <v>863.284397506234</v>
      </c>
      <c r="H6" s="10" t="s">
        <v>199</v>
      </c>
    </row>
    <row r="7" customFormat="false" ht="39.75" hidden="false" customHeight="true" outlineLevel="0" collapsed="false">
      <c r="A7" s="8" t="s">
        <v>200</v>
      </c>
      <c r="B7" s="32" t="n">
        <f aca="false">'MEAL Valuation'!$F$5</f>
        <v>310.66427680798</v>
      </c>
      <c r="C7" s="32" t="n">
        <f aca="false">'MEAL Valuation'!$F$6</f>
        <v>361.19285120532</v>
      </c>
      <c r="D7" s="32" t="n">
        <f aca="false">'MEAL Valuation'!$F$7</f>
        <v>541.78927680798</v>
      </c>
      <c r="E7" s="32" t="n">
        <f aca="false">'MEAL Valuation'!$F$8</f>
        <v>995.970074812968</v>
      </c>
      <c r="F7" s="32" t="n">
        <f aca="false">'MEAL Valuation'!$F$9</f>
        <v>1145.36558603491</v>
      </c>
      <c r="H7" s="10" t="s">
        <v>201</v>
      </c>
    </row>
    <row r="8" customFormat="false" ht="39.75" hidden="false" customHeight="true" outlineLevel="0" collapsed="false">
      <c r="A8" s="8" t="s">
        <v>202</v>
      </c>
      <c r="B8" s="32" t="n">
        <f aca="false">'Growth Gems'!$G$15</f>
        <v>132.659684123026</v>
      </c>
      <c r="C8" s="32" t="n">
        <f aca="false">'Growth Gems'!$H$15</f>
        <v>165.824605153782</v>
      </c>
      <c r="D8" s="32" t="n">
        <f aca="false">'Growth Gems'!$I$15</f>
        <v>225.270449210308</v>
      </c>
      <c r="E8" s="32" t="n">
        <f aca="false">'Growth Gems'!$J$15</f>
        <v>356.860778304239</v>
      </c>
      <c r="F8" s="32" t="n">
        <f aca="false">'Growth Gems'!$K$15</f>
        <v>483.693696009975</v>
      </c>
      <c r="H8" s="10" t="s">
        <v>203</v>
      </c>
    </row>
    <row r="9" customFormat="false" ht="15" hidden="false" customHeight="false" outlineLevel="0" collapsed="false">
      <c r="A9" s="20" t="s">
        <v>204</v>
      </c>
      <c r="B9" s="22" t="n">
        <f aca="false">SUM(B5:B8)</f>
        <v>2568.4365045719</v>
      </c>
      <c r="C9" s="22" t="n">
        <f aca="false">SUM(C5:C8)</f>
        <v>3069.55244389027</v>
      </c>
      <c r="D9" s="22" t="n">
        <f aca="false">SUM(D5:D8)</f>
        <v>4247.78669858687</v>
      </c>
      <c r="E9" s="22" t="n">
        <f aca="false">SUM(E5:E8)</f>
        <v>5326.09941122195</v>
      </c>
      <c r="F9" s="22" t="n">
        <f aca="false">SUM(F5:F8)</f>
        <v>6162.73736201164</v>
      </c>
      <c r="H9" s="10" t="s">
        <v>205</v>
      </c>
    </row>
    <row r="10" customFormat="false" ht="45.75" hidden="false" customHeight="true" outlineLevel="0" collapsed="false">
      <c r="A10" s="8" t="s">
        <v>88</v>
      </c>
      <c r="B10" s="39" t="n">
        <f aca="false">Assumptions!$B$39</f>
        <v>0.25</v>
      </c>
      <c r="C10" s="39" t="n">
        <f aca="false">Assumptions!$C$39</f>
        <v>0.2</v>
      </c>
      <c r="D10" s="39" t="n">
        <f aca="false">Assumptions!$D$39</f>
        <v>0.1</v>
      </c>
      <c r="E10" s="39" t="n">
        <f aca="false">Assumptions!$E$39</f>
        <v>0.05</v>
      </c>
      <c r="F10" s="39" t="n">
        <f aca="false">Assumptions!$F$39</f>
        <v>0</v>
      </c>
      <c r="H10" s="10" t="s">
        <v>206</v>
      </c>
    </row>
    <row r="11" customFormat="false" ht="15" hidden="false" customHeight="false" outlineLevel="0" collapsed="false">
      <c r="A11" s="24" t="s">
        <v>207</v>
      </c>
      <c r="B11" s="40" t="n">
        <f aca="false">B9*(1-B10)</f>
        <v>1926.32737842893</v>
      </c>
      <c r="C11" s="40" t="n">
        <f aca="false">C9*(1-C10)</f>
        <v>2455.64195511222</v>
      </c>
      <c r="D11" s="40" t="n">
        <f aca="false">D9*(1-D10)</f>
        <v>3823.00802872818</v>
      </c>
      <c r="E11" s="40" t="n">
        <f aca="false">E9*(1-E10)</f>
        <v>5059.79444066085</v>
      </c>
      <c r="F11" s="40" t="n">
        <f aca="false">F9*(1-F10)</f>
        <v>6162.73736201164</v>
      </c>
    </row>
    <row r="12" customFormat="false" ht="15" hidden="false" customHeight="false" outlineLevel="0" collapsed="false">
      <c r="A12" s="8" t="s">
        <v>208</v>
      </c>
      <c r="B12" s="32" t="n">
        <f aca="false">Assumptions!$B$7</f>
        <v>3418</v>
      </c>
      <c r="C12" s="32" t="n">
        <f aca="false">Assumptions!$B$7</f>
        <v>3418</v>
      </c>
      <c r="D12" s="32" t="n">
        <f aca="false">Assumptions!$B$7</f>
        <v>3418</v>
      </c>
      <c r="E12" s="32" t="n">
        <f aca="false">Assumptions!$B$7</f>
        <v>3418</v>
      </c>
      <c r="F12" s="32" t="n">
        <f aca="false">Assumptions!$B$7</f>
        <v>3418</v>
      </c>
    </row>
    <row r="13" customFormat="false" ht="15" hidden="false" customHeight="false" outlineLevel="0" collapsed="false">
      <c r="A13" s="3" t="s">
        <v>209</v>
      </c>
      <c r="B13" s="41" t="n">
        <f aca="false">B11/B12-1</f>
        <v>-0.436416799757482</v>
      </c>
      <c r="C13" s="41" t="n">
        <f aca="false">C11/C12-1</f>
        <v>-0.281555893764711</v>
      </c>
      <c r="D13" s="41" t="n">
        <f aca="false">D11/D12-1</f>
        <v>0.118492694186126</v>
      </c>
      <c r="E13" s="41" t="n">
        <f aca="false">E11/E12-1</f>
        <v>0.480337753265315</v>
      </c>
      <c r="F13" s="41" t="n">
        <f aca="false">F11/F12-1</f>
        <v>0.803024389119847</v>
      </c>
    </row>
    <row r="14" customFormat="false" ht="39.75" hidden="false" customHeight="true" outlineLevel="0" collapsed="false">
      <c r="A14" s="8" t="s">
        <v>210</v>
      </c>
      <c r="B14" s="42" t="n">
        <f aca="false">B11*Assumptions!$B$6/Assumptions!$B$9</f>
        <v>12.7008508053908</v>
      </c>
      <c r="C14" s="42" t="n">
        <f aca="false">C11*Assumptions!$B$6/Assumptions!$B$9</f>
        <v>16.1907796424383</v>
      </c>
      <c r="D14" s="42" t="n">
        <f aca="false">D11*Assumptions!$B$6/Assumptions!$B$9</f>
        <v>25.2062318920519</v>
      </c>
      <c r="E14" s="42" t="n">
        <f aca="false">E11*Assumptions!$B$6/Assumptions!$B$9</f>
        <v>33.360733495462</v>
      </c>
      <c r="F14" s="42" t="n">
        <f aca="false">F11*Assumptions!$B$6/Assumptions!$B$9</f>
        <v>40.6327650555196</v>
      </c>
      <c r="H14" s="10" t="s">
        <v>211</v>
      </c>
    </row>
    <row r="16" customFormat="false" ht="15" hidden="false" customHeight="false" outlineLevel="0" collapsed="false">
      <c r="A16" s="5" t="s">
        <v>212</v>
      </c>
      <c r="B16" s="6"/>
      <c r="C16" s="6"/>
      <c r="D16" s="6"/>
      <c r="E16" s="6"/>
      <c r="F16" s="6"/>
      <c r="G16" s="6"/>
      <c r="H16" s="6"/>
    </row>
    <row r="17" customFormat="false" ht="30" hidden="false" customHeight="true" outlineLevel="0" collapsed="false">
      <c r="A17" s="7" t="s">
        <v>176</v>
      </c>
      <c r="B17" s="7" t="s">
        <v>213</v>
      </c>
      <c r="C17" s="7" t="s">
        <v>214</v>
      </c>
      <c r="D17" s="7"/>
      <c r="E17" s="7"/>
      <c r="F17" s="7"/>
      <c r="G17" s="7"/>
      <c r="H17" s="7" t="s">
        <v>215</v>
      </c>
    </row>
    <row r="18" customFormat="false" ht="61.5" hidden="false" customHeight="true" outlineLevel="0" collapsed="false">
      <c r="A18" s="35" t="s">
        <v>61</v>
      </c>
      <c r="B18" s="32" t="n">
        <f aca="false">B11</f>
        <v>1926.32737842893</v>
      </c>
      <c r="C18" s="39" t="n">
        <f aca="false">B13</f>
        <v>-0.436416799757482</v>
      </c>
      <c r="D18" s="17"/>
      <c r="E18" s="17"/>
      <c r="F18" s="17"/>
      <c r="G18" s="17"/>
      <c r="H18" s="19" t="s">
        <v>216</v>
      </c>
    </row>
    <row r="19" customFormat="false" ht="61.5" hidden="false" customHeight="true" outlineLevel="0" collapsed="false">
      <c r="A19" s="35" t="s">
        <v>62</v>
      </c>
      <c r="B19" s="32" t="n">
        <f aca="false">C11</f>
        <v>2455.64195511222</v>
      </c>
      <c r="C19" s="39" t="n">
        <f aca="false">C13</f>
        <v>-0.281555893764711</v>
      </c>
      <c r="D19" s="17"/>
      <c r="E19" s="17"/>
      <c r="F19" s="17"/>
      <c r="G19" s="17"/>
      <c r="H19" s="19" t="s">
        <v>217</v>
      </c>
    </row>
    <row r="20" customFormat="false" ht="61.5" hidden="false" customHeight="true" outlineLevel="0" collapsed="false">
      <c r="A20" s="35" t="s">
        <v>63</v>
      </c>
      <c r="B20" s="32" t="n">
        <f aca="false">D11</f>
        <v>3823.00802872818</v>
      </c>
      <c r="C20" s="39" t="n">
        <f aca="false">D13</f>
        <v>0.118492694186126</v>
      </c>
      <c r="D20" s="17"/>
      <c r="E20" s="17"/>
      <c r="F20" s="17"/>
      <c r="G20" s="17"/>
      <c r="H20" s="19" t="s">
        <v>218</v>
      </c>
    </row>
    <row r="21" customFormat="false" ht="61.5" hidden="false" customHeight="true" outlineLevel="0" collapsed="false">
      <c r="A21" s="35" t="s">
        <v>64</v>
      </c>
      <c r="B21" s="32" t="n">
        <f aca="false">E11</f>
        <v>5059.79444066085</v>
      </c>
      <c r="C21" s="39" t="n">
        <f aca="false">E13</f>
        <v>0.480337753265315</v>
      </c>
      <c r="D21" s="17"/>
      <c r="E21" s="17"/>
      <c r="F21" s="17"/>
      <c r="G21" s="17"/>
      <c r="H21" s="19" t="s">
        <v>219</v>
      </c>
    </row>
    <row r="22" customFormat="false" ht="61.5" hidden="false" customHeight="true" outlineLevel="0" collapsed="false">
      <c r="A22" s="35" t="s">
        <v>65</v>
      </c>
      <c r="B22" s="32" t="n">
        <f aca="false">F11</f>
        <v>6162.73736201164</v>
      </c>
      <c r="C22" s="39" t="n">
        <f aca="false">F13</f>
        <v>0.803024389119847</v>
      </c>
      <c r="D22" s="17"/>
      <c r="E22" s="17"/>
      <c r="F22" s="17"/>
      <c r="G22" s="17"/>
      <c r="H22" s="19" t="s">
        <v>220</v>
      </c>
    </row>
    <row r="24" customFormat="false" ht="61.5" hidden="false" customHeight="true" outlineLevel="0" collapsed="false">
      <c r="A24" s="3" t="s">
        <v>221</v>
      </c>
      <c r="H24" s="11" t="s">
        <v>222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
    <col collapsed="false" customWidth="true" hidden="false" outlineLevel="0" max="3" min="3" style="0" width="15"/>
    <col collapsed="false" customWidth="true" hidden="false" outlineLevel="0" max="5" min="4" style="0" width="16"/>
    <col collapsed="false" customWidth="true" hidden="false" outlineLevel="0" max="6" min="6" style="0" width="24"/>
    <col collapsed="false" customWidth="true" hidden="false" outlineLevel="0" max="7" min="7" style="0" width="13"/>
    <col collapsed="false" customWidth="true" hidden="false" outlineLevel="0" max="8" min="8" style="0" width="92"/>
  </cols>
  <sheetData>
    <row r="1" customFormat="false" ht="25.5" hidden="false" customHeight="true" outlineLevel="0" collapsed="false">
      <c r="A1" s="1" t="s">
        <v>223</v>
      </c>
      <c r="B1" s="1"/>
      <c r="C1" s="1"/>
      <c r="D1" s="1"/>
      <c r="E1" s="1"/>
      <c r="F1" s="1"/>
      <c r="G1" s="1"/>
      <c r="H1" s="1"/>
    </row>
    <row r="2" customFormat="false" ht="15.75" hidden="false" customHeight="true" outlineLevel="0" collapsed="false">
      <c r="A2" s="2" t="s">
        <v>224</v>
      </c>
      <c r="B2" s="2"/>
      <c r="C2" s="2"/>
      <c r="D2" s="2"/>
      <c r="E2" s="2"/>
      <c r="F2" s="2"/>
      <c r="G2" s="2"/>
      <c r="H2" s="2"/>
    </row>
    <row r="4" customFormat="false" ht="21.75" hidden="false" customHeight="true" outlineLevel="0" collapsed="false">
      <c r="A4" s="1" t="s">
        <v>225</v>
      </c>
      <c r="B4" s="1"/>
      <c r="C4" s="1"/>
      <c r="D4" s="1"/>
      <c r="E4" s="1"/>
      <c r="F4" s="1"/>
      <c r="G4" s="1"/>
      <c r="H4" s="1"/>
    </row>
    <row r="5" customFormat="false" ht="30" hidden="false" customHeight="true" outlineLevel="0" collapsed="false">
      <c r="A5" s="7" t="s">
        <v>34</v>
      </c>
      <c r="B5" s="7" t="s">
        <v>93</v>
      </c>
      <c r="C5" s="7" t="s">
        <v>94</v>
      </c>
      <c r="D5" s="7" t="s">
        <v>95</v>
      </c>
      <c r="E5" s="7" t="s">
        <v>96</v>
      </c>
      <c r="F5" s="7" t="s">
        <v>97</v>
      </c>
      <c r="G5" s="7" t="s">
        <v>98</v>
      </c>
      <c r="H5" s="7" t="s">
        <v>226</v>
      </c>
    </row>
    <row r="6" customFormat="false" ht="33.75" hidden="false" customHeight="true" outlineLevel="0" collapsed="false">
      <c r="A6" s="8" t="s">
        <v>100</v>
      </c>
      <c r="B6" s="43" t="n">
        <v>1</v>
      </c>
      <c r="E6" s="44" t="n">
        <f aca="false">Assumptions!$B$9*(1+Assumptions!$B$30)*Assumptions!$B$29</f>
        <v>1861071.6</v>
      </c>
      <c r="F6" s="8" t="str">
        <f aca="false">TEXT(Assumptions!$B$29,"0.0")&amp;"x FY28E, earnings "&amp;TEXT(Assumptions!$B$30,"+0%;-0%;0%")&amp;" vs cons"</f>
        <v>12.0x FY28E, earnings -15% vs cons</v>
      </c>
      <c r="G6" s="45" t="n">
        <f aca="false">E6/Assumptions!$B$6</f>
        <v>1547.02543640898</v>
      </c>
      <c r="H6" s="10" t="s">
        <v>227</v>
      </c>
    </row>
    <row r="7" customFormat="false" ht="15" hidden="false" customHeight="false" outlineLevel="0" collapsed="false">
      <c r="A7" s="5" t="s">
        <v>103</v>
      </c>
      <c r="B7" s="6"/>
      <c r="C7" s="6"/>
      <c r="D7" s="6"/>
      <c r="E7" s="6"/>
      <c r="F7" s="6"/>
      <c r="G7" s="6"/>
      <c r="H7" s="6"/>
    </row>
    <row r="8" customFormat="false" ht="39.75" hidden="false" customHeight="true" outlineLevel="0" collapsed="false">
      <c r="A8" s="8" t="s">
        <v>104</v>
      </c>
      <c r="B8" s="46" t="n">
        <f aca="false">Assumptions!$C$13</f>
        <v>0.52</v>
      </c>
      <c r="C8" s="8" t="s">
        <v>105</v>
      </c>
      <c r="D8" s="44" t="n">
        <f aca="false">Assumptions!$B$13</f>
        <v>553760</v>
      </c>
      <c r="E8" s="45" t="n">
        <f aca="false">D8*B8*(1+Assumptions!$B$31)*(1+Assumptions!$B$33)</f>
        <v>287955.2</v>
      </c>
      <c r="F8" s="8" t="str">
        <f aca="false">"control prem "&amp;TEXT(Assumptions!$B$31,"0%")</f>
        <v>control prem 0%</v>
      </c>
      <c r="G8" s="45" t="n">
        <f aca="false">E8/Assumptions!$B$6</f>
        <v>239.3642560266</v>
      </c>
      <c r="H8" s="10" t="s">
        <v>228</v>
      </c>
    </row>
    <row r="9" customFormat="false" ht="39.75" hidden="false" customHeight="true" outlineLevel="0" collapsed="false">
      <c r="A9" s="8" t="s">
        <v>108</v>
      </c>
      <c r="B9" s="46" t="n">
        <f aca="false">Assumptions!$C$14</f>
        <v>0.28</v>
      </c>
      <c r="C9" s="8" t="s">
        <v>109</v>
      </c>
      <c r="D9" s="44" t="n">
        <f aca="false">Assumptions!$B$14</f>
        <v>1530000</v>
      </c>
      <c r="E9" s="45" t="n">
        <f aca="false">D9*B9*(1-Assumptions!$B$32)*(1+Assumptions!$B$33)</f>
        <v>299880</v>
      </c>
      <c r="F9" s="8" t="str">
        <f aca="false">"stake disc "&amp;TEXT(Assumptions!$B$32,"0%")</f>
        <v>stake disc 30%</v>
      </c>
      <c r="G9" s="45" t="n">
        <f aca="false">E9/Assumptions!$B$6</f>
        <v>249.27680798005</v>
      </c>
      <c r="H9" s="10" t="s">
        <v>229</v>
      </c>
    </row>
    <row r="10" customFormat="false" ht="39.75" hidden="false" customHeight="true" outlineLevel="0" collapsed="false">
      <c r="A10" s="8" t="s">
        <v>111</v>
      </c>
      <c r="B10" s="46" t="n">
        <f aca="false">Assumptions!$C$15</f>
        <v>0.58</v>
      </c>
      <c r="C10" s="8" t="s">
        <v>230</v>
      </c>
      <c r="D10" s="44" t="n">
        <f aca="false">Assumptions!$B$15</f>
        <v>41310</v>
      </c>
      <c r="E10" s="45" t="n">
        <f aca="false">D10*B10*(1+Assumptions!$B$31)*(1+Assumptions!$B$33)</f>
        <v>23959.8</v>
      </c>
      <c r="F10" s="8" t="str">
        <f aca="false">"control prem "&amp;TEXT(Assumptions!$B$31,"0%")</f>
        <v>control prem 0%</v>
      </c>
      <c r="G10" s="45" t="n">
        <f aca="false">E10/Assumptions!$B$6</f>
        <v>19.9167082294264</v>
      </c>
      <c r="H10" s="10" t="s">
        <v>231</v>
      </c>
    </row>
    <row r="11" customFormat="false" ht="39.75" hidden="false" customHeight="true" outlineLevel="0" collapsed="false">
      <c r="A11" s="8" t="s">
        <v>232</v>
      </c>
      <c r="B11" s="46" t="n">
        <f aca="false">Assumptions!$C$16</f>
        <v>0.51</v>
      </c>
      <c r="C11" s="8" t="s">
        <v>233</v>
      </c>
      <c r="D11" s="44" t="n">
        <f aca="false">Assumptions!$B$16</f>
        <v>79929</v>
      </c>
      <c r="E11" s="45" t="n">
        <f aca="false">D11*B11*(1+Assumptions!$B$31)*(1+Assumptions!$B$33)</f>
        <v>40763.79</v>
      </c>
      <c r="F11" s="8" t="str">
        <f aca="false">"control prem "&amp;TEXT(Assumptions!$B$31,"0%")</f>
        <v>control prem 0%</v>
      </c>
      <c r="G11" s="45" t="n">
        <f aca="false">E11/Assumptions!$B$6</f>
        <v>33.8851122194514</v>
      </c>
      <c r="H11" s="10" t="s">
        <v>234</v>
      </c>
    </row>
    <row r="12" customFormat="false" ht="39.75" hidden="false" customHeight="true" outlineLevel="0" collapsed="false">
      <c r="A12" s="8" t="s">
        <v>235</v>
      </c>
      <c r="B12" s="46" t="n">
        <f aca="false">Assumptions!$C$17</f>
        <v>0.67</v>
      </c>
      <c r="C12" s="8" t="s">
        <v>118</v>
      </c>
      <c r="D12" s="44" t="n">
        <f aca="false">Assumptions!$B$17</f>
        <v>64000</v>
      </c>
      <c r="E12" s="45" t="n">
        <f aca="false">D12*B12*(1+Assumptions!$B$31)*(1+Assumptions!$B$33)</f>
        <v>42880</v>
      </c>
      <c r="F12" s="8" t="str">
        <f aca="false">"control prem "&amp;TEXT(Assumptions!$B$31,"0%")</f>
        <v>control prem 0%</v>
      </c>
      <c r="G12" s="45" t="n">
        <f aca="false">E12/Assumptions!$B$6</f>
        <v>35.6442227763924</v>
      </c>
      <c r="H12" s="10" t="s">
        <v>236</v>
      </c>
    </row>
    <row r="13" customFormat="false" ht="45.75" hidden="false" customHeight="true" outlineLevel="0" collapsed="false">
      <c r="A13" s="8" t="s">
        <v>237</v>
      </c>
      <c r="B13" s="47" t="n">
        <f aca="false">Assumptions!$B$21</f>
        <v>0.9245</v>
      </c>
      <c r="C13" s="8" t="s">
        <v>121</v>
      </c>
      <c r="D13" s="44" t="n">
        <f aca="false">'MEAL Valuation'!$C$5</f>
        <v>404250</v>
      </c>
      <c r="E13" s="44" t="n">
        <f aca="false">'MEAL Valuation'!$E$5</f>
        <v>373729.125</v>
      </c>
      <c r="F13" s="48" t="str">
        <f aca="false">'MEAL Valuation'!$B$5</f>
        <v>CCPS conversion mark</v>
      </c>
      <c r="G13" s="44" t="n">
        <f aca="false">'MEAL Valuation'!$F$5</f>
        <v>310.66427680798</v>
      </c>
      <c r="H13" s="10" t="s">
        <v>238</v>
      </c>
    </row>
    <row r="14" customFormat="false" ht="15" hidden="false" customHeight="false" outlineLevel="0" collapsed="false">
      <c r="A14" s="5" t="s">
        <v>123</v>
      </c>
      <c r="B14" s="6"/>
      <c r="C14" s="6"/>
      <c r="D14" s="6"/>
      <c r="E14" s="6"/>
      <c r="F14" s="6"/>
      <c r="G14" s="6"/>
      <c r="H14" s="6"/>
    </row>
    <row r="15" customFormat="false" ht="39.75" hidden="false" customHeight="true" outlineLevel="0" collapsed="false">
      <c r="A15" s="8" t="s">
        <v>202</v>
      </c>
      <c r="E15" s="44" t="n">
        <f aca="false">'Growth Gems'!$G$14</f>
        <v>159589.6</v>
      </c>
      <c r="F15" s="8" t="s">
        <v>239</v>
      </c>
      <c r="G15" s="44" t="n">
        <f aca="false">'Growth Gems'!$G$15</f>
        <v>132.659684123026</v>
      </c>
      <c r="H15" s="10" t="s">
        <v>240</v>
      </c>
    </row>
    <row r="16" customFormat="false" ht="15" hidden="false" customHeight="false" outlineLevel="0" collapsed="false">
      <c r="A16" s="20" t="s">
        <v>241</v>
      </c>
      <c r="B16" s="21"/>
      <c r="C16" s="21"/>
      <c r="D16" s="21"/>
      <c r="E16" s="21"/>
      <c r="F16" s="21"/>
      <c r="G16" s="22" t="n">
        <f aca="false">SUM(G6:G15)</f>
        <v>2568.4365045719</v>
      </c>
      <c r="H16" s="23" t="s">
        <v>242</v>
      </c>
    </row>
    <row r="17" customFormat="false" ht="15" hidden="false" customHeight="false" outlineLevel="0" collapsed="false">
      <c r="A17" s="24" t="s">
        <v>129</v>
      </c>
      <c r="B17" s="49" t="n">
        <f aca="false">Assumptions!$B$39</f>
        <v>0.25</v>
      </c>
      <c r="C17" s="24" t="s">
        <v>243</v>
      </c>
      <c r="D17" s="25"/>
      <c r="E17" s="25"/>
      <c r="F17" s="25"/>
      <c r="G17" s="40" t="n">
        <f aca="false">ROUND(G16*(1-B17),-2)</f>
        <v>1900</v>
      </c>
      <c r="H17" s="27" t="s">
        <v>244</v>
      </c>
    </row>
    <row r="18" customFormat="false" ht="15" hidden="false" customHeight="false" outlineLevel="0" collapsed="false">
      <c r="A18" s="3" t="s">
        <v>245</v>
      </c>
      <c r="G18" s="50" t="n">
        <f aca="false">G17/Assumptions!$B$7-1</f>
        <v>-0.444119368051492</v>
      </c>
    </row>
    <row r="21" customFormat="false" ht="21.75" hidden="false" customHeight="true" outlineLevel="0" collapsed="false">
      <c r="A21" s="1" t="s">
        <v>246</v>
      </c>
      <c r="B21" s="1"/>
      <c r="C21" s="1"/>
      <c r="D21" s="1"/>
      <c r="E21" s="1"/>
      <c r="F21" s="1"/>
      <c r="G21" s="1"/>
      <c r="H21" s="1"/>
    </row>
    <row r="22" customFormat="false" ht="30" hidden="false" customHeight="true" outlineLevel="0" collapsed="false">
      <c r="A22" s="7" t="s">
        <v>34</v>
      </c>
      <c r="B22" s="7" t="s">
        <v>93</v>
      </c>
      <c r="C22" s="7" t="s">
        <v>94</v>
      </c>
      <c r="D22" s="7" t="s">
        <v>95</v>
      </c>
      <c r="E22" s="7" t="s">
        <v>96</v>
      </c>
      <c r="F22" s="7" t="s">
        <v>97</v>
      </c>
      <c r="G22" s="7" t="s">
        <v>98</v>
      </c>
      <c r="H22" s="7" t="s">
        <v>226</v>
      </c>
    </row>
    <row r="23" customFormat="false" ht="33.75" hidden="false" customHeight="true" outlineLevel="0" collapsed="false">
      <c r="A23" s="8" t="s">
        <v>100</v>
      </c>
      <c r="B23" s="43" t="n">
        <v>1</v>
      </c>
      <c r="E23" s="44" t="n">
        <f aca="false">Assumptions!$B$9*(1+Assumptions!$C$30)*Assumptions!$C$29</f>
        <v>2298970.8</v>
      </c>
      <c r="F23" s="8" t="str">
        <f aca="false">TEXT(Assumptions!$C$29,"0.0")&amp;"x FY28E, earnings "&amp;TEXT(Assumptions!$C$30,"+0%;-0%;0%")&amp;" vs cons"</f>
        <v>14.0x FY28E, earnings -10% vs cons</v>
      </c>
      <c r="G23" s="45" t="n">
        <f aca="false">E23/Assumptions!$B$6</f>
        <v>1911.03142144638</v>
      </c>
      <c r="H23" s="10" t="s">
        <v>227</v>
      </c>
    </row>
    <row r="24" customFormat="false" ht="15" hidden="false" customHeight="false" outlineLevel="0" collapsed="false">
      <c r="A24" s="5" t="s">
        <v>103</v>
      </c>
      <c r="B24" s="6"/>
      <c r="C24" s="6"/>
      <c r="D24" s="6"/>
      <c r="E24" s="6"/>
      <c r="F24" s="6"/>
      <c r="G24" s="6"/>
      <c r="H24" s="6"/>
    </row>
    <row r="25" customFormat="false" ht="39.75" hidden="false" customHeight="true" outlineLevel="0" collapsed="false">
      <c r="A25" s="8" t="s">
        <v>104</v>
      </c>
      <c r="B25" s="46" t="n">
        <f aca="false">Assumptions!$C$13</f>
        <v>0.52</v>
      </c>
      <c r="C25" s="8" t="s">
        <v>105</v>
      </c>
      <c r="D25" s="44" t="n">
        <f aca="false">Assumptions!$B$13</f>
        <v>553760</v>
      </c>
      <c r="E25" s="45" t="n">
        <f aca="false">D25*B25*(1+Assumptions!$C$31)*(1+Assumptions!$C$33)</f>
        <v>287955.2</v>
      </c>
      <c r="F25" s="8" t="str">
        <f aca="false">"control prem "&amp;TEXT(Assumptions!$C$31,"0%")</f>
        <v>control prem 0%</v>
      </c>
      <c r="G25" s="45" t="n">
        <f aca="false">E25/Assumptions!$B$6</f>
        <v>239.3642560266</v>
      </c>
      <c r="H25" s="10" t="s">
        <v>228</v>
      </c>
    </row>
    <row r="26" customFormat="false" ht="39.75" hidden="false" customHeight="true" outlineLevel="0" collapsed="false">
      <c r="A26" s="8" t="s">
        <v>108</v>
      </c>
      <c r="B26" s="46" t="n">
        <f aca="false">Assumptions!$C$14</f>
        <v>0.28</v>
      </c>
      <c r="C26" s="8" t="s">
        <v>109</v>
      </c>
      <c r="D26" s="44" t="n">
        <f aca="false">Assumptions!$B$14</f>
        <v>1530000</v>
      </c>
      <c r="E26" s="45" t="n">
        <f aca="false">D26*B26*(1-Assumptions!$C$32)*(1+Assumptions!$C$33)</f>
        <v>364140</v>
      </c>
      <c r="F26" s="8" t="str">
        <f aca="false">"stake disc "&amp;TEXT(Assumptions!$C$32,"0%")</f>
        <v>stake disc 15%</v>
      </c>
      <c r="G26" s="45" t="n">
        <f aca="false">E26/Assumptions!$B$6</f>
        <v>302.693266832918</v>
      </c>
      <c r="H26" s="10" t="s">
        <v>229</v>
      </c>
    </row>
    <row r="27" customFormat="false" ht="39.75" hidden="false" customHeight="true" outlineLevel="0" collapsed="false">
      <c r="A27" s="8" t="s">
        <v>111</v>
      </c>
      <c r="B27" s="46" t="n">
        <f aca="false">Assumptions!$C$15</f>
        <v>0.58</v>
      </c>
      <c r="C27" s="8" t="s">
        <v>230</v>
      </c>
      <c r="D27" s="44" t="n">
        <f aca="false">Assumptions!$B$15</f>
        <v>41310</v>
      </c>
      <c r="E27" s="45" t="n">
        <f aca="false">D27*B27*(1+Assumptions!$C$31)*(1+Assumptions!$C$33)</f>
        <v>23959.8</v>
      </c>
      <c r="F27" s="8" t="str">
        <f aca="false">"control prem "&amp;TEXT(Assumptions!$C$31,"0%")</f>
        <v>control prem 0%</v>
      </c>
      <c r="G27" s="45" t="n">
        <f aca="false">E27/Assumptions!$B$6</f>
        <v>19.9167082294264</v>
      </c>
      <c r="H27" s="10" t="s">
        <v>231</v>
      </c>
    </row>
    <row r="28" customFormat="false" ht="39.75" hidden="false" customHeight="true" outlineLevel="0" collapsed="false">
      <c r="A28" s="8" t="s">
        <v>232</v>
      </c>
      <c r="B28" s="46" t="n">
        <f aca="false">Assumptions!$C$16</f>
        <v>0.51</v>
      </c>
      <c r="C28" s="8" t="s">
        <v>233</v>
      </c>
      <c r="D28" s="44" t="n">
        <f aca="false">Assumptions!$B$16</f>
        <v>79929</v>
      </c>
      <c r="E28" s="45" t="n">
        <f aca="false">D28*B28*(1+Assumptions!$C$31)*(1+Assumptions!$C$33)</f>
        <v>40763.79</v>
      </c>
      <c r="F28" s="8" t="str">
        <f aca="false">"control prem "&amp;TEXT(Assumptions!$C$31,"0%")</f>
        <v>control prem 0%</v>
      </c>
      <c r="G28" s="45" t="n">
        <f aca="false">E28/Assumptions!$B$6</f>
        <v>33.8851122194514</v>
      </c>
      <c r="H28" s="10" t="s">
        <v>234</v>
      </c>
    </row>
    <row r="29" customFormat="false" ht="39.75" hidden="false" customHeight="true" outlineLevel="0" collapsed="false">
      <c r="A29" s="8" t="s">
        <v>235</v>
      </c>
      <c r="B29" s="46" t="n">
        <f aca="false">Assumptions!$C$17</f>
        <v>0.67</v>
      </c>
      <c r="C29" s="8" t="s">
        <v>118</v>
      </c>
      <c r="D29" s="44" t="n">
        <f aca="false">Assumptions!$B$17</f>
        <v>64000</v>
      </c>
      <c r="E29" s="45" t="n">
        <f aca="false">D29*B29*(1+Assumptions!$C$31)*(1+Assumptions!$C$33)</f>
        <v>42880</v>
      </c>
      <c r="F29" s="8" t="str">
        <f aca="false">"control prem "&amp;TEXT(Assumptions!$C$31,"0%")</f>
        <v>control prem 0%</v>
      </c>
      <c r="G29" s="45" t="n">
        <f aca="false">E29/Assumptions!$B$6</f>
        <v>35.6442227763924</v>
      </c>
      <c r="H29" s="10" t="s">
        <v>236</v>
      </c>
    </row>
    <row r="30" customFormat="false" ht="45.75" hidden="false" customHeight="true" outlineLevel="0" collapsed="false">
      <c r="A30" s="8" t="s">
        <v>237</v>
      </c>
      <c r="B30" s="47" t="n">
        <f aca="false">Assumptions!$B$21</f>
        <v>0.9245</v>
      </c>
      <c r="C30" s="8" t="s">
        <v>121</v>
      </c>
      <c r="D30" s="44" t="n">
        <f aca="false">'MEAL Valuation'!$C$6</f>
        <v>470000</v>
      </c>
      <c r="E30" s="44" t="n">
        <f aca="false">'MEAL Valuation'!$E$6</f>
        <v>434515</v>
      </c>
      <c r="F30" s="48" t="str">
        <f aca="false">'MEAL Valuation'!$B$6</f>
        <v>2.0x FY28E EV revenue</v>
      </c>
      <c r="G30" s="44" t="n">
        <f aca="false">'MEAL Valuation'!$F$6</f>
        <v>361.19285120532</v>
      </c>
      <c r="H30" s="10" t="s">
        <v>238</v>
      </c>
    </row>
    <row r="31" customFormat="false" ht="15" hidden="false" customHeight="false" outlineLevel="0" collapsed="false">
      <c r="A31" s="5" t="s">
        <v>123</v>
      </c>
      <c r="B31" s="6"/>
      <c r="C31" s="6"/>
      <c r="D31" s="6"/>
      <c r="E31" s="6"/>
      <c r="F31" s="6"/>
      <c r="G31" s="6"/>
      <c r="H31" s="6"/>
    </row>
    <row r="32" customFormat="false" ht="39.75" hidden="false" customHeight="true" outlineLevel="0" collapsed="false">
      <c r="A32" s="8" t="s">
        <v>202</v>
      </c>
      <c r="E32" s="44" t="n">
        <f aca="false">'Growth Gems'!$H$14</f>
        <v>199487</v>
      </c>
      <c r="F32" s="8" t="s">
        <v>247</v>
      </c>
      <c r="G32" s="44" t="n">
        <f aca="false">'Growth Gems'!$H$15</f>
        <v>165.824605153782</v>
      </c>
      <c r="H32" s="10" t="s">
        <v>248</v>
      </c>
    </row>
    <row r="33" customFormat="false" ht="15" hidden="false" customHeight="false" outlineLevel="0" collapsed="false">
      <c r="A33" s="20" t="s">
        <v>241</v>
      </c>
      <c r="B33" s="21"/>
      <c r="C33" s="21"/>
      <c r="D33" s="21"/>
      <c r="E33" s="21"/>
      <c r="F33" s="21"/>
      <c r="G33" s="22" t="n">
        <f aca="false">SUM(G23:G32)</f>
        <v>3069.55244389027</v>
      </c>
      <c r="H33" s="23" t="s">
        <v>242</v>
      </c>
    </row>
    <row r="34" customFormat="false" ht="15" hidden="false" customHeight="false" outlineLevel="0" collapsed="false">
      <c r="A34" s="24" t="s">
        <v>129</v>
      </c>
      <c r="B34" s="49" t="n">
        <f aca="false">Assumptions!$C$39</f>
        <v>0.2</v>
      </c>
      <c r="C34" s="24" t="s">
        <v>243</v>
      </c>
      <c r="D34" s="25"/>
      <c r="E34" s="25"/>
      <c r="F34" s="25"/>
      <c r="G34" s="40" t="n">
        <f aca="false">ROUND(G33*(1-B34),-2)</f>
        <v>2500</v>
      </c>
      <c r="H34" s="27" t="s">
        <v>244</v>
      </c>
    </row>
    <row r="35" customFormat="false" ht="15" hidden="false" customHeight="false" outlineLevel="0" collapsed="false">
      <c r="A35" s="3" t="s">
        <v>245</v>
      </c>
      <c r="G35" s="50" t="n">
        <f aca="false">G34/Assumptions!$B$7-1</f>
        <v>-0.268578115857226</v>
      </c>
    </row>
    <row r="38" customFormat="false" ht="21.75" hidden="false" customHeight="true" outlineLevel="0" collapsed="false">
      <c r="A38" s="1" t="s">
        <v>249</v>
      </c>
      <c r="B38" s="1"/>
      <c r="C38" s="1"/>
      <c r="D38" s="1"/>
      <c r="E38" s="1"/>
      <c r="F38" s="1"/>
      <c r="G38" s="1"/>
      <c r="H38" s="1"/>
    </row>
    <row r="39" customFormat="false" ht="30" hidden="false" customHeight="true" outlineLevel="0" collapsed="false">
      <c r="A39" s="7" t="s">
        <v>34</v>
      </c>
      <c r="B39" s="7" t="s">
        <v>93</v>
      </c>
      <c r="C39" s="7" t="s">
        <v>94</v>
      </c>
      <c r="D39" s="7" t="s">
        <v>95</v>
      </c>
      <c r="E39" s="7" t="s">
        <v>96</v>
      </c>
      <c r="F39" s="7" t="s">
        <v>97</v>
      </c>
      <c r="G39" s="7" t="s">
        <v>98</v>
      </c>
      <c r="H39" s="7" t="s">
        <v>226</v>
      </c>
    </row>
    <row r="40" customFormat="false" ht="33.75" hidden="false" customHeight="true" outlineLevel="0" collapsed="false">
      <c r="A40" s="8" t="s">
        <v>100</v>
      </c>
      <c r="B40" s="43" t="n">
        <v>1</v>
      </c>
      <c r="E40" s="44" t="n">
        <f aca="false">Assumptions!$B$9*(1+Assumptions!$D$30)*Assumptions!$D$29</f>
        <v>3284244</v>
      </c>
      <c r="F40" s="8" t="str">
        <f aca="false">TEXT(Assumptions!$D$29,"0.0")&amp;"x FY28E, earnings "&amp;TEXT(Assumptions!$D$30,"+0%;-0%;0%")&amp;" vs cons"</f>
        <v>18.0x FY28E, earnings 0% vs cons</v>
      </c>
      <c r="G40" s="45" t="n">
        <f aca="false">E40/Assumptions!$B$6</f>
        <v>2730.04488778055</v>
      </c>
      <c r="H40" s="10" t="s">
        <v>227</v>
      </c>
    </row>
    <row r="41" customFormat="false" ht="15" hidden="false" customHeight="false" outlineLevel="0" collapsed="false">
      <c r="A41" s="5" t="s">
        <v>103</v>
      </c>
      <c r="B41" s="6"/>
      <c r="C41" s="6"/>
      <c r="D41" s="6"/>
      <c r="E41" s="6"/>
      <c r="F41" s="6"/>
      <c r="G41" s="6"/>
      <c r="H41" s="6"/>
    </row>
    <row r="42" customFormat="false" ht="39.75" hidden="false" customHeight="true" outlineLevel="0" collapsed="false">
      <c r="A42" s="8" t="s">
        <v>104</v>
      </c>
      <c r="B42" s="46" t="n">
        <f aca="false">Assumptions!$C$13</f>
        <v>0.52</v>
      </c>
      <c r="C42" s="8" t="s">
        <v>105</v>
      </c>
      <c r="D42" s="44" t="n">
        <f aca="false">Assumptions!$B$13</f>
        <v>553760</v>
      </c>
      <c r="E42" s="45" t="n">
        <f aca="false">D42*B42*(1+Assumptions!$D$31)*(1+Assumptions!$D$33)</f>
        <v>345546.24</v>
      </c>
      <c r="F42" s="8" t="str">
        <f aca="false">"control prem "&amp;TEXT(Assumptions!$D$31,"0%")</f>
        <v>control prem 20%</v>
      </c>
      <c r="G42" s="45" t="n">
        <f aca="false">E42/Assumptions!$B$6</f>
        <v>287.23710723192</v>
      </c>
      <c r="H42" s="10" t="s">
        <v>228</v>
      </c>
    </row>
    <row r="43" customFormat="false" ht="39.75" hidden="false" customHeight="true" outlineLevel="0" collapsed="false">
      <c r="A43" s="8" t="s">
        <v>108</v>
      </c>
      <c r="B43" s="46" t="n">
        <f aca="false">Assumptions!$C$14</f>
        <v>0.28</v>
      </c>
      <c r="C43" s="8" t="s">
        <v>109</v>
      </c>
      <c r="D43" s="44" t="n">
        <f aca="false">Assumptions!$B$14</f>
        <v>1530000</v>
      </c>
      <c r="E43" s="45" t="n">
        <f aca="false">D43*B43*(1-Assumptions!$D$32)*(1+Assumptions!$D$33)</f>
        <v>428400</v>
      </c>
      <c r="F43" s="8" t="str">
        <f aca="false">"stake disc "&amp;TEXT(Assumptions!$D$32,"0%")</f>
        <v>stake disc 0%</v>
      </c>
      <c r="G43" s="45" t="n">
        <f aca="false">E43/Assumptions!$B$6</f>
        <v>356.109725685786</v>
      </c>
      <c r="H43" s="10" t="s">
        <v>229</v>
      </c>
    </row>
    <row r="44" customFormat="false" ht="39.75" hidden="false" customHeight="true" outlineLevel="0" collapsed="false">
      <c r="A44" s="8" t="s">
        <v>111</v>
      </c>
      <c r="B44" s="46" t="n">
        <f aca="false">Assumptions!$C$15</f>
        <v>0.58</v>
      </c>
      <c r="C44" s="8" t="s">
        <v>230</v>
      </c>
      <c r="D44" s="44" t="n">
        <f aca="false">Assumptions!$B$15</f>
        <v>41310</v>
      </c>
      <c r="E44" s="45" t="n">
        <f aca="false">D44*B44*(1+Assumptions!$D$31)*(1+Assumptions!$D$33)</f>
        <v>28751.76</v>
      </c>
      <c r="F44" s="8" t="str">
        <f aca="false">"control prem "&amp;TEXT(Assumptions!$D$31,"0%")</f>
        <v>control prem 20%</v>
      </c>
      <c r="G44" s="45" t="n">
        <f aca="false">E44/Assumptions!$B$6</f>
        <v>23.9000498753117</v>
      </c>
      <c r="H44" s="10" t="s">
        <v>231</v>
      </c>
    </row>
    <row r="45" customFormat="false" ht="39.75" hidden="false" customHeight="true" outlineLevel="0" collapsed="false">
      <c r="A45" s="8" t="s">
        <v>232</v>
      </c>
      <c r="B45" s="46" t="n">
        <f aca="false">Assumptions!$C$16</f>
        <v>0.51</v>
      </c>
      <c r="C45" s="8" t="s">
        <v>233</v>
      </c>
      <c r="D45" s="44" t="n">
        <f aca="false">Assumptions!$B$16</f>
        <v>79929</v>
      </c>
      <c r="E45" s="45" t="n">
        <f aca="false">D45*B45*(1+Assumptions!$D$31)*(1+Assumptions!$D$33)</f>
        <v>48916.548</v>
      </c>
      <c r="F45" s="8" t="str">
        <f aca="false">"control prem "&amp;TEXT(Assumptions!$D$31,"0%")</f>
        <v>control prem 20%</v>
      </c>
      <c r="G45" s="45" t="n">
        <f aca="false">E45/Assumptions!$B$6</f>
        <v>40.6621346633417</v>
      </c>
      <c r="H45" s="10" t="s">
        <v>234</v>
      </c>
    </row>
    <row r="46" customFormat="false" ht="39.75" hidden="false" customHeight="true" outlineLevel="0" collapsed="false">
      <c r="A46" s="8" t="s">
        <v>235</v>
      </c>
      <c r="B46" s="46" t="n">
        <f aca="false">Assumptions!$C$17</f>
        <v>0.67</v>
      </c>
      <c r="C46" s="8" t="s">
        <v>118</v>
      </c>
      <c r="D46" s="44" t="n">
        <f aca="false">Assumptions!$B$17</f>
        <v>64000</v>
      </c>
      <c r="E46" s="45" t="n">
        <f aca="false">D46*B46*(1+Assumptions!$D$31)*(1+Assumptions!$D$33)</f>
        <v>51456</v>
      </c>
      <c r="F46" s="8" t="str">
        <f aca="false">"control prem "&amp;TEXT(Assumptions!$D$31,"0%")</f>
        <v>control prem 20%</v>
      </c>
      <c r="G46" s="45" t="n">
        <f aca="false">E46/Assumptions!$B$6</f>
        <v>42.7730673316708</v>
      </c>
      <c r="H46" s="10" t="s">
        <v>236</v>
      </c>
    </row>
    <row r="47" customFormat="false" ht="45.75" hidden="false" customHeight="true" outlineLevel="0" collapsed="false">
      <c r="A47" s="8" t="s">
        <v>237</v>
      </c>
      <c r="B47" s="47" t="n">
        <f aca="false">Assumptions!$B$21</f>
        <v>0.9245</v>
      </c>
      <c r="C47" s="8" t="s">
        <v>121</v>
      </c>
      <c r="D47" s="44" t="n">
        <f aca="false">'MEAL Valuation'!$C$7</f>
        <v>705000</v>
      </c>
      <c r="E47" s="44" t="n">
        <f aca="false">'MEAL Valuation'!$E$7</f>
        <v>651772.5</v>
      </c>
      <c r="F47" s="48" t="str">
        <f aca="false">'MEAL Valuation'!$B$7</f>
        <v>3.0x FY28E EV revenue</v>
      </c>
      <c r="G47" s="44" t="n">
        <f aca="false">'MEAL Valuation'!$F$7</f>
        <v>541.78927680798</v>
      </c>
      <c r="H47" s="10" t="s">
        <v>238</v>
      </c>
    </row>
    <row r="48" customFormat="false" ht="15" hidden="false" customHeight="false" outlineLevel="0" collapsed="false">
      <c r="A48" s="5" t="s">
        <v>123</v>
      </c>
      <c r="B48" s="6"/>
      <c r="C48" s="6"/>
      <c r="D48" s="6"/>
      <c r="E48" s="6"/>
      <c r="F48" s="6"/>
      <c r="G48" s="6"/>
      <c r="H48" s="6"/>
    </row>
    <row r="49" customFormat="false" ht="39.75" hidden="false" customHeight="true" outlineLevel="0" collapsed="false">
      <c r="A49" s="8" t="s">
        <v>202</v>
      </c>
      <c r="E49" s="44" t="n">
        <f aca="false">'Growth Gems'!$I$14</f>
        <v>271000.3504</v>
      </c>
      <c r="F49" s="8" t="s">
        <v>250</v>
      </c>
      <c r="G49" s="44" t="n">
        <f aca="false">'Growth Gems'!$I$15</f>
        <v>225.270449210308</v>
      </c>
      <c r="H49" s="10" t="s">
        <v>251</v>
      </c>
    </row>
    <row r="50" customFormat="false" ht="15" hidden="false" customHeight="false" outlineLevel="0" collapsed="false">
      <c r="A50" s="20" t="s">
        <v>241</v>
      </c>
      <c r="B50" s="21"/>
      <c r="C50" s="21"/>
      <c r="D50" s="21"/>
      <c r="E50" s="21"/>
      <c r="F50" s="21"/>
      <c r="G50" s="22" t="n">
        <f aca="false">SUM(G40:G49)</f>
        <v>4247.78669858687</v>
      </c>
      <c r="H50" s="23" t="s">
        <v>242</v>
      </c>
    </row>
    <row r="51" customFormat="false" ht="15" hidden="false" customHeight="false" outlineLevel="0" collapsed="false">
      <c r="A51" s="24" t="s">
        <v>129</v>
      </c>
      <c r="B51" s="49" t="n">
        <f aca="false">Assumptions!$D$39</f>
        <v>0.1</v>
      </c>
      <c r="C51" s="24" t="s">
        <v>243</v>
      </c>
      <c r="D51" s="25"/>
      <c r="E51" s="25"/>
      <c r="F51" s="25"/>
      <c r="G51" s="40" t="n">
        <f aca="false">ROUND(G50*(1-B51),-2)</f>
        <v>3800</v>
      </c>
      <c r="H51" s="27" t="s">
        <v>244</v>
      </c>
    </row>
    <row r="52" customFormat="false" ht="15" hidden="false" customHeight="false" outlineLevel="0" collapsed="false">
      <c r="A52" s="3" t="s">
        <v>245</v>
      </c>
      <c r="G52" s="50" t="n">
        <f aca="false">G51/Assumptions!$B$7-1</f>
        <v>0.111761263897016</v>
      </c>
    </row>
    <row r="55" customFormat="false" ht="21.75" hidden="false" customHeight="true" outlineLevel="0" collapsed="false">
      <c r="A55" s="1" t="s">
        <v>252</v>
      </c>
      <c r="B55" s="1"/>
      <c r="C55" s="1"/>
      <c r="D55" s="1"/>
      <c r="E55" s="1"/>
      <c r="F55" s="1"/>
      <c r="G55" s="1"/>
      <c r="H55" s="1"/>
    </row>
    <row r="56" customFormat="false" ht="30" hidden="false" customHeight="true" outlineLevel="0" collapsed="false">
      <c r="A56" s="7" t="s">
        <v>34</v>
      </c>
      <c r="B56" s="7" t="s">
        <v>93</v>
      </c>
      <c r="C56" s="7" t="s">
        <v>94</v>
      </c>
      <c r="D56" s="7" t="s">
        <v>95</v>
      </c>
      <c r="E56" s="7" t="s">
        <v>96</v>
      </c>
      <c r="F56" s="7" t="s">
        <v>97</v>
      </c>
      <c r="G56" s="7" t="s">
        <v>98</v>
      </c>
      <c r="H56" s="7" t="s">
        <v>226</v>
      </c>
    </row>
    <row r="57" customFormat="false" ht="33.75" hidden="false" customHeight="true" outlineLevel="0" collapsed="false">
      <c r="A57" s="8" t="s">
        <v>100</v>
      </c>
      <c r="B57" s="43" t="n">
        <v>1</v>
      </c>
      <c r="E57" s="44" t="n">
        <f aca="false">Assumptions!$B$9*(1+Assumptions!$E$30)*Assumptions!$E$29</f>
        <v>3831618</v>
      </c>
      <c r="F57" s="8" t="str">
        <f aca="false">TEXT(Assumptions!$E$29,"0.0")&amp;"x FY28E, earnings "&amp;TEXT(Assumptions!$E$30,"+0%;-0%;0%")&amp;" vs cons"</f>
        <v>20.0x FY28E, earnings +5% vs cons</v>
      </c>
      <c r="G57" s="45" t="n">
        <f aca="false">E57/Assumptions!$B$6</f>
        <v>3185.05236907731</v>
      </c>
      <c r="H57" s="10" t="s">
        <v>227</v>
      </c>
    </row>
    <row r="58" customFormat="false" ht="15" hidden="false" customHeight="false" outlineLevel="0" collapsed="false">
      <c r="A58" s="5" t="s">
        <v>103</v>
      </c>
      <c r="B58" s="6"/>
      <c r="C58" s="6"/>
      <c r="D58" s="6"/>
      <c r="E58" s="6"/>
      <c r="F58" s="6"/>
      <c r="G58" s="6"/>
      <c r="H58" s="6"/>
    </row>
    <row r="59" customFormat="false" ht="39.75" hidden="false" customHeight="true" outlineLevel="0" collapsed="false">
      <c r="A59" s="8" t="s">
        <v>104</v>
      </c>
      <c r="B59" s="46" t="n">
        <f aca="false">Assumptions!$C$13</f>
        <v>0.52</v>
      </c>
      <c r="C59" s="8" t="s">
        <v>105</v>
      </c>
      <c r="D59" s="44" t="n">
        <f aca="false">Assumptions!$B$13</f>
        <v>553760</v>
      </c>
      <c r="E59" s="45" t="n">
        <f aca="false">D59*B59*(1+Assumptions!$E$31)*(1+Assumptions!$E$33)</f>
        <v>362823.552</v>
      </c>
      <c r="F59" s="8" t="str">
        <f aca="false">"control prem "&amp;TEXT(Assumptions!$E$31,"0%")</f>
        <v>control prem 20%</v>
      </c>
      <c r="G59" s="45" t="n">
        <f aca="false">E59/Assumptions!$B$6</f>
        <v>301.598962593516</v>
      </c>
      <c r="H59" s="10" t="s">
        <v>228</v>
      </c>
    </row>
    <row r="60" customFormat="false" ht="39.75" hidden="false" customHeight="true" outlineLevel="0" collapsed="false">
      <c r="A60" s="8" t="s">
        <v>108</v>
      </c>
      <c r="B60" s="46" t="n">
        <f aca="false">Assumptions!$C$14</f>
        <v>0.28</v>
      </c>
      <c r="C60" s="8" t="s">
        <v>109</v>
      </c>
      <c r="D60" s="44" t="n">
        <f aca="false">Assumptions!$B$14</f>
        <v>1530000</v>
      </c>
      <c r="E60" s="45" t="n">
        <f aca="false">D60*B60*(1-Assumptions!$E$32)*(1+Assumptions!$E$33)</f>
        <v>449820</v>
      </c>
      <c r="F60" s="8" t="str">
        <f aca="false">"stake disc "&amp;TEXT(Assumptions!$E$32,"0%")</f>
        <v>stake disc 0%</v>
      </c>
      <c r="G60" s="45" t="n">
        <f aca="false">E60/Assumptions!$B$6</f>
        <v>373.915211970075</v>
      </c>
      <c r="H60" s="10" t="s">
        <v>229</v>
      </c>
    </row>
    <row r="61" customFormat="false" ht="39.75" hidden="false" customHeight="true" outlineLevel="0" collapsed="false">
      <c r="A61" s="8" t="s">
        <v>111</v>
      </c>
      <c r="B61" s="46" t="n">
        <f aca="false">Assumptions!$C$15</f>
        <v>0.58</v>
      </c>
      <c r="C61" s="8" t="s">
        <v>230</v>
      </c>
      <c r="D61" s="44" t="n">
        <f aca="false">Assumptions!$B$15</f>
        <v>41310</v>
      </c>
      <c r="E61" s="45" t="n">
        <f aca="false">D61*B61*(1+Assumptions!$E$31)*(1+Assumptions!$E$33)</f>
        <v>30189.348</v>
      </c>
      <c r="F61" s="8" t="str">
        <f aca="false">"control prem "&amp;TEXT(Assumptions!$E$31,"0%")</f>
        <v>control prem 20%</v>
      </c>
      <c r="G61" s="45" t="n">
        <f aca="false">E61/Assumptions!$B$6</f>
        <v>25.0950523690773</v>
      </c>
      <c r="H61" s="10" t="s">
        <v>231</v>
      </c>
    </row>
    <row r="62" customFormat="false" ht="39.75" hidden="false" customHeight="true" outlineLevel="0" collapsed="false">
      <c r="A62" s="8" t="s">
        <v>232</v>
      </c>
      <c r="B62" s="46" t="n">
        <f aca="false">Assumptions!$C$16</f>
        <v>0.51</v>
      </c>
      <c r="C62" s="8" t="s">
        <v>233</v>
      </c>
      <c r="D62" s="44" t="n">
        <f aca="false">Assumptions!$B$16</f>
        <v>79929</v>
      </c>
      <c r="E62" s="45" t="n">
        <f aca="false">D62*B62*(1+Assumptions!$E$31)*(1+Assumptions!$E$33)</f>
        <v>51362.3754</v>
      </c>
      <c r="F62" s="8" t="str">
        <f aca="false">"control prem "&amp;TEXT(Assumptions!$E$31,"0%")</f>
        <v>control prem 20%</v>
      </c>
      <c r="G62" s="45" t="n">
        <f aca="false">E62/Assumptions!$B$6</f>
        <v>42.6952413965087</v>
      </c>
      <c r="H62" s="10" t="s">
        <v>234</v>
      </c>
    </row>
    <row r="63" customFormat="false" ht="39.75" hidden="false" customHeight="true" outlineLevel="0" collapsed="false">
      <c r="A63" s="8" t="s">
        <v>235</v>
      </c>
      <c r="B63" s="46" t="n">
        <f aca="false">Assumptions!$C$17</f>
        <v>0.67</v>
      </c>
      <c r="C63" s="8" t="s">
        <v>118</v>
      </c>
      <c r="D63" s="44" t="n">
        <f aca="false">Assumptions!$B$17</f>
        <v>64000</v>
      </c>
      <c r="E63" s="45" t="n">
        <f aca="false">D63*B63*(1+Assumptions!$E$31)*(1+Assumptions!$E$33)</f>
        <v>54028.8</v>
      </c>
      <c r="F63" s="8" t="str">
        <f aca="false">"control prem "&amp;TEXT(Assumptions!$E$31,"0%")</f>
        <v>control prem 20%</v>
      </c>
      <c r="G63" s="45" t="n">
        <f aca="false">E63/Assumptions!$B$6</f>
        <v>44.9117206982544</v>
      </c>
      <c r="H63" s="10" t="s">
        <v>236</v>
      </c>
    </row>
    <row r="64" customFormat="false" ht="45.75" hidden="false" customHeight="true" outlineLevel="0" collapsed="false">
      <c r="A64" s="8" t="s">
        <v>237</v>
      </c>
      <c r="B64" s="47" t="n">
        <f aca="false">Assumptions!$B$21</f>
        <v>0.9245</v>
      </c>
      <c r="C64" s="8" t="s">
        <v>121</v>
      </c>
      <c r="D64" s="44" t="n">
        <f aca="false">'MEAL Valuation'!$C$8</f>
        <v>1296000</v>
      </c>
      <c r="E64" s="44" t="n">
        <f aca="false">'MEAL Valuation'!$E$8</f>
        <v>1198152</v>
      </c>
      <c r="F64" s="48" t="str">
        <f aca="false">'MEAL Valuation'!$B$8</f>
        <v>Funding round +20%/yr (status quo)</v>
      </c>
      <c r="G64" s="44" t="n">
        <f aca="false">'MEAL Valuation'!$F$8</f>
        <v>995.970074812968</v>
      </c>
      <c r="H64" s="10" t="s">
        <v>238</v>
      </c>
    </row>
    <row r="65" customFormat="false" ht="15" hidden="false" customHeight="false" outlineLevel="0" collapsed="false">
      <c r="A65" s="5" t="s">
        <v>123</v>
      </c>
      <c r="B65" s="6"/>
      <c r="C65" s="6"/>
      <c r="D65" s="6"/>
      <c r="E65" s="6"/>
      <c r="F65" s="6"/>
      <c r="G65" s="6"/>
      <c r="H65" s="6"/>
    </row>
    <row r="66" customFormat="false" ht="39.75" hidden="false" customHeight="true" outlineLevel="0" collapsed="false">
      <c r="A66" s="8" t="s">
        <v>202</v>
      </c>
      <c r="E66" s="44" t="n">
        <f aca="false">'Growth Gems'!$J$14</f>
        <v>429303.5163</v>
      </c>
      <c r="F66" s="8" t="s">
        <v>253</v>
      </c>
      <c r="G66" s="44" t="n">
        <f aca="false">'Growth Gems'!$J$15</f>
        <v>356.860778304239</v>
      </c>
      <c r="H66" s="10" t="s">
        <v>254</v>
      </c>
    </row>
    <row r="67" customFormat="false" ht="15" hidden="false" customHeight="false" outlineLevel="0" collapsed="false">
      <c r="A67" s="20" t="s">
        <v>241</v>
      </c>
      <c r="B67" s="21"/>
      <c r="C67" s="21"/>
      <c r="D67" s="21"/>
      <c r="E67" s="21"/>
      <c r="F67" s="21"/>
      <c r="G67" s="22" t="n">
        <f aca="false">SUM(G57:G66)</f>
        <v>5326.09941122195</v>
      </c>
      <c r="H67" s="23" t="s">
        <v>242</v>
      </c>
    </row>
    <row r="68" customFormat="false" ht="15" hidden="false" customHeight="false" outlineLevel="0" collapsed="false">
      <c r="A68" s="24" t="s">
        <v>129</v>
      </c>
      <c r="B68" s="49" t="n">
        <f aca="false">Assumptions!$E$39</f>
        <v>0.05</v>
      </c>
      <c r="C68" s="24" t="s">
        <v>243</v>
      </c>
      <c r="D68" s="25"/>
      <c r="E68" s="25"/>
      <c r="F68" s="25"/>
      <c r="G68" s="40" t="n">
        <f aca="false">ROUND(G67*(1-B68),-2)</f>
        <v>5100</v>
      </c>
      <c r="H68" s="27" t="s">
        <v>244</v>
      </c>
    </row>
    <row r="69" customFormat="false" ht="15" hidden="false" customHeight="false" outlineLevel="0" collapsed="false">
      <c r="A69" s="3" t="s">
        <v>245</v>
      </c>
      <c r="G69" s="50" t="n">
        <f aca="false">G68/Assumptions!$B$7-1</f>
        <v>0.492100643651258</v>
      </c>
    </row>
    <row r="72" customFormat="false" ht="21.75" hidden="false" customHeight="true" outlineLevel="0" collapsed="false">
      <c r="A72" s="1" t="s">
        <v>255</v>
      </c>
      <c r="B72" s="1"/>
      <c r="C72" s="1"/>
      <c r="D72" s="1"/>
      <c r="E72" s="1"/>
      <c r="F72" s="1"/>
      <c r="G72" s="1"/>
      <c r="H72" s="1"/>
    </row>
    <row r="73" customFormat="false" ht="30" hidden="false" customHeight="true" outlineLevel="0" collapsed="false">
      <c r="A73" s="7" t="s">
        <v>34</v>
      </c>
      <c r="B73" s="7" t="s">
        <v>93</v>
      </c>
      <c r="C73" s="7" t="s">
        <v>94</v>
      </c>
      <c r="D73" s="7" t="s">
        <v>95</v>
      </c>
      <c r="E73" s="7" t="s">
        <v>96</v>
      </c>
      <c r="F73" s="7" t="s">
        <v>97</v>
      </c>
      <c r="G73" s="7" t="s">
        <v>98</v>
      </c>
      <c r="H73" s="7" t="s">
        <v>226</v>
      </c>
    </row>
    <row r="74" customFormat="false" ht="33.75" hidden="false" customHeight="true" outlineLevel="0" collapsed="false">
      <c r="A74" s="8" t="s">
        <v>100</v>
      </c>
      <c r="B74" s="43" t="n">
        <v>1</v>
      </c>
      <c r="E74" s="44" t="n">
        <f aca="false">Assumptions!$B$9*(1+Assumptions!$F$30)*Assumptions!$F$29</f>
        <v>4415483.6</v>
      </c>
      <c r="F74" s="8" t="str">
        <f aca="false">TEXT(Assumptions!$F$29,"0.0")&amp;"x FY28E, earnings "&amp;TEXT(Assumptions!$F$30,"+0%;-0%;0%")&amp;" vs cons"</f>
        <v>22.0x FY28E, earnings +10% vs cons</v>
      </c>
      <c r="G74" s="45" t="n">
        <f aca="false">E74/Assumptions!$B$6</f>
        <v>3670.39368246052</v>
      </c>
      <c r="H74" s="10" t="s">
        <v>227</v>
      </c>
    </row>
    <row r="75" customFormat="false" ht="15" hidden="false" customHeight="false" outlineLevel="0" collapsed="false">
      <c r="A75" s="5" t="s">
        <v>103</v>
      </c>
      <c r="B75" s="6"/>
      <c r="C75" s="6"/>
      <c r="D75" s="6"/>
      <c r="E75" s="6"/>
      <c r="F75" s="6"/>
      <c r="G75" s="6"/>
      <c r="H75" s="6"/>
    </row>
    <row r="76" customFormat="false" ht="39.75" hidden="false" customHeight="true" outlineLevel="0" collapsed="false">
      <c r="A76" s="8" t="s">
        <v>104</v>
      </c>
      <c r="B76" s="46" t="n">
        <f aca="false">Assumptions!$C$13</f>
        <v>0.52</v>
      </c>
      <c r="C76" s="8" t="s">
        <v>105</v>
      </c>
      <c r="D76" s="44" t="n">
        <f aca="false">Assumptions!$B$13</f>
        <v>553760</v>
      </c>
      <c r="E76" s="45" t="n">
        <f aca="false">D76*B76*(1+Assumptions!$F$31)*(1+Assumptions!$F$33)</f>
        <v>397378.176</v>
      </c>
      <c r="F76" s="8" t="str">
        <f aca="false">"control prem "&amp;TEXT(Assumptions!$F$31,"0%")</f>
        <v>control prem 20%</v>
      </c>
      <c r="G76" s="45" t="n">
        <f aca="false">E76/Assumptions!$B$6</f>
        <v>330.322673316708</v>
      </c>
      <c r="H76" s="10" t="s">
        <v>228</v>
      </c>
    </row>
    <row r="77" customFormat="false" ht="39.75" hidden="false" customHeight="true" outlineLevel="0" collapsed="false">
      <c r="A77" s="8" t="s">
        <v>108</v>
      </c>
      <c r="B77" s="46" t="n">
        <f aca="false">Assumptions!$C$14</f>
        <v>0.28</v>
      </c>
      <c r="C77" s="8" t="s">
        <v>109</v>
      </c>
      <c r="D77" s="44" t="n">
        <f aca="false">Assumptions!$B$14</f>
        <v>1530000</v>
      </c>
      <c r="E77" s="45" t="n">
        <f aca="false">D77*B77*(1-Assumptions!$F$32)*(1+Assumptions!$F$33)</f>
        <v>492660</v>
      </c>
      <c r="F77" s="8" t="str">
        <f aca="false">"stake disc "&amp;TEXT(Assumptions!$F$32,"0%")</f>
        <v>stake disc 0%</v>
      </c>
      <c r="G77" s="45" t="n">
        <f aca="false">E77/Assumptions!$B$6</f>
        <v>409.526184538653</v>
      </c>
      <c r="H77" s="10" t="s">
        <v>229</v>
      </c>
    </row>
    <row r="78" customFormat="false" ht="39.75" hidden="false" customHeight="true" outlineLevel="0" collapsed="false">
      <c r="A78" s="8" t="s">
        <v>111</v>
      </c>
      <c r="B78" s="46" t="n">
        <f aca="false">Assumptions!$C$15</f>
        <v>0.58</v>
      </c>
      <c r="C78" s="8" t="s">
        <v>230</v>
      </c>
      <c r="D78" s="44" t="n">
        <f aca="false">Assumptions!$B$15</f>
        <v>41310</v>
      </c>
      <c r="E78" s="45" t="n">
        <f aca="false">D78*B78*(1+Assumptions!$F$31)*(1+Assumptions!$F$33)</f>
        <v>33064.524</v>
      </c>
      <c r="F78" s="8" t="str">
        <f aca="false">"control prem "&amp;TEXT(Assumptions!$F$31,"0%")</f>
        <v>control prem 20%</v>
      </c>
      <c r="G78" s="45" t="n">
        <f aca="false">E78/Assumptions!$B$6</f>
        <v>27.4850573566085</v>
      </c>
      <c r="H78" s="10" t="s">
        <v>231</v>
      </c>
    </row>
    <row r="79" customFormat="false" ht="39.75" hidden="false" customHeight="true" outlineLevel="0" collapsed="false">
      <c r="A79" s="8" t="s">
        <v>232</v>
      </c>
      <c r="B79" s="46" t="n">
        <f aca="false">Assumptions!$C$16</f>
        <v>0.51</v>
      </c>
      <c r="C79" s="8" t="s">
        <v>233</v>
      </c>
      <c r="D79" s="44" t="n">
        <f aca="false">Assumptions!$B$16</f>
        <v>79929</v>
      </c>
      <c r="E79" s="45" t="n">
        <f aca="false">D79*B79*(1+Assumptions!$F$31)*(1+Assumptions!$F$33)</f>
        <v>56254.0302</v>
      </c>
      <c r="F79" s="8" t="str">
        <f aca="false">"control prem "&amp;TEXT(Assumptions!$F$31,"0%")</f>
        <v>control prem 20%</v>
      </c>
      <c r="G79" s="45" t="n">
        <f aca="false">E79/Assumptions!$B$6</f>
        <v>46.7614548628429</v>
      </c>
      <c r="H79" s="10" t="s">
        <v>234</v>
      </c>
    </row>
    <row r="80" customFormat="false" ht="39.75" hidden="false" customHeight="true" outlineLevel="0" collapsed="false">
      <c r="A80" s="8" t="s">
        <v>235</v>
      </c>
      <c r="B80" s="46" t="n">
        <f aca="false">Assumptions!$C$17</f>
        <v>0.67</v>
      </c>
      <c r="C80" s="8" t="s">
        <v>118</v>
      </c>
      <c r="D80" s="44" t="n">
        <f aca="false">Assumptions!$B$17</f>
        <v>64000</v>
      </c>
      <c r="E80" s="45" t="n">
        <f aca="false">D80*B80*(1+Assumptions!$F$31)*(1+Assumptions!$F$33)</f>
        <v>59174.4</v>
      </c>
      <c r="F80" s="8" t="str">
        <f aca="false">"control prem "&amp;TEXT(Assumptions!$F$31,"0%")</f>
        <v>control prem 20%</v>
      </c>
      <c r="G80" s="45" t="n">
        <f aca="false">E80/Assumptions!$B$6</f>
        <v>49.1890274314214</v>
      </c>
      <c r="H80" s="10" t="s">
        <v>236</v>
      </c>
    </row>
    <row r="81" customFormat="false" ht="45.75" hidden="false" customHeight="true" outlineLevel="0" collapsed="false">
      <c r="A81" s="8" t="s">
        <v>237</v>
      </c>
      <c r="B81" s="47" t="n">
        <f aca="false">Assumptions!$B$21</f>
        <v>0.9245</v>
      </c>
      <c r="C81" s="8" t="s">
        <v>121</v>
      </c>
      <c r="D81" s="44" t="n">
        <f aca="false">'MEAL Valuation'!$C$9</f>
        <v>1490400</v>
      </c>
      <c r="E81" s="44" t="n">
        <f aca="false">'MEAL Valuation'!$E$9</f>
        <v>1377874.8</v>
      </c>
      <c r="F81" s="48" t="str">
        <f aca="false">'MEAL Valuation'!$B$9</f>
        <v>Funding round mark + IPO premium</v>
      </c>
      <c r="G81" s="44" t="n">
        <f aca="false">'MEAL Valuation'!$F$9</f>
        <v>1145.36558603491</v>
      </c>
      <c r="H81" s="10" t="s">
        <v>238</v>
      </c>
    </row>
    <row r="82" customFormat="false" ht="15" hidden="false" customHeight="false" outlineLevel="0" collapsed="false">
      <c r="A82" s="5" t="s">
        <v>123</v>
      </c>
      <c r="B82" s="6"/>
      <c r="C82" s="6"/>
      <c r="D82" s="6"/>
      <c r="E82" s="6"/>
      <c r="F82" s="6"/>
      <c r="G82" s="6"/>
      <c r="H82" s="6"/>
    </row>
    <row r="83" customFormat="false" ht="39.75" hidden="false" customHeight="true" outlineLevel="0" collapsed="false">
      <c r="A83" s="8" t="s">
        <v>202</v>
      </c>
      <c r="E83" s="44" t="n">
        <f aca="false">'Growth Gems'!$K$14</f>
        <v>581883.5163</v>
      </c>
      <c r="F83" s="8" t="s">
        <v>256</v>
      </c>
      <c r="G83" s="44" t="n">
        <f aca="false">'Growth Gems'!$K$15</f>
        <v>483.693696009975</v>
      </c>
      <c r="H83" s="10" t="s">
        <v>257</v>
      </c>
    </row>
    <row r="84" customFormat="false" ht="15" hidden="false" customHeight="false" outlineLevel="0" collapsed="false">
      <c r="A84" s="20" t="s">
        <v>241</v>
      </c>
      <c r="B84" s="21"/>
      <c r="C84" s="21"/>
      <c r="D84" s="21"/>
      <c r="E84" s="21"/>
      <c r="F84" s="21"/>
      <c r="G84" s="22" t="n">
        <f aca="false">SUM(G74:G83)</f>
        <v>6162.73736201164</v>
      </c>
      <c r="H84" s="23" t="s">
        <v>242</v>
      </c>
    </row>
    <row r="85" customFormat="false" ht="15" hidden="false" customHeight="false" outlineLevel="0" collapsed="false">
      <c r="A85" s="24" t="s">
        <v>129</v>
      </c>
      <c r="B85" s="49" t="n">
        <f aca="false">Assumptions!$F$39</f>
        <v>0</v>
      </c>
      <c r="C85" s="24" t="s">
        <v>243</v>
      </c>
      <c r="D85" s="25"/>
      <c r="E85" s="25"/>
      <c r="F85" s="25"/>
      <c r="G85" s="40" t="n">
        <f aca="false">ROUND(G84*(1-B85),-2)</f>
        <v>6200</v>
      </c>
      <c r="H85" s="27" t="s">
        <v>244</v>
      </c>
    </row>
    <row r="86" customFormat="false" ht="15" hidden="false" customHeight="false" outlineLevel="0" collapsed="false">
      <c r="A86" s="3" t="s">
        <v>245</v>
      </c>
      <c r="G86" s="50" t="n">
        <f aca="false">G85/Assumptions!$B$7-1</f>
        <v>0.813926272674078</v>
      </c>
    </row>
  </sheetData>
  <mergeCells count="7">
    <mergeCell ref="A1:H1"/>
    <mergeCell ref="A2:H2"/>
    <mergeCell ref="A4:H4"/>
    <mergeCell ref="A21:H21"/>
    <mergeCell ref="A38:H38"/>
    <mergeCell ref="A55:H55"/>
    <mergeCell ref="A72:H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2"/>
    <col collapsed="false" customWidth="true" hidden="false" outlineLevel="0" max="9" min="8" style="0" width="3"/>
    <col collapsed="false" customWidth="true" hidden="false" outlineLevel="0" max="10" min="10" style="0" width="88"/>
  </cols>
  <sheetData>
    <row r="1" customFormat="false" ht="25.5" hidden="false" customHeight="true" outlineLevel="0" collapsed="false">
      <c r="A1" s="1" t="s">
        <v>258</v>
      </c>
      <c r="B1" s="1"/>
      <c r="C1" s="1"/>
      <c r="D1" s="1"/>
      <c r="E1" s="1"/>
      <c r="F1" s="1"/>
      <c r="G1" s="1"/>
      <c r="H1" s="1"/>
      <c r="I1" s="1"/>
      <c r="J1" s="1"/>
    </row>
    <row r="2" customFormat="false" ht="15.75" hidden="false" customHeight="true" outlineLevel="0" collapsed="false">
      <c r="A2" s="2" t="s">
        <v>259</v>
      </c>
      <c r="B2" s="2"/>
      <c r="C2" s="2"/>
      <c r="D2" s="2"/>
      <c r="E2" s="2"/>
      <c r="F2" s="2"/>
      <c r="G2" s="2"/>
      <c r="H2" s="2"/>
      <c r="I2" s="2"/>
      <c r="J2" s="2"/>
    </row>
    <row r="4" customFormat="false" ht="15" hidden="false" customHeight="false" outlineLevel="0" collapsed="false">
      <c r="A4" s="3" t="s">
        <v>260</v>
      </c>
    </row>
    <row r="5" customFormat="false" ht="15" hidden="false" customHeight="false" outlineLevel="0" collapsed="false">
      <c r="A5" s="8" t="s">
        <v>261</v>
      </c>
      <c r="B5" s="44" t="n">
        <f aca="false">'Scenario SOTP'!$D$6</f>
        <v>750.68208478803</v>
      </c>
    </row>
    <row r="6" customFormat="false" ht="15" hidden="false" customHeight="false" outlineLevel="0" collapsed="false">
      <c r="A6" s="8" t="s">
        <v>262</v>
      </c>
      <c r="B6" s="44" t="n">
        <f aca="false">'Scenario SOTP'!$D$8</f>
        <v>225.270449210308</v>
      </c>
    </row>
    <row r="7" customFormat="false" ht="15" hidden="false" customHeight="false" outlineLevel="0" collapsed="false">
      <c r="A7" s="8" t="s">
        <v>88</v>
      </c>
      <c r="B7" s="51" t="n">
        <f aca="false">Assumptions!$D$39</f>
        <v>0.1</v>
      </c>
    </row>
    <row r="8" customFormat="false" ht="15" hidden="false" customHeight="false" outlineLevel="0" collapsed="false">
      <c r="A8" s="8" t="s">
        <v>263</v>
      </c>
      <c r="B8" s="44" t="n">
        <f aca="false">Assumptions!$B$9</f>
        <v>182458</v>
      </c>
    </row>
    <row r="9" customFormat="false" ht="15" hidden="false" customHeight="false" outlineLevel="0" collapsed="false">
      <c r="A9" s="8" t="s">
        <v>264</v>
      </c>
      <c r="B9" s="44" t="n">
        <f aca="false">Assumptions!$B$6</f>
        <v>1203</v>
      </c>
    </row>
    <row r="11" customFormat="false" ht="15" hidden="false" customHeight="false" outlineLevel="0" collapsed="false">
      <c r="A11" s="3" t="s">
        <v>265</v>
      </c>
    </row>
    <row r="12" customFormat="false" ht="15" hidden="false" customHeight="false" outlineLevel="0" collapsed="false">
      <c r="A12" s="52" t="s">
        <v>266</v>
      </c>
      <c r="B12" s="53" t="n">
        <v>12</v>
      </c>
      <c r="C12" s="53" t="n">
        <v>14</v>
      </c>
      <c r="D12" s="53" t="n">
        <v>16</v>
      </c>
      <c r="E12" s="53" t="n">
        <v>18</v>
      </c>
      <c r="F12" s="53" t="n">
        <v>20</v>
      </c>
      <c r="G12" s="53" t="n">
        <v>22</v>
      </c>
    </row>
    <row r="13" customFormat="false" ht="32.8" hidden="false" customHeight="false" outlineLevel="0" collapsed="false">
      <c r="A13" s="54" t="n">
        <v>300</v>
      </c>
      <c r="B13" s="55" t="n">
        <f aca="false">($B$8*B$12/$B$9 + $B$5 + $A13 + $B$6)*(1-$B$7)</f>
        <v>2786.38421326683</v>
      </c>
      <c r="C13" s="55" t="n">
        <f aca="false">($B$8*C$12/$B$9 + $B$5 + $A13 + $B$6)*(1-$B$7)</f>
        <v>3059.38870204489</v>
      </c>
      <c r="D13" s="55" t="n">
        <f aca="false">($B$8*D$12/$B$9 + $B$5 + $A13 + $B$6)*(1-$B$7)</f>
        <v>3332.39319082294</v>
      </c>
      <c r="E13" s="55" t="n">
        <f aca="false">($B$8*E$12/$B$9 + $B$5 + $A13 + $B$6)*(1-$B$7)</f>
        <v>3605.397679601</v>
      </c>
      <c r="F13" s="55" t="n">
        <f aca="false">($B$8*F$12/$B$9 + $B$5 + $A13 + $B$6)*(1-$B$7)</f>
        <v>3878.40216837905</v>
      </c>
      <c r="G13" s="55" t="n">
        <f aca="false">($B$8*G$12/$B$9 + $B$5 + $A13 + $B$6)*(1-$B$7)</f>
        <v>4151.40665715711</v>
      </c>
      <c r="J13" s="11" t="s">
        <v>267</v>
      </c>
    </row>
    <row r="14" customFormat="false" ht="15" hidden="false" customHeight="false" outlineLevel="0" collapsed="false">
      <c r="A14" s="54" t="n">
        <v>450</v>
      </c>
      <c r="B14" s="55" t="n">
        <f aca="false">($B$8*B$12/$B$9 + $B$5 + $A14 + $B$6)*(1-$B$7)</f>
        <v>2921.38421326683</v>
      </c>
      <c r="C14" s="55" t="n">
        <f aca="false">($B$8*C$12/$B$9 + $B$5 + $A14 + $B$6)*(1-$B$7)</f>
        <v>3194.38870204489</v>
      </c>
      <c r="D14" s="55" t="n">
        <f aca="false">($B$8*D$12/$B$9 + $B$5 + $A14 + $B$6)*(1-$B$7)</f>
        <v>3467.39319082294</v>
      </c>
      <c r="E14" s="55" t="n">
        <f aca="false">($B$8*E$12/$B$9 + $B$5 + $A14 + $B$6)*(1-$B$7)</f>
        <v>3740.397679601</v>
      </c>
      <c r="F14" s="55" t="n">
        <f aca="false">($B$8*F$12/$B$9 + $B$5 + $A14 + $B$6)*(1-$B$7)</f>
        <v>4013.40216837905</v>
      </c>
      <c r="G14" s="55" t="n">
        <f aca="false">($B$8*G$12/$B$9 + $B$5 + $A14 + $B$6)*(1-$B$7)</f>
        <v>4286.40665715711</v>
      </c>
    </row>
    <row r="15" customFormat="false" ht="15" hidden="false" customHeight="false" outlineLevel="0" collapsed="false">
      <c r="A15" s="54" t="n">
        <v>550</v>
      </c>
      <c r="B15" s="55" t="n">
        <f aca="false">($B$8*B$12/$B$9 + $B$5 + $A15 + $B$6)*(1-$B$7)</f>
        <v>3011.38421326683</v>
      </c>
      <c r="C15" s="55" t="n">
        <f aca="false">($B$8*C$12/$B$9 + $B$5 + $A15 + $B$6)*(1-$B$7)</f>
        <v>3284.38870204489</v>
      </c>
      <c r="D15" s="55" t="n">
        <f aca="false">($B$8*D$12/$B$9 + $B$5 + $A15 + $B$6)*(1-$B$7)</f>
        <v>3557.39319082294</v>
      </c>
      <c r="E15" s="55" t="n">
        <f aca="false">($B$8*E$12/$B$9 + $B$5 + $A15 + $B$6)*(1-$B$7)</f>
        <v>3830.397679601</v>
      </c>
      <c r="F15" s="55" t="n">
        <f aca="false">($B$8*F$12/$B$9 + $B$5 + $A15 + $B$6)*(1-$B$7)</f>
        <v>4103.40216837905</v>
      </c>
      <c r="G15" s="55" t="n">
        <f aca="false">($B$8*G$12/$B$9 + $B$5 + $A15 + $B$6)*(1-$B$7)</f>
        <v>4376.40665715711</v>
      </c>
    </row>
    <row r="16" customFormat="false" ht="15" hidden="false" customHeight="false" outlineLevel="0" collapsed="false">
      <c r="A16" s="54" t="n">
        <v>700</v>
      </c>
      <c r="B16" s="55" t="n">
        <f aca="false">($B$8*B$12/$B$9 + $B$5 + $A16 + $B$6)*(1-$B$7)</f>
        <v>3146.38421326683</v>
      </c>
      <c r="C16" s="55" t="n">
        <f aca="false">($B$8*C$12/$B$9 + $B$5 + $A16 + $B$6)*(1-$B$7)</f>
        <v>3419.38870204489</v>
      </c>
      <c r="D16" s="55" t="n">
        <f aca="false">($B$8*D$12/$B$9 + $B$5 + $A16 + $B$6)*(1-$B$7)</f>
        <v>3692.39319082294</v>
      </c>
      <c r="E16" s="55" t="n">
        <f aca="false">($B$8*E$12/$B$9 + $B$5 + $A16 + $B$6)*(1-$B$7)</f>
        <v>3965.397679601</v>
      </c>
      <c r="F16" s="55" t="n">
        <f aca="false">($B$8*F$12/$B$9 + $B$5 + $A16 + $B$6)*(1-$B$7)</f>
        <v>4238.40216837905</v>
      </c>
      <c r="G16" s="55" t="n">
        <f aca="false">($B$8*G$12/$B$9 + $B$5 + $A16 + $B$6)*(1-$B$7)</f>
        <v>4511.40665715711</v>
      </c>
    </row>
    <row r="17" customFormat="false" ht="15" hidden="false" customHeight="false" outlineLevel="0" collapsed="false">
      <c r="A17" s="54" t="n">
        <v>850</v>
      </c>
      <c r="B17" s="55" t="n">
        <f aca="false">($B$8*B$12/$B$9 + $B$5 + $A17 + $B$6)*(1-$B$7)</f>
        <v>3281.38421326683</v>
      </c>
      <c r="C17" s="55" t="n">
        <f aca="false">($B$8*C$12/$B$9 + $B$5 + $A17 + $B$6)*(1-$B$7)</f>
        <v>3554.38870204489</v>
      </c>
      <c r="D17" s="55" t="n">
        <f aca="false">($B$8*D$12/$B$9 + $B$5 + $A17 + $B$6)*(1-$B$7)</f>
        <v>3827.39319082294</v>
      </c>
      <c r="E17" s="55" t="n">
        <f aca="false">($B$8*E$12/$B$9 + $B$5 + $A17 + $B$6)*(1-$B$7)</f>
        <v>4100.397679601</v>
      </c>
      <c r="F17" s="55" t="n">
        <f aca="false">($B$8*F$12/$B$9 + $B$5 + $A17 + $B$6)*(1-$B$7)</f>
        <v>4373.40216837905</v>
      </c>
      <c r="G17" s="55" t="n">
        <f aca="false">($B$8*G$12/$B$9 + $B$5 + $A17 + $B$6)*(1-$B$7)</f>
        <v>4646.40665715711</v>
      </c>
    </row>
    <row r="18" customFormat="false" ht="15" hidden="false" customHeight="false" outlineLevel="0" collapsed="false">
      <c r="A18" s="54" t="n">
        <v>1000</v>
      </c>
      <c r="B18" s="55" t="n">
        <f aca="false">($B$8*B$12/$B$9 + $B$5 + $A18 + $B$6)*(1-$B$7)</f>
        <v>3416.38421326683</v>
      </c>
      <c r="C18" s="55" t="n">
        <f aca="false">($B$8*C$12/$B$9 + $B$5 + $A18 + $B$6)*(1-$B$7)</f>
        <v>3689.38870204489</v>
      </c>
      <c r="D18" s="55" t="n">
        <f aca="false">($B$8*D$12/$B$9 + $B$5 + $A18 + $B$6)*(1-$B$7)</f>
        <v>3962.39319082294</v>
      </c>
      <c r="E18" s="55" t="n">
        <f aca="false">($B$8*E$12/$B$9 + $B$5 + $A18 + $B$6)*(1-$B$7)</f>
        <v>4235.397679601</v>
      </c>
      <c r="F18" s="55" t="n">
        <f aca="false">($B$8*F$12/$B$9 + $B$5 + $A18 + $B$6)*(1-$B$7)</f>
        <v>4508.40216837905</v>
      </c>
      <c r="G18" s="55" t="n">
        <f aca="false">($B$8*G$12/$B$9 + $B$5 + $A18 + $B$6)*(1-$B$7)</f>
        <v>4781.40665715711</v>
      </c>
    </row>
    <row r="19" customFormat="false" ht="15" hidden="false" customHeight="false" outlineLevel="0" collapsed="false">
      <c r="A19" s="54" t="n">
        <v>1150</v>
      </c>
      <c r="B19" s="55" t="n">
        <f aca="false">($B$8*B$12/$B$9 + $B$5 + $A19 + $B$6)*(1-$B$7)</f>
        <v>3551.38421326683</v>
      </c>
      <c r="C19" s="55" t="n">
        <f aca="false">($B$8*C$12/$B$9 + $B$5 + $A19 + $B$6)*(1-$B$7)</f>
        <v>3824.38870204489</v>
      </c>
      <c r="D19" s="55" t="n">
        <f aca="false">($B$8*D$12/$B$9 + $B$5 + $A19 + $B$6)*(1-$B$7)</f>
        <v>4097.39319082294</v>
      </c>
      <c r="E19" s="55" t="n">
        <f aca="false">($B$8*E$12/$B$9 + $B$5 + $A19 + $B$6)*(1-$B$7)</f>
        <v>4370.397679601</v>
      </c>
      <c r="F19" s="55" t="n">
        <f aca="false">($B$8*F$12/$B$9 + $B$5 + $A19 + $B$6)*(1-$B$7)</f>
        <v>4643.40216837905</v>
      </c>
      <c r="G19" s="55" t="n">
        <f aca="false">($B$8*G$12/$B$9 + $B$5 + $A19 + $B$6)*(1-$B$7)</f>
        <v>4916.40665715711</v>
      </c>
    </row>
    <row r="22" customFormat="false" ht="15" hidden="false" customHeight="false" outlineLevel="0" collapsed="false">
      <c r="A22" s="3" t="s">
        <v>268</v>
      </c>
    </row>
    <row r="23" customFormat="false" ht="15" hidden="false" customHeight="false" outlineLevel="0" collapsed="false">
      <c r="A23" s="52" t="s">
        <v>269</v>
      </c>
      <c r="B23" s="56" t="n">
        <v>0</v>
      </c>
      <c r="C23" s="56" t="n">
        <v>0.05</v>
      </c>
      <c r="D23" s="56" t="n">
        <v>0.1</v>
      </c>
      <c r="E23" s="56" t="n">
        <v>0.15</v>
      </c>
      <c r="F23" s="56" t="n">
        <v>0.2</v>
      </c>
      <c r="G23" s="56" t="n">
        <v>0.25</v>
      </c>
    </row>
    <row r="24" customFormat="false" ht="32.8" hidden="false" customHeight="false" outlineLevel="0" collapsed="false">
      <c r="A24" s="54" t="n">
        <v>160</v>
      </c>
      <c r="B24" s="55" t="n">
        <f aca="false">('Scenario SOTP'!$D$5 + $B$5 + 'Scenario SOTP'!$D$7 + $A24)*(1-B$23)</f>
        <v>4182.51624937656</v>
      </c>
      <c r="C24" s="55" t="n">
        <f aca="false">('Scenario SOTP'!$D$5 + $B$5 + 'Scenario SOTP'!$D$7 + $A24)*(1-C$23)</f>
        <v>3973.39043690773</v>
      </c>
      <c r="D24" s="55" t="n">
        <f aca="false">('Scenario SOTP'!$D$5 + $B$5 + 'Scenario SOTP'!$D$7 + $A24)*(1-D$23)</f>
        <v>3764.2646244389</v>
      </c>
      <c r="E24" s="55" t="n">
        <f aca="false">('Scenario SOTP'!$D$5 + $B$5 + 'Scenario SOTP'!$D$7 + $A24)*(1-E$23)</f>
        <v>3555.13881197007</v>
      </c>
      <c r="F24" s="55" t="n">
        <f aca="false">('Scenario SOTP'!$D$5 + $B$5 + 'Scenario SOTP'!$D$7 + $A24)*(1-F$23)</f>
        <v>3346.01299950125</v>
      </c>
      <c r="G24" s="55" t="n">
        <f aca="false">('Scenario SOTP'!$D$5 + $B$5 + 'Scenario SOTP'!$D$7 + $A24)*(1-G$23)</f>
        <v>3136.88718703242</v>
      </c>
      <c r="J24" s="11" t="s">
        <v>270</v>
      </c>
    </row>
    <row r="25" customFormat="false" ht="15" hidden="false" customHeight="false" outlineLevel="0" collapsed="false">
      <c r="A25" s="54" t="n">
        <v>200</v>
      </c>
      <c r="B25" s="55" t="n">
        <f aca="false">('Scenario SOTP'!$D$5 + $B$5 + 'Scenario SOTP'!$D$7 + $A25)*(1-B$23)</f>
        <v>4222.51624937656</v>
      </c>
      <c r="C25" s="55" t="n">
        <f aca="false">('Scenario SOTP'!$D$5 + $B$5 + 'Scenario SOTP'!$D$7 + $A25)*(1-C$23)</f>
        <v>4011.39043690773</v>
      </c>
      <c r="D25" s="55" t="n">
        <f aca="false">('Scenario SOTP'!$D$5 + $B$5 + 'Scenario SOTP'!$D$7 + $A25)*(1-D$23)</f>
        <v>3800.2646244389</v>
      </c>
      <c r="E25" s="55" t="n">
        <f aca="false">('Scenario SOTP'!$D$5 + $B$5 + 'Scenario SOTP'!$D$7 + $A25)*(1-E$23)</f>
        <v>3589.13881197007</v>
      </c>
      <c r="F25" s="55" t="n">
        <f aca="false">('Scenario SOTP'!$D$5 + $B$5 + 'Scenario SOTP'!$D$7 + $A25)*(1-F$23)</f>
        <v>3378.01299950125</v>
      </c>
      <c r="G25" s="55" t="n">
        <f aca="false">('Scenario SOTP'!$D$5 + $B$5 + 'Scenario SOTP'!$D$7 + $A25)*(1-G$23)</f>
        <v>3166.88718703242</v>
      </c>
    </row>
    <row r="26" customFormat="false" ht="15" hidden="false" customHeight="false" outlineLevel="0" collapsed="false">
      <c r="A26" s="54" t="n">
        <v>250</v>
      </c>
      <c r="B26" s="55" t="n">
        <f aca="false">('Scenario SOTP'!$D$5 + $B$5 + 'Scenario SOTP'!$D$7 + $A26)*(1-B$23)</f>
        <v>4272.51624937656</v>
      </c>
      <c r="C26" s="55" t="n">
        <f aca="false">('Scenario SOTP'!$D$5 + $B$5 + 'Scenario SOTP'!$D$7 + $A26)*(1-C$23)</f>
        <v>4058.89043690773</v>
      </c>
      <c r="D26" s="55" t="n">
        <f aca="false">('Scenario SOTP'!$D$5 + $B$5 + 'Scenario SOTP'!$D$7 + $A26)*(1-D$23)</f>
        <v>3845.2646244389</v>
      </c>
      <c r="E26" s="55" t="n">
        <f aca="false">('Scenario SOTP'!$D$5 + $B$5 + 'Scenario SOTP'!$D$7 + $A26)*(1-E$23)</f>
        <v>3631.63881197007</v>
      </c>
      <c r="F26" s="55" t="n">
        <f aca="false">('Scenario SOTP'!$D$5 + $B$5 + 'Scenario SOTP'!$D$7 + $A26)*(1-F$23)</f>
        <v>3418.01299950125</v>
      </c>
      <c r="G26" s="55" t="n">
        <f aca="false">('Scenario SOTP'!$D$5 + $B$5 + 'Scenario SOTP'!$D$7 + $A26)*(1-G$23)</f>
        <v>3204.38718703242</v>
      </c>
    </row>
    <row r="27" customFormat="false" ht="15" hidden="false" customHeight="false" outlineLevel="0" collapsed="false">
      <c r="A27" s="54" t="n">
        <v>300</v>
      </c>
      <c r="B27" s="55" t="n">
        <f aca="false">('Scenario SOTP'!$D$5 + $B$5 + 'Scenario SOTP'!$D$7 + $A27)*(1-B$23)</f>
        <v>4322.51624937656</v>
      </c>
      <c r="C27" s="55" t="n">
        <f aca="false">('Scenario SOTP'!$D$5 + $B$5 + 'Scenario SOTP'!$D$7 + $A27)*(1-C$23)</f>
        <v>4106.39043690773</v>
      </c>
      <c r="D27" s="55" t="n">
        <f aca="false">('Scenario SOTP'!$D$5 + $B$5 + 'Scenario SOTP'!$D$7 + $A27)*(1-D$23)</f>
        <v>3890.2646244389</v>
      </c>
      <c r="E27" s="55" t="n">
        <f aca="false">('Scenario SOTP'!$D$5 + $B$5 + 'Scenario SOTP'!$D$7 + $A27)*(1-E$23)</f>
        <v>3674.13881197007</v>
      </c>
      <c r="F27" s="55" t="n">
        <f aca="false">('Scenario SOTP'!$D$5 + $B$5 + 'Scenario SOTP'!$D$7 + $A27)*(1-F$23)</f>
        <v>3458.01299950125</v>
      </c>
      <c r="G27" s="55" t="n">
        <f aca="false">('Scenario SOTP'!$D$5 + $B$5 + 'Scenario SOTP'!$D$7 + $A27)*(1-G$23)</f>
        <v>3241.88718703242</v>
      </c>
    </row>
    <row r="28" customFormat="false" ht="15" hidden="false" customHeight="false" outlineLevel="0" collapsed="false">
      <c r="A28" s="54" t="n">
        <v>400</v>
      </c>
      <c r="B28" s="55" t="n">
        <f aca="false">('Scenario SOTP'!$D$5 + $B$5 + 'Scenario SOTP'!$D$7 + $A28)*(1-B$23)</f>
        <v>4422.51624937656</v>
      </c>
      <c r="C28" s="55" t="n">
        <f aca="false">('Scenario SOTP'!$D$5 + $B$5 + 'Scenario SOTP'!$D$7 + $A28)*(1-C$23)</f>
        <v>4201.39043690773</v>
      </c>
      <c r="D28" s="55" t="n">
        <f aca="false">('Scenario SOTP'!$D$5 + $B$5 + 'Scenario SOTP'!$D$7 + $A28)*(1-D$23)</f>
        <v>3980.2646244389</v>
      </c>
      <c r="E28" s="55" t="n">
        <f aca="false">('Scenario SOTP'!$D$5 + $B$5 + 'Scenario SOTP'!$D$7 + $A28)*(1-E$23)</f>
        <v>3759.13881197007</v>
      </c>
      <c r="F28" s="55" t="n">
        <f aca="false">('Scenario SOTP'!$D$5 + $B$5 + 'Scenario SOTP'!$D$7 + $A28)*(1-F$23)</f>
        <v>3538.01299950125</v>
      </c>
      <c r="G28" s="55" t="n">
        <f aca="false">('Scenario SOTP'!$D$5 + $B$5 + 'Scenario SOTP'!$D$7 + $A28)*(1-G$23)</f>
        <v>3316.88718703242</v>
      </c>
    </row>
    <row r="29" customFormat="false" ht="15" hidden="false" customHeight="false" outlineLevel="0" collapsed="false">
      <c r="A29" s="54" t="n">
        <v>500</v>
      </c>
      <c r="B29" s="55" t="n">
        <f aca="false">('Scenario SOTP'!$D$5 + $B$5 + 'Scenario SOTP'!$D$7 + $A29)*(1-B$23)</f>
        <v>4522.51624937656</v>
      </c>
      <c r="C29" s="55" t="n">
        <f aca="false">('Scenario SOTP'!$D$5 + $B$5 + 'Scenario SOTP'!$D$7 + $A29)*(1-C$23)</f>
        <v>4296.39043690773</v>
      </c>
      <c r="D29" s="55" t="n">
        <f aca="false">('Scenario SOTP'!$D$5 + $B$5 + 'Scenario SOTP'!$D$7 + $A29)*(1-D$23)</f>
        <v>4070.2646244389</v>
      </c>
      <c r="E29" s="55" t="n">
        <f aca="false">('Scenario SOTP'!$D$5 + $B$5 + 'Scenario SOTP'!$D$7 + $A29)*(1-E$23)</f>
        <v>3844.13881197007</v>
      </c>
      <c r="F29" s="55" t="n">
        <f aca="false">('Scenario SOTP'!$D$5 + $B$5 + 'Scenario SOTP'!$D$7 + $A29)*(1-F$23)</f>
        <v>3618.01299950125</v>
      </c>
      <c r="G29" s="55" t="n">
        <f aca="false">('Scenario SOTP'!$D$5 + $B$5 + 'Scenario SOTP'!$D$7 + $A29)*(1-G$23)</f>
        <v>3391.88718703242</v>
      </c>
    </row>
    <row r="32" customFormat="false" ht="15" hidden="false" customHeight="false" outlineLevel="0" collapsed="false">
      <c r="A32" s="3" t="s">
        <v>271</v>
      </c>
    </row>
    <row r="33" customFormat="false" ht="30" hidden="false" customHeight="true" outlineLevel="0" collapsed="false">
      <c r="A33" s="7" t="s">
        <v>272</v>
      </c>
      <c r="B33" s="7" t="s">
        <v>273</v>
      </c>
      <c r="C33" s="7" t="s">
        <v>274</v>
      </c>
      <c r="D33" s="7"/>
      <c r="E33" s="7"/>
      <c r="F33" s="7"/>
      <c r="G33" s="7"/>
      <c r="H33" s="7"/>
      <c r="I33" s="7"/>
      <c r="J33" s="7" t="s">
        <v>275</v>
      </c>
    </row>
    <row r="34" customFormat="false" ht="48" hidden="false" customHeight="true" outlineLevel="0" collapsed="false">
      <c r="A34" s="35" t="s">
        <v>276</v>
      </c>
      <c r="B34" s="15" t="s">
        <v>277</v>
      </c>
      <c r="C34" s="15" t="s">
        <v>278</v>
      </c>
      <c r="J34" s="11" t="s">
        <v>279</v>
      </c>
    </row>
    <row r="35" customFormat="false" ht="48" hidden="false" customHeight="true" outlineLevel="0" collapsed="false">
      <c r="A35" s="35" t="s">
        <v>280</v>
      </c>
      <c r="B35" s="15" t="s">
        <v>281</v>
      </c>
      <c r="C35" s="15" t="s">
        <v>282</v>
      </c>
      <c r="J35" s="11" t="s">
        <v>283</v>
      </c>
    </row>
    <row r="36" customFormat="false" ht="48" hidden="false" customHeight="true" outlineLevel="0" collapsed="false">
      <c r="A36" s="35" t="s">
        <v>284</v>
      </c>
      <c r="B36" s="15" t="s">
        <v>281</v>
      </c>
      <c r="C36" s="15" t="s">
        <v>278</v>
      </c>
      <c r="J36" s="11" t="s">
        <v>285</v>
      </c>
    </row>
    <row r="37" customFormat="false" ht="48" hidden="false" customHeight="true" outlineLevel="0" collapsed="false">
      <c r="A37" s="35" t="s">
        <v>286</v>
      </c>
      <c r="B37" s="15" t="s">
        <v>287</v>
      </c>
      <c r="C37" s="15" t="s">
        <v>288</v>
      </c>
      <c r="J37" s="11" t="s">
        <v>289</v>
      </c>
    </row>
    <row r="38" customFormat="false" ht="48" hidden="false" customHeight="true" outlineLevel="0" collapsed="false">
      <c r="A38" s="35" t="s">
        <v>290</v>
      </c>
      <c r="B38" s="15" t="s">
        <v>291</v>
      </c>
      <c r="C38" s="15" t="s">
        <v>292</v>
      </c>
      <c r="J38" s="11" t="s">
        <v>293</v>
      </c>
    </row>
    <row r="39" customFormat="false" ht="48" hidden="false" customHeight="true" outlineLevel="0" collapsed="false">
      <c r="A39" s="35" t="s">
        <v>294</v>
      </c>
      <c r="B39" s="15" t="s">
        <v>295</v>
      </c>
      <c r="C39" s="15" t="s">
        <v>88</v>
      </c>
      <c r="J39" s="11" t="s">
        <v>296</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2026-08-21T09:59:55Z</dcterms:created>
  <dc:creator>openpyxl</dc:creator>
  <dc:description/>
  <dc:language>en-US</dc:language>
  <cp:lastModifiedBy/>
  <dcterms:modified xsi:type="dcterms:W3CDTF">2026-08-21T09:59:55Z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