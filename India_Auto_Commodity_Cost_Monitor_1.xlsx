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amp; Guide" sheetId="1" state="visible" r:id="rId3"/>
    <sheet name="Assumptions" sheetId="2" state="visible" r:id="rId4"/>
    <sheet name="Raw Data" sheetId="3" state="visible" r:id="rId5"/>
    <sheet name="INR Normalised" sheetId="4" state="visible" r:id="rId6"/>
    <sheet name="Commodity Indices" sheetId="5" state="visible" r:id="rId7"/>
    <sheet name="Basket Weights" sheetId="6" state="visible" r:id="rId8"/>
    <sheet name="Basket Monitors" sheetId="7" state="visible" r:id="rId9"/>
    <sheet name="Quarterly Dashboard" sheetId="8" state="visible" r:id="rId10"/>
    <sheet name="Margin &amp; Scenarios" sheetId="9" state="visible" r:id="rId11"/>
    <sheet name="Methodology" sheetId="10" state="visible" r:id="rId12"/>
    <sheet name="Update Log"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<sst xmlns="http://schemas.openxmlformats.org/spreadsheetml/2006/main" count="1045" uniqueCount="352">
  <si>
    <t xml:space="preserve">INDIA AUTO — COMMODITY COST MONITOR</t>
  </si>
  <si>
    <t xml:space="preserve">Proprietary commodity price database and blended cost-index framework for Indian and global auto OEM coverage.</t>
  </si>
  <si>
    <t xml:space="preserve">PURPOSE</t>
  </si>
  <si>
    <t xml:space="preserve">Turns the monthly SIAM Commodity Price Monitor into (i) a clean rolling raw database, (ii) FX-adjusted INR indices,</t>
  </si>
  <si>
    <t xml:space="preserve">(iii) segment-level bill-of-material baskets, and (iv) a quarterly QoQ / YoY cost read with a gross-margin translation.</t>
  </si>
  <si>
    <t xml:space="preserve">WHAT THIS ANSWERS</t>
  </si>
  <si>
    <t xml:space="preserve">1.  How much higher are commodity costs this quarter vs last quarter and vs last year — by segment, not just headline steel.</t>
  </si>
  <si>
    <t xml:space="preserve">2.  Which sub-complex (ferrous / non-ferrous / PGM / polymer / rubber / battery / energy) is driving the move.</t>
  </si>
  <si>
    <t xml:space="preserve">3.  What that means for OEM gross margin in bps, after inventory lag and assumed price pass-through.</t>
  </si>
  <si>
    <t xml:space="preserve">SHEET MAP</t>
  </si>
  <si>
    <t xml:space="preserve">Assumptions</t>
  </si>
  <si>
    <t xml:space="preserve">All levers live here — currency basis, base month, forecast drift, segment weights, RM % of ASP, pass-through, lag.</t>
  </si>
  <si>
    <t xml:space="preserve">Raw Data</t>
  </si>
  <si>
    <t xml:space="preserve">SIAM-reported prices, as published, in native units. THE ONLY SHEET YOU TYPE INTO EACH MONTH.</t>
  </si>
  <si>
    <t xml:space="preserve">INR Normalised</t>
  </si>
  <si>
    <t xml:space="preserve">Everything restated in INR per kg (or INR per bbl / litre) at the month's USD-INR. Captures currency drag.</t>
  </si>
  <si>
    <t xml:space="preserve">Commodity Indices</t>
  </si>
  <si>
    <t xml:space="preserve">Each commodity rebased to 100 at the chosen base month, on the chosen currency basis.</t>
  </si>
  <si>
    <t xml:space="preserve">Basket Weights</t>
  </si>
  <si>
    <t xml:space="preserve">The proprietary weight matrix: 6 segment BOM baskets + 7 sub-complex monitors. Edit weights here.</t>
  </si>
  <si>
    <t xml:space="preserve">Basket Monitors</t>
  </si>
  <si>
    <t xml:space="preserve">Monthly basket indices = weighted sum of commodity indices. Includes the blended India Auto Composite.</t>
  </si>
  <si>
    <t xml:space="preserve">Quarterly Dashboard</t>
  </si>
  <si>
    <t xml:space="preserve">The output page. Quarterly basket levels, QoQ, YoY, plus the current-quarter build-up and a commodity-level table.</t>
  </si>
  <si>
    <t xml:space="preserve">Margin &amp; Scenarios</t>
  </si>
  <si>
    <t xml:space="preserve">Lagged realised cost move to gross-margin bps, and bear / base / bull scenarios for the current quarter.</t>
  </si>
  <si>
    <t xml:space="preserve">Methodology</t>
  </si>
  <si>
    <t xml:space="preserve">Full write-up of index construction, weighting logic, lag and pass-through treatment, and known limitations.</t>
  </si>
  <si>
    <t xml:space="preserve">Update Log</t>
  </si>
  <si>
    <t xml:space="preserve">Monthly update checklist and the version history.</t>
  </si>
  <si>
    <t xml:space="preserve">COLOUR CONVENTION</t>
  </si>
  <si>
    <t xml:space="preserve">Blue text</t>
  </si>
  <si>
    <t xml:space="preserve">Hardcoded input or scenario lever — safe to change.</t>
  </si>
  <si>
    <t xml:space="preserve">Black text</t>
  </si>
  <si>
    <t xml:space="preserve">Formula — do not overwrite.</t>
  </si>
  <si>
    <t xml:space="preserve">Green text</t>
  </si>
  <si>
    <t xml:space="preserve">Link to another sheet.</t>
  </si>
  <si>
    <t xml:space="preserve">Yellow fill</t>
  </si>
  <si>
    <t xml:space="preserve">Key assumption you should review before publishing anything off this.</t>
  </si>
  <si>
    <t xml:space="preserve">IMPORTANT DATA CAVEATS</t>
  </si>
  <si>
    <t xml:space="preserve">The SIAM deck's data tables start at July 2025 (through the latest edition). April-June 2025 appear only as plotted points on</t>
  </si>
  <si>
    <t xml:space="preserve">the FY26 chart lines and are not published as numbers, so they are NOT in this database. The series therefore begins Jul-25,</t>
  </si>
  <si>
    <t xml:space="preserve">which conveniently equals the start of Q2FY26. Q1FY26 comparisons are not possible from this source alone.</t>
  </si>
  <si>
    <t xml:space="preserve">The Baltic Dry Index was not published in the Aug-26 edition (marked '*' by SIAM); it is carried flat from Jul-26 and flagged</t>
  </si>
  <si>
    <t xml:space="preserve">in the Raw Data notes column. This affects only the Energy &amp; Freight sub-complex monitor, not any segment BOM basket.</t>
  </si>
  <si>
    <t xml:space="preserve">Source: Society of Indian Automobile Manufacturers (SIAM), Commodity Price Monthly Monitor, August 2026 edition. Framework and weights are proprietary.</t>
  </si>
  <si>
    <t xml:space="preserve">ASSUMPTIONS &amp; LEVERS</t>
  </si>
  <si>
    <t xml:space="preserve">Every blue cell is an input. Nothing else on this sheet should be overwritten.</t>
  </si>
  <si>
    <t xml:space="preserve">INDEX CONSTRUCTION</t>
  </si>
  <si>
    <t xml:space="preserve">Currency basis for indices</t>
  </si>
  <si>
    <t xml:space="preserve">INR</t>
  </si>
  <si>
    <t xml:space="preserve">INR basis captures rupee depreciation on dollar-priced inputs — that is what OEMs actually pay.</t>
  </si>
  <si>
    <t xml:space="preserve">Base month (= 100)</t>
  </si>
  <si>
    <t xml:space="preserve">Jul-25</t>
  </si>
  <si>
    <t xml:space="preserve">Must exactly match a column header on Raw Data row 5.</t>
  </si>
  <si>
    <t xml:space="preserve">Base column position (calculated)</t>
  </si>
  <si>
    <t xml:space="preserve">Do not edit.</t>
  </si>
  <si>
    <t xml:space="preserve">CURRENT-QUARTER FORECAST</t>
  </si>
  <si>
    <t xml:space="preserve">Latest actual month</t>
  </si>
  <si>
    <t xml:space="preserve">Aug-26</t>
  </si>
  <si>
    <t xml:space="preserve">Months of actual data in current quarter</t>
  </si>
  <si>
    <t xml:space="preserve">Q2FY27 = Jul-Sep 26. Two months of actuals as at the Aug-26 SIAM deck.</t>
  </si>
  <si>
    <t xml:space="preserve">Assumed avg MoM drift for un-reported months (base)</t>
  </si>
  <si>
    <t xml:space="preserve">0.0% = spot-flat carry. This is the single most important forecast lever.</t>
  </si>
  <si>
    <t xml:space="preserve">Bear case MoM drift (cost inflation)</t>
  </si>
  <si>
    <t xml:space="preserve">Bull case MoM drift (cost deflation)</t>
  </si>
  <si>
    <t xml:space="preserve">BLENDED COMPOSITE — SEGMENT WEIGHTS</t>
  </si>
  <si>
    <t xml:space="preserve">Share of industry raw-material spend, not units. Set to sum to 100%.</t>
  </si>
  <si>
    <t xml:space="preserve">PV (ICE)</t>
  </si>
  <si>
    <t xml:space="preserve">2W (ICE)</t>
  </si>
  <si>
    <t xml:space="preserve">CV</t>
  </si>
  <si>
    <t xml:space="preserve">Tractor</t>
  </si>
  <si>
    <t xml:space="preserve">BEV - PV</t>
  </si>
  <si>
    <t xml:space="preserve">E-2W</t>
  </si>
  <si>
    <t xml:space="preserve">Total</t>
  </si>
  <si>
    <t xml:space="preserve">Must equal 100.0%</t>
  </si>
  <si>
    <t xml:space="preserve">MARGIN TRANSLATION</t>
  </si>
  <si>
    <t xml:space="preserve">Raw material basket as % of ASP</t>
  </si>
  <si>
    <t xml:space="preserve">BofA works with metals at 20-25% of ASP for 4W and 2W; these are total-RM baskets so sit at the upper end.</t>
  </si>
  <si>
    <t xml:space="preserve">Inventory / contract lag — weight on current quarter</t>
  </si>
  <si>
    <t xml:space="preserve">Steel and aluminium contracts reprice with a lag; most of a quarter's spot move lands next quarter.</t>
  </si>
  <si>
    <t xml:space="preserve">Inventory / contract lag — weight on prior quarter</t>
  </si>
  <si>
    <t xml:space="preserve">Two lag weights should sum to 100%.</t>
  </si>
  <si>
    <t xml:space="preserve">Lag weights total</t>
  </si>
  <si>
    <t xml:space="preserve">Assumed pass-through to customer (price hikes)</t>
  </si>
  <si>
    <t xml:space="preserve">0% = OEM eats the entire move. 100% = fully recovered in the same quarter.</t>
  </si>
  <si>
    <t xml:space="preserve">Sources: SIAM Commodity Price Monthly Monitor (August 2026). BOM weights, segment weights, RM/ASP ratios, lag and pass-through are analyst estimates.</t>
  </si>
  <si>
    <t xml:space="preserve">RAW DATABASE — SIAM MONTHLY COMMODITY PRICES</t>
  </si>
  <si>
    <t xml:space="preserve">As published by SIAM, in native units. This is the only sheet to type into when the next monthly deck arrives.</t>
  </si>
  <si>
    <t xml:space="preserve">Commodity</t>
  </si>
  <si>
    <t xml:space="preserve">Category</t>
  </si>
  <si>
    <t xml:space="preserve">Unit</t>
  </si>
  <si>
    <t xml:space="preserve">Ccy</t>
  </si>
  <si>
    <t xml:space="preserve">SIAM pg</t>
  </si>
  <si>
    <t xml:space="preserve">Aug-25</t>
  </si>
  <si>
    <t xml:space="preserve">Sept-25</t>
  </si>
  <si>
    <t xml:space="preserve">Oct-25</t>
  </si>
  <si>
    <t xml:space="preserve">Nov-25</t>
  </si>
  <si>
    <t xml:space="preserve">Dec-25</t>
  </si>
  <si>
    <t xml:space="preserve">Jan-26</t>
  </si>
  <si>
    <t xml:space="preserve">Feb-26</t>
  </si>
  <si>
    <t xml:space="preserve">Mar-26</t>
  </si>
  <si>
    <t xml:space="preserve">Apr-26</t>
  </si>
  <si>
    <t xml:space="preserve">May-26</t>
  </si>
  <si>
    <t xml:space="preserve">June-26</t>
  </si>
  <si>
    <t xml:space="preserve">July-26</t>
  </si>
  <si>
    <t xml:space="preserve">MoM %</t>
  </si>
  <si>
    <t xml:space="preserve">YoY %</t>
  </si>
  <si>
    <t xml:space="preserve">Notes</t>
  </si>
  <si>
    <t xml:space="preserve">FERROUS - FLAT, LONG &amp; SPECIAL STEEL</t>
  </si>
  <si>
    <t xml:space="preserve">HR Steel (HRC 1.8mm, IS2062)</t>
  </si>
  <si>
    <t xml:space="preserve">Ferrous - Flat, Long &amp; Special Steel</t>
  </si>
  <si>
    <t xml:space="preserve">INR/Tonne</t>
  </si>
  <si>
    <t xml:space="preserve">Mid-point of SIAM published low-high band</t>
  </si>
  <si>
    <t xml:space="preserve">CR Steel (CRC 0.90mm, IS513 GrO)</t>
  </si>
  <si>
    <t xml:space="preserve">Alloy Steel - Forging (20MnCr5)</t>
  </si>
  <si>
    <t xml:space="preserve">Alloy Steel - Forging (EN-8)</t>
  </si>
  <si>
    <t xml:space="preserve">Pig Iron (Foundry Grade B)</t>
  </si>
  <si>
    <t xml:space="preserve">Stainless Steel (G304 CR Coil)</t>
  </si>
  <si>
    <t xml:space="preserve">Stainless Steel (G304 HR Coil)</t>
  </si>
  <si>
    <t xml:space="preserve">Steel Scrap (RM end scrap)</t>
  </si>
  <si>
    <t xml:space="preserve">UPSTREAM STEEL INPUTS</t>
  </si>
  <si>
    <t xml:space="preserve">Coking Coal (Premium HCC, Australia)</t>
  </si>
  <si>
    <t xml:space="preserve">Upstream Steel Inputs</t>
  </si>
  <si>
    <t xml:space="preserve">USD/Tonne</t>
  </si>
  <si>
    <t xml:space="preserve">USD</t>
  </si>
  <si>
    <t xml:space="preserve">Iron Ore (Fe 62%, Australia)</t>
  </si>
  <si>
    <t xml:space="preserve">NON-FERROUS METALS</t>
  </si>
  <si>
    <t xml:space="preserve">Virgin Aluminium</t>
  </si>
  <si>
    <t xml:space="preserve">Non-Ferrous Metals</t>
  </si>
  <si>
    <t xml:space="preserve">Copper</t>
  </si>
  <si>
    <t xml:space="preserve">Lead</t>
  </si>
  <si>
    <t xml:space="preserve">Nickel</t>
  </si>
  <si>
    <t xml:space="preserve">Zinc</t>
  </si>
  <si>
    <t xml:space="preserve">PRECIOUS / PGM</t>
  </si>
  <si>
    <t xml:space="preserve">Platinum</t>
  </si>
  <si>
    <t xml:space="preserve">Precious / Pgm</t>
  </si>
  <si>
    <t xml:space="preserve">INR/gm</t>
  </si>
  <si>
    <t xml:space="preserve">Palladium</t>
  </si>
  <si>
    <t xml:space="preserve">Rhodium</t>
  </si>
  <si>
    <t xml:space="preserve">POLYMERS</t>
  </si>
  <si>
    <t xml:space="preserve">Polypropylene (PP)</t>
  </si>
  <si>
    <t xml:space="preserve">Polymers</t>
  </si>
  <si>
    <t xml:space="preserve">INR/kg</t>
  </si>
  <si>
    <t xml:space="preserve">ABS</t>
  </si>
  <si>
    <t xml:space="preserve">Polycarbonate (PC)</t>
  </si>
  <si>
    <t xml:space="preserve">CHEMICALS</t>
  </si>
  <si>
    <t xml:space="preserve">Urea (Prilled), CFR</t>
  </si>
  <si>
    <t xml:space="preserve">Chemicals</t>
  </si>
  <si>
    <t xml:space="preserve">USD/Ton</t>
  </si>
  <si>
    <t xml:space="preserve">Not in auto BOM baskets; tracked for agri / tractor demand read-across</t>
  </si>
  <si>
    <t xml:space="preserve">RUBBER &amp; CARBON BLACK</t>
  </si>
  <si>
    <t xml:space="preserve">Natural Rubber (RSS 4)</t>
  </si>
  <si>
    <t xml:space="preserve">Rubber &amp; Carbon Black</t>
  </si>
  <si>
    <t xml:space="preserve">Synthetic Rubber - SBR 1502</t>
  </si>
  <si>
    <t xml:space="preserve">EPDM</t>
  </si>
  <si>
    <t xml:space="preserve">Carbon Black (N330)</t>
  </si>
  <si>
    <t xml:space="preserve">Polybutadiene Rubber (1220)</t>
  </si>
  <si>
    <t xml:space="preserve">ADVANCED CHEMISTRIES (BATTERY)</t>
  </si>
  <si>
    <t xml:space="preserve">Lithium Carbonate (99.5% batt grade)</t>
  </si>
  <si>
    <t xml:space="preserve">Advanced Chemistries (Battery)</t>
  </si>
  <si>
    <t xml:space="preserve">USD/kg</t>
  </si>
  <si>
    <t xml:space="preserve">Lithium Hydroxide (56.5% batt grade)</t>
  </si>
  <si>
    <t xml:space="preserve">Cobalt Oxide (Co&gt;=72%)</t>
  </si>
  <si>
    <t xml:space="preserve">Cobalt Metal (Co&gt;=99.8%)</t>
  </si>
  <si>
    <t xml:space="preserve">RARE EARTH / MAGNETS</t>
  </si>
  <si>
    <t xml:space="preserve">NdFeB Magnet (GD - scrap)</t>
  </si>
  <si>
    <t xml:space="preserve">Rare Earth / Magnets</t>
  </si>
  <si>
    <t xml:space="preserve">Scrap proxy; sintered NdFeB contract prices are not published by SIAM</t>
  </si>
  <si>
    <t xml:space="preserve">ENERGY &amp; FUELS</t>
  </si>
  <si>
    <t xml:space="preserve">Brent Crude (Europe spot FOB)</t>
  </si>
  <si>
    <t xml:space="preserve">Energy &amp; Fuels</t>
  </si>
  <si>
    <t xml:space="preserve">USD/bbl</t>
  </si>
  <si>
    <t xml:space="preserve">CNG - Delhi (IGL)</t>
  </si>
  <si>
    <t xml:space="preserve">CNG - Mumbai (MGL)</t>
  </si>
  <si>
    <t xml:space="preserve">Petrol - Delhi</t>
  </si>
  <si>
    <t xml:space="preserve">INR/litre</t>
  </si>
  <si>
    <t xml:space="preserve">Diesel - Delhi</t>
  </si>
  <si>
    <t xml:space="preserve">Petrol - Mumbai</t>
  </si>
  <si>
    <t xml:space="preserve">Diesel - Mumbai</t>
  </si>
  <si>
    <t xml:space="preserve">Ethanol - Sugarcane Juice</t>
  </si>
  <si>
    <t xml:space="preserve">Ethanol - B-Heavy Molasses</t>
  </si>
  <si>
    <t xml:space="preserve">Ethanol - C-Heavy Molasses</t>
  </si>
  <si>
    <t xml:space="preserve">FREIGHT</t>
  </si>
  <si>
    <t xml:space="preserve">Baltic Dry Index (Dry Bulk)</t>
  </si>
  <si>
    <t xml:space="preserve">Freight</t>
  </si>
  <si>
    <t xml:space="preserve">Index pts</t>
  </si>
  <si>
    <t xml:space="preserve">IDX</t>
  </si>
  <si>
    <t xml:space="preserve">SIAM did not publish an Aug-26 print in this edition (marked '*', 'data not published by source'); carried flat from Jul-26 pending confirmation next month.</t>
  </si>
  <si>
    <t xml:space="preserve">FX (period-end selling rate)</t>
  </si>
  <si>
    <t xml:space="preserve">USD / INR (selling)</t>
  </si>
  <si>
    <t xml:space="preserve">Fx (Period-End Selling Rate)</t>
  </si>
  <si>
    <t xml:space="preserve">GBP / INR (selling)</t>
  </si>
  <si>
    <t xml:space="preserve">EUR / INR (selling)</t>
  </si>
  <si>
    <t xml:space="preserve">JPY 100 / INR (selling)</t>
  </si>
  <si>
    <t xml:space="preserve">CNY / INR</t>
  </si>
  <si>
    <t xml:space="preserve">POLICY &amp; LENDING RATES</t>
  </si>
  <si>
    <t xml:space="preserve">Cash Reserve Ratio (%)</t>
  </si>
  <si>
    <t xml:space="preserve">Policy &amp; Lending Rates</t>
  </si>
  <si>
    <t xml:space="preserve">%</t>
  </si>
  <si>
    <t xml:space="preserve">RATE</t>
  </si>
  <si>
    <t xml:space="preserve">Bank Rate (% p.a.)</t>
  </si>
  <si>
    <t xml:space="preserve">Base Rate - low (% p.a.)</t>
  </si>
  <si>
    <t xml:space="preserve">Base Rate - high (% p.a.)</t>
  </si>
  <si>
    <t xml:space="preserve">Source: SIAM Commodity Price Monthly Monitor, August 2026 (page references in column E). Range-quoted commodities are stored as the mid-point of SIAM's published low-high band.</t>
  </si>
  <si>
    <t xml:space="preserve">April-June 2025 are not published as numbers in the SIAM tables (chart-only), so the database begins Jul-25. The red-flagged Aug-26 Baltic Dry Index cell is carried flat, not a genuine print — see its note.</t>
  </si>
  <si>
    <t xml:space="preserve">INR-NORMALISED PRICES</t>
  </si>
  <si>
    <t xml:space="preserve">All material inputs restated in INR per kg at that month's USD-INR selling rate. Isolates the currency drag on dollar-priced commodities.</t>
  </si>
  <si>
    <t xml:space="preserve">Normalised unit</t>
  </si>
  <si>
    <t xml:space="preserve">Conversion</t>
  </si>
  <si>
    <t xml:space="preserve">/ 1,000</t>
  </si>
  <si>
    <t xml:space="preserve">x USD-INR / 1,000</t>
  </si>
  <si>
    <t xml:space="preserve">Dollar-priced: INR move = commodity move + rupee move</t>
  </si>
  <si>
    <t xml:space="preserve">x 1,000</t>
  </si>
  <si>
    <t xml:space="preserve">as reported</t>
  </si>
  <si>
    <t xml:space="preserve">x USD-INR</t>
  </si>
  <si>
    <t xml:space="preserve">INR/bbl</t>
  </si>
  <si>
    <t xml:space="preserve">n.a.</t>
  </si>
  <si>
    <t xml:space="preserve">Conversion uses the SIAM-published USD/INR selling rate for the same month (Raw Data row 61). Policy rates are shown unconverted.</t>
  </si>
  <si>
    <t xml:space="preserve">COMMODITY PRICE INDICES (BASE = 100)</t>
  </si>
  <si>
    <t xml:space="preserve">Each series rebased to the base month set on Assumptions, on the chosen currency basis. These feed every basket.</t>
  </si>
  <si>
    <t xml:space="preserve">Basis</t>
  </si>
  <si>
    <t xml:space="preserve">Base month</t>
  </si>
  <si>
    <t xml:space="preserve">Base = 100</t>
  </si>
  <si>
    <t xml:space="preserve">not indexed</t>
  </si>
  <si>
    <t xml:space="preserve">Index = price in month M divided by price in the base month, x100. Policy rates are levels, not prices, and are not indexed.</t>
  </si>
  <si>
    <t xml:space="preserve">PROPRIETARY BASKET WEIGHTS</t>
  </si>
  <si>
    <t xml:space="preserve">Bill-of-material weights (%) by segment, plus sub-complex monitors. Every blue cell is editable. Each column must sum to 100.</t>
  </si>
  <si>
    <t xml:space="preserve">SEGMENT BOM BASKETS</t>
  </si>
  <si>
    <t xml:space="preserve">SUB-COMPLEX MONITORS</t>
  </si>
  <si>
    <t xml:space="preserve">Ferrous</t>
  </si>
  <si>
    <t xml:space="preserve">Non-Ferrous</t>
  </si>
  <si>
    <t xml:space="preserve">PGM</t>
  </si>
  <si>
    <t xml:space="preserve">Rubber &amp; CB</t>
  </si>
  <si>
    <t xml:space="preserve">Battery Chem</t>
  </si>
  <si>
    <t xml:space="preserve">Energy &amp; Freight</t>
  </si>
  <si>
    <t xml:space="preserve">TOTAL (must equal 100.0)</t>
  </si>
  <si>
    <t xml:space="preserve">Weights are analyst estimates of raw-material value share within a typical bill of materials for each segment, cross-checked against SIAM's own end-use consumption shares (e.g. construction 48% of HR steel, autos 9%; lead-acid batteries 80% of lead; catalytic converters 84% of rhodium; stainless 69% of nickel).</t>
  </si>
  <si>
    <t xml:space="preserve">Sub-complex monitors are standalone: they re-weight only within their own complex and are not additive to the segment baskets.</t>
  </si>
  <si>
    <t xml:space="preserve">Tractors carry no PGM weight — they are not emission-catalyst equipped in the same way; consistent with BofA's observation that tractors are unaffected by PGM inflation.</t>
  </si>
  <si>
    <t xml:space="preserve">BASKET &amp; SUB-COMPLEX MONITORS (MONTHLY)</t>
  </si>
  <si>
    <t xml:space="preserve">Weighted commodity indices. Same base month and currency basis as the Commodity Indices sheet.</t>
  </si>
  <si>
    <t xml:space="preserve">Basket</t>
  </si>
  <si>
    <t xml:space="preserve">Type</t>
  </si>
  <si>
    <t xml:space="preserve">Comment</t>
  </si>
  <si>
    <t xml:space="preserve">Segment BOM</t>
  </si>
  <si>
    <t xml:space="preserve">Sub-complex</t>
  </si>
  <si>
    <t xml:space="preserve">BLENDED INDIA AUTO COMPOSITE</t>
  </si>
  <si>
    <t xml:space="preserve">India Auto Cost Composite</t>
  </si>
  <si>
    <t xml:space="preserve">Segment-weighted blend</t>
  </si>
  <si>
    <t xml:space="preserve">Basket index = SUMPRODUCT(weights, commodity indices) / SUM(weights). Composite = segment weights from Assumptions applied to the six BOM baskets.</t>
  </si>
  <si>
    <t xml:space="preserve">QUARTERLY COST DASHBOARD</t>
  </si>
  <si>
    <t xml:space="preserve">The output page: where commodity costs sit this quarter versus last quarter and last year.</t>
  </si>
  <si>
    <t xml:space="preserve">1.  CURRENT QUARTER BUILD-UP (Q2FY27, Jul-Sep 2026)</t>
  </si>
  <si>
    <t xml:space="preserve">Jul-26 and Aug-26 are reported. Sep-26 is grown at the base MoM drift lever on Assumptions.</t>
  </si>
  <si>
    <t xml:space="preserve">Jul-26 (A)</t>
  </si>
  <si>
    <t xml:space="preserve">Aug-26 (A)</t>
  </si>
  <si>
    <t xml:space="preserve">Sep-26 (E)</t>
  </si>
  <si>
    <t xml:space="preserve">Q2FY27E avg</t>
  </si>
  <si>
    <t xml:space="preserve">Composite</t>
  </si>
  <si>
    <t xml:space="preserve">2.  QUARTERLY BASKET LEVELS AND MOVES</t>
  </si>
  <si>
    <t xml:space="preserve">Quarterly index = simple average of the three monthly index readings. Q2FY27E per the build-up above.</t>
  </si>
  <si>
    <t xml:space="preserve">Q2FY26</t>
  </si>
  <si>
    <t xml:space="preserve">Q3FY26</t>
  </si>
  <si>
    <t xml:space="preserve">Q4FY26</t>
  </si>
  <si>
    <t xml:space="preserve">Q1FY27</t>
  </si>
  <si>
    <t xml:space="preserve">Q2FY27E</t>
  </si>
  <si>
    <t xml:space="preserve">QoQ %</t>
  </si>
  <si>
    <t xml:space="preserve">3.  QoQ HISTORY BY BASKET (%)</t>
  </si>
  <si>
    <t xml:space="preserve">4.  COMMODITY-LEVEL QUARTERLY TABLE (index, base = 100)</t>
  </si>
  <si>
    <t xml:space="preserve">Q2FY27 shown quarter-to-date (Jul-26 and Aug-26 actuals, average) — no drift assumption applied at commodity level.</t>
  </si>
  <si>
    <t xml:space="preserve">Q2FY27 QTD</t>
  </si>
  <si>
    <t xml:space="preserve">Quarters are Indian fiscal: Q1 = Apr-Jun, Q2 = Jul-Sep, Q3 = Oct-Dec, Q4 = Jan-Mar. Q1FY26 is not computable — SIAM publishes Apr-Jun 2025 only as chart points.</t>
  </si>
  <si>
    <t xml:space="preserve">GROSS MARGIN TRANSLATION &amp; SCENARIOS</t>
  </si>
  <si>
    <t xml:space="preserve">Converts basket moves into gross-margin bps after inventory lag and assumed pass-through.</t>
  </si>
  <si>
    <t xml:space="preserve">LEVERS IN USE (edit on Assumptions)</t>
  </si>
  <si>
    <t xml:space="preserve">Lag weight — current quarter</t>
  </si>
  <si>
    <t xml:space="preserve">Lag weight — prior quarter</t>
  </si>
  <si>
    <t xml:space="preserve">Pass-through to customer</t>
  </si>
  <si>
    <t xml:space="preserve">Base MoM drift for un-reported months</t>
  </si>
  <si>
    <t xml:space="preserve">1.  REALISED (LAG-ADJUSTED) BASKET MOVE, QoQ %</t>
  </si>
  <si>
    <t xml:space="preserve">Realised move = lag weight x this quarter's spot move + lag weight x last quarter's spot move. This is what lands in the P&amp;L.</t>
  </si>
  <si>
    <t xml:space="preserve">Segment</t>
  </si>
  <si>
    <t xml:space="preserve">2.  GROSS MARGIN IMPACT (bps, negative = headwind)</t>
  </si>
  <si>
    <t xml:space="preserve">bps = - realised basket move x RM as % of ASP x (1 - pass-through) x 10,000.</t>
  </si>
  <si>
    <t xml:space="preserve">RM % of ASP</t>
  </si>
  <si>
    <t xml:space="preserve">3.  Q2FY27 SCENARIOS</t>
  </si>
  <si>
    <t xml:space="preserve">Jul-26 and Aug-26 are reported. Scenarios flex the assumed MoM drift for Sep-26 only.</t>
  </si>
  <si>
    <t xml:space="preserve">BEAR (cost inflation)</t>
  </si>
  <si>
    <t xml:space="preserve">BASE</t>
  </si>
  <si>
    <t xml:space="preserve">BULL (cost deflation)</t>
  </si>
  <si>
    <t xml:space="preserve">Scenario drift levers sit on Assumptions rows 12-14. Base case is spot-flat carry (0.0% MoM) applied only to the months of the quarter not yet reported.</t>
  </si>
  <si>
    <t xml:space="preserve">RM % of ASP, lag weights and pass-through are analyst estimates, not SIAM data. Sensitivities should be run before these numbers go into a note.</t>
  </si>
  <si>
    <t xml:space="preserve">METHODOLOGY</t>
  </si>
  <si>
    <t xml:space="preserve">How every number in this workbook is built.</t>
  </si>
  <si>
    <t xml:space="preserve">1. SOURCE AND SCOPE</t>
  </si>
  <si>
    <t xml:space="preserve">Single source: SIAM Commodity Price Monthly Monitor. The August 2026 edition carries 14 months of published data, Jul-25 to Aug-26. SIAM's own tables begin at July-25; April-June 2025 exist only as plotted points on the FY2025-26 chart lines and are not published numerically, so they are excluded rather than estimated. Page references for every series are carried in column E of the Raw Data sheet.</t>
  </si>
  <si>
    <t xml:space="preserve">Where SIAM quotes a low-high band (HR steel, CR steel, both stainless grades), the database stores the arithmetic mid-point. The band width is stable month to month, so the mid-point tracks the move faithfully; if a band widens materially that becomes a note in its own right.</t>
  </si>
  <si>
    <t xml:space="preserve">Occasionally SIAM does not publish a print for a series in a given edition (flagged with an asterisk in the source deck, as happened to the Baltic Dry Index in the Aug-26 edition). Where that happens the last known level is carried flat and the cell is flagged in red with an explanatory note, rather than left blank and breaking the formula chain or silently interpolated.</t>
  </si>
  <si>
    <t xml:space="preserve">2. NORMALISATION</t>
  </si>
  <si>
    <t xml:space="preserve">Every material input is restated to INR per kilogram: INR/tonne divided by 1,000; INR/gram multiplied by 1,000; USD/tonne multiplied by that month's USD-INR and divided by 1,000; USD/kg multiplied by USD-INR. Brent stays INR per barrel, fuels INR per litre, the Baltic Dry Index in points.</t>
  </si>
  <si>
    <t xml:space="preserve">The FX conversion uses SIAM's published USD-INR selling rate for the same month. This is deliberate. Roughly a third of the auto BOM basket by value is dollar-priced — aluminium, copper, nickel, zinc, lithium, cobalt, magnets, coking coal — and the rupee has moved from 86.71 to 96.05 over the sample. An OEM's landed cost carries both the commodity move and the currency move; the local-currency view understates the squeeze. A toggle on Assumptions switches the indices to local currency when you want to strip FX out and see the underlying commodity move alone.</t>
  </si>
  <si>
    <t xml:space="preserve">3. INDEX CONSTRUCTION</t>
  </si>
  <si>
    <t xml:space="preserve">Each commodity is rebased to 100 at a chosen base month (default Jul-25, which is also the first month of Q2FY26). Index = price in month M / price in base month x 100. Rebasing, rather than working in levels, is what allows series quoted in INR/tonne, INR/gram and USD/kg to be combined into one basket.</t>
  </si>
  <si>
    <t xml:space="preserve">Policy and lending rates are levels, not prices, and are carried in the database but not indexed.</t>
  </si>
  <si>
    <t xml:space="preserve">4. BASKET WEIGHTING</t>
  </si>
  <si>
    <t xml:space="preserve">Six segment bill-of-material baskets: PV (ICE), 2W (ICE), CV, Tractor, BEV-PV and E-2W. Weights represent each commodity's share of raw-material value in a typical vehicle of that segment, and sum to 100 in every column.</t>
  </si>
  <si>
    <t xml:space="preserve">The weights are analyst estimates, anchored on three things: (i) SIAM's own end-use consumption shares disclosed in the deck — construction takes 48% of HR steel against autos at 9%, lead-acid batteries 80% of lead, catalytic converters 84% of rhodium, stainless 69% of nickel, transport equipment 75% of palladium; (ii) published teardown and BOM work on the relevant vehicle classes; (iii) cross-check against BofA's framing that the metal basket alone is 20-25% of ASP for both 4W and 2W, and that PGMs are 1-3% of ASP.</t>
  </si>
  <si>
    <t xml:space="preserve">Structural differences that matter: CV and tractor baskets are ferrous-heavy (57% and 64%) and carry far more rubber; 2W is aluminium-heavy at 20%; tractors carry zero PGM weight because they are not catalyst-equipped in the same way; the EV baskets replace roughly half the ferrous content with battery chemistry and magnets, which is why they behave completely differently in a lithium cycle.</t>
  </si>
  <si>
    <t xml:space="preserve">Seven sub-complex monitors run alongside — Ferrous, Non-Ferrous, PGM, Polymers, Rubber and Carbon Black, Battery Chemistry, Energy and Freight. These re-weight within their own complex only and are diagnostic, not additive to the segment baskets. They are what tells you whether a composite move is a steel story or a precious-metals story.</t>
  </si>
  <si>
    <t xml:space="preserve">Basket index = SUMPRODUCT(weights, commodity indices) / SUM(weights). Dividing by the weight sum means the basket stays correct even if you edit weights and they no longer total exactly 100.</t>
  </si>
  <si>
    <t xml:space="preserve">5. THE BLENDED COMPOSITE</t>
  </si>
  <si>
    <t xml:space="preserve">The India Auto Cost Composite weights the six segment baskets by their estimated share of industry raw-material spend (default: PV 38%, 2W 20%, CV 20%, Tractor 7%, BEV-PV 7%, E-2W 8%). Spend share, not unit share — a two-wheeler and a truck are not one vehicle each for this purpose. These weights are editable on Assumptions.</t>
  </si>
  <si>
    <t xml:space="preserve">6. QUARTERLY AGGREGATION</t>
  </si>
  <si>
    <t xml:space="preserve">Quarterly index = simple average of the three monthly readings. Indian fiscal quarters: Q1 Apr-Jun, Q2 Jul-Sep, Q3 Oct-Dec, Q4 Jan-Mar. A simple average is used rather than a purchase-volume-weighted average because monthly OEM procurement volumes are not observable; the distortion is small when within-quarter moves are not extreme.</t>
  </si>
  <si>
    <t xml:space="preserve">The current quarter is handled explicitly. Months already reported are taken as actuals directly from the Basket Monitors sheet; any months of the quarter not yet reported are grown from the last known reading at an assumed MoM drift, default 0.0% — spot-flat carry, the neutral prior. The build-up block on the Quarterly Dashboard shows all three months of the current quarter, labelled (A) for actual and (E) for estimate, so it is always obvious which is which. As more months of a quarter are reported, fewer are estimated, and the block updates automatically. The commodity-level quarterly table shows Q2FY27 quarter-to-date instead, averaging only the actual months reported so far, with no drift applied, so you always have an assumption-free view.</t>
  </si>
  <si>
    <t xml:space="preserve">7. FROM BASKET MOVE TO MARGIN</t>
  </si>
  <si>
    <t xml:space="preserve">Two adjustments sit between a spot commodity move and the P&amp;L.</t>
  </si>
  <si>
    <t xml:space="preserve">Lag. OEMs hold inventory and negotiate steel and aluminium contracts quarterly or half-yearly, so a quarter's spot move mostly lands the following quarter. The realised move is modelled as 35% of the current quarter's move plus 65% of the prior quarter's — both editable. This is why BofA can see a metals move and still say the impact is 'likely to weigh in from Q3 onwards'.</t>
  </si>
  <si>
    <t xml:space="preserve">Pass-through. OEMs recover part of the increase through price hikes. Default 50%. Set it to 0% for a segment with no pricing power, 100% for one that reprices immediately.</t>
  </si>
  <si>
    <t xml:space="preserve">Gross margin impact in bps = - realised basket move x RM as % of ASP x (1 - pass-through) x 10,000. RM as % of ASP defaults to 22% for PV, 23% for 2W, 25% for CV, 22% for tractors, 30% for BEV-PV and 32% for E-2W; EV baskets are higher because the battery pack is a larger share of vehicle cost.</t>
  </si>
  <si>
    <t xml:space="preserve">8. SCENARIOS</t>
  </si>
  <si>
    <t xml:space="preserve">Bear, base and bull cases flex only the assumed MoM drift on the months of the current quarter not yet reported, defaulting to +2.0%, 0.0% and -2.0%. Everything downstream — quarterly level, QoQ, YoY, margin bps — recalculates. This keeps the scenario honest: it is a statement about the months you cannot yet see, not a re-forecast of history. Once every month of a quarter is reported, the three scenarios collapse to the same actual figure.</t>
  </si>
  <si>
    <t xml:space="preserve">9. KNOWN LIMITATIONS</t>
  </si>
  <si>
    <t xml:space="preserve">(i) No Q1FY26 base, so the first computable YoY comparison is Q2FY27 against Q2FY26. (ii) SIAM prices are indicative published prices, not OEM contract prices; actual procurement is negotiated and will differ in level, though usually not in direction. (iii) NdFeB is a scrap-grade proxy — sintered magnet contract pricing is not published, and the scrap series has been conspicuously flat while the underlying REE market has not been. (iv) BOM weights are static; they should be revisited annually as mix and light-weighting shift. (v) Simple-average quarterly aggregation ignores procurement seasonality. (vi) Urea is carried for tractor-demand read-across and sits at zero weight in every basket. (vii) An occasional missing print (e.g. Baltic Dry Index, Aug-26) is carried flat and flagged rather than estimated — this slightly understates true volatility in that one series for that one month.</t>
  </si>
  <si>
    <t xml:space="preserve">10. MONTHLY UPDATE</t>
  </si>
  <si>
    <t xml:space="preserve">See the Update Log sheet. In short: add one column to Raw Data, extend the formula columns on the three dependent sheets, roll the month headers, update the latest-actual-month and months-of-actuals levers on Assumptions, and re-point the current-quarter build-up once a new fiscal quarter begins.</t>
  </si>
  <si>
    <t xml:space="preserve">Source for all price data: Society of Indian Automobile Manufacturers, Commodity Price Monthly Monitor, August 2026. All weights, ratios, lags and pass-through assumptions are analyst estimates.</t>
  </si>
  <si>
    <t xml:space="preserve">MONTHLY UPDATE PROCEDURE &amp; LOG</t>
  </si>
  <si>
    <t xml:space="preserve">WHEN THE NEXT SIAM DECK LANDS</t>
  </si>
  <si>
    <t xml:space="preserve">Insert one new column on Raw Data immediately to the right of the last month (currently column S) and type the new month header into row 5, matching SIAM's own label format.</t>
  </si>
  <si>
    <t xml:space="preserve">Key the new month's values down the column, in SIAM's native units. Range-quoted series: enter the mid-point of the published band. If SIAM marks a series as not published this edition (an asterisk in the source deck), carry the prior month's value flat, flag the cell, and note it — do not leave the cell blank or invent a number.</t>
  </si>
  <si>
    <t xml:space="preserve">Copy the last month's column across on INR Normalised, Commodity Indices and Basket Monitors — every formula is relative and will pick up the new Raw Data column.</t>
  </si>
  <si>
    <t xml:space="preserve">Extend the MoM and YoY formula columns so they reference the new latest month and the month 12 back once you have more than 13 months of history.</t>
  </si>
  <si>
    <t xml:space="preserve">On Assumptions, update 'Latest actual month' and 'Months of actual data in current quarter'.</t>
  </si>
  <si>
    <t xml:space="preserve">On the Quarterly Dashboard, re-point the current-quarter build-up (Block 1) and the Margin &amp; Scenarios sheet's scenario block so actual months link directly and only the remaining month(s) of the quarter compound off the drift lever. Once a quarter completes, extend the QCOLS quarter ranges to include it and roll the current-quarter labels to the next fiscal quarter.</t>
  </si>
  <si>
    <t xml:space="preserve">Sanity check: the TOTAL row on Basket Weights must still read 100.0 in every column, and segment weights on Assumptions must sum to 100%.</t>
  </si>
  <si>
    <t xml:space="preserve">Cross-check three or four headline moves against SIAM's own narrative bullets (its A/B commentary under each chart) before circulating.</t>
  </si>
  <si>
    <t xml:space="preserve">VERSION LOG</t>
  </si>
  <si>
    <t xml:space="preserve">Date</t>
  </si>
  <si>
    <t xml:space="preserve">SIAM edition</t>
  </si>
  <si>
    <t xml:space="preserve">Months covered</t>
  </si>
  <si>
    <t xml:space="preserve">Changed by</t>
  </si>
  <si>
    <t xml:space="preserve">Note</t>
  </si>
  <si>
    <t xml:space="preserve">18-Aug-2026</t>
  </si>
  <si>
    <t xml:space="preserve">July 2026</t>
  </si>
  <si>
    <t xml:space="preserve">Jul-25 to Jul-26 (13m)</t>
  </si>
  <si>
    <t xml:space="preserve">Initial build — database, indices, 6 BOM baskets, 7 sub-complex monitors, composite, margin bridge, scenarios.</t>
  </si>
  <si>
    <t xml:space="preserve">18-Sep-2026</t>
  </si>
  <si>
    <t xml:space="preserve">August 2026</t>
  </si>
  <si>
    <t xml:space="preserve">Jul-25 to Aug-26 (14m)</t>
  </si>
  <si>
    <t xml:space="preserve">Rolled forward one month. Q2FY27 build-up and scenario logic generalised to use Jul-26 and Aug-26 as actuals, Sep-26 as the only estimated month. Baltic Dry Index not published this edition — carried flat from Jul-26 and flagged.</t>
  </si>
</sst>
</file>

<file path=xl/styles.xml><?xml version="1.0" encoding="utf-8"?>
<styleSheet xmlns="http://schemas.openxmlformats.org/spreadsheetml/2006/main">
  <numFmts count="7">
    <numFmt numFmtId="164" formatCode="General"/>
    <numFmt numFmtId="165" formatCode="General"/>
    <numFmt numFmtId="166" formatCode="0.0%;\(0.0%\);\-"/>
    <numFmt numFmtId="167" formatCode="#,##0;\(#,##0\);\-"/>
    <numFmt numFmtId="168" formatCode="#,##0.00;\(#,##0.00\);\-"/>
    <numFmt numFmtId="169" formatCode="0.0"/>
    <numFmt numFmtId="170" formatCode="0.0;;\-"/>
  </numFmts>
  <fonts count="17">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9"/>
      <color rgb="FF808080"/>
      <name val="Arial"/>
      <family val="0"/>
      <charset val="1"/>
    </font>
    <font>
      <b val="true"/>
      <sz val="11"/>
      <color rgb="FF1F3864"/>
      <name val="Arial"/>
      <family val="0"/>
      <charset val="1"/>
    </font>
    <font>
      <sz val="9"/>
      <name val="Arial"/>
      <family val="0"/>
      <charset val="1"/>
    </font>
    <font>
      <b val="true"/>
      <sz val="9"/>
      <name val="Arial"/>
      <family val="0"/>
      <charset val="1"/>
    </font>
    <font>
      <sz val="9"/>
      <color rgb="FF0000FF"/>
      <name val="Arial"/>
      <family val="0"/>
      <charset val="1"/>
    </font>
    <font>
      <sz val="9"/>
      <color rgb="FF008000"/>
      <name val="Arial"/>
      <family val="0"/>
      <charset val="1"/>
    </font>
    <font>
      <i val="true"/>
      <sz val="8"/>
      <color rgb="FF808080"/>
      <name val="Arial"/>
      <family val="0"/>
      <charset val="1"/>
    </font>
    <font>
      <b val="true"/>
      <sz val="9"/>
      <color rgb="FF0000FF"/>
      <name val="Arial"/>
      <family val="0"/>
      <charset val="1"/>
    </font>
    <font>
      <b val="true"/>
      <sz val="9"/>
      <color rgb="FFFFFFFF"/>
      <name val="Arial"/>
      <family val="0"/>
      <charset val="1"/>
    </font>
    <font>
      <b val="true"/>
      <sz val="9"/>
      <color rgb="FF1F3864"/>
      <name val="Arial"/>
      <family val="0"/>
      <charset val="1"/>
    </font>
    <font>
      <i val="true"/>
      <sz val="9"/>
      <color rgb="FFC00000"/>
      <name val="Arial"/>
      <family val="0"/>
      <charset val="1"/>
    </font>
    <font>
      <b val="true"/>
      <i val="true"/>
      <sz val="8"/>
      <color rgb="FFC00000"/>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FFF2CC"/>
        <bgColor rgb="FFFCE4E4"/>
      </patternFill>
    </fill>
    <fill>
      <patternFill patternType="solid">
        <fgColor rgb="FFF2F2F2"/>
        <bgColor rgb="FFFCE4E4"/>
      </patternFill>
    </fill>
    <fill>
      <patternFill patternType="solid">
        <fgColor rgb="FF2E5B9A"/>
        <bgColor rgb="FF0066CC"/>
      </patternFill>
    </fill>
    <fill>
      <patternFill patternType="solid">
        <fgColor rgb="FFDCE6F1"/>
        <bgColor rgb="FFF2F2F2"/>
      </patternFill>
    </fill>
    <fill>
      <patternFill patternType="solid">
        <fgColor rgb="FFFCE4E4"/>
        <bgColor rgb="FFF2F2F2"/>
      </patternFill>
    </fill>
    <fill>
      <patternFill patternType="solid">
        <fgColor rgb="FF6E8B3D"/>
        <bgColor rgb="FF808080"/>
      </patternFill>
    </fill>
    <fill>
      <patternFill patternType="solid">
        <fgColor rgb="FFA9C23F"/>
        <bgColor rgb="FFBFBFBF"/>
      </patternFill>
    </fill>
  </fills>
  <borders count="3">
    <border diagonalUp="false" diagonalDown="false">
      <left/>
      <right/>
      <top/>
      <bottom/>
      <diagonal/>
    </border>
    <border diagonalUp="false" diagonalDown="false">
      <left/>
      <right/>
      <top style="thin">
        <color rgb="FF1F3864"/>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3" borderId="2" xfId="0" applyFont="true" applyBorder="true" applyAlignment="false" applyProtection="false">
      <alignment horizontal="general" vertical="bottom" textRotation="0" wrapText="false" indent="0" shrinkToFit="false"/>
      <protection locked="true" hidden="false"/>
    </xf>
    <xf numFmtId="165" fontId="7" fillId="0" borderId="2" xfId="0" applyFont="true" applyBorder="true" applyAlignment="false" applyProtection="false">
      <alignment horizontal="general" vertical="bottom" textRotation="0" wrapText="false" indent="0" shrinkToFit="false"/>
      <protection locked="true" hidden="false"/>
    </xf>
    <xf numFmtId="166" fontId="12" fillId="3" borderId="2" xfId="0" applyFont="true" applyBorder="true" applyAlignment="false" applyProtection="false">
      <alignment horizontal="general" vertical="bottom" textRotation="0" wrapText="false" indent="0" shrinkToFit="false"/>
      <protection locked="true" hidden="false"/>
    </xf>
    <xf numFmtId="166" fontId="9" fillId="3" borderId="2" xfId="0" applyFont="true" applyBorder="true" applyAlignment="false" applyProtection="false">
      <alignment horizontal="general" vertical="bottom" textRotation="0" wrapText="false" indent="0" shrinkToFit="false"/>
      <protection locked="true" hidden="false"/>
    </xf>
    <xf numFmtId="166" fontId="8" fillId="4" borderId="2" xfId="0" applyFont="true" applyBorder="true" applyAlignment="false" applyProtection="false">
      <alignment horizontal="general" vertical="bottom" textRotation="0" wrapText="false" indent="0" shrinkToFit="false"/>
      <protection locked="true" hidden="false"/>
    </xf>
    <xf numFmtId="164" fontId="13" fillId="5" borderId="2" xfId="0" applyFont="true" applyBorder="true" applyAlignment="true" applyProtection="false">
      <alignment horizontal="left" vertical="center" textRotation="0" wrapText="true" indent="0" shrinkToFit="false"/>
      <protection locked="true" hidden="false"/>
    </xf>
    <xf numFmtId="164" fontId="13" fillId="5" borderId="2" xfId="0" applyFont="true" applyBorder="true" applyAlignment="true" applyProtection="false">
      <alignment horizontal="center" vertical="center" textRotation="0" wrapText="true" indent="0" shrinkToFit="false"/>
      <protection locked="true" hidden="false"/>
    </xf>
    <xf numFmtId="164" fontId="14" fillId="6" borderId="2" xfId="0" applyFont="true" applyBorder="true" applyAlignment="false" applyProtection="false">
      <alignment horizontal="general" vertical="bottom" textRotation="0" wrapText="fals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7" fontId="9" fillId="0" borderId="2" xfId="0" applyFont="true" applyBorder="true" applyAlignment="false" applyProtection="false">
      <alignment horizontal="general" vertical="bottom" textRotation="0" wrapText="false" indent="0" shrinkToFit="false"/>
      <protection locked="true" hidden="false"/>
    </xf>
    <xf numFmtId="166" fontId="7" fillId="0" borderId="2" xfId="0" applyFont="true" applyBorder="true" applyAlignment="false" applyProtection="false">
      <alignment horizontal="general" vertical="bottom" textRotation="0" wrapText="false" indent="0" shrinkToFit="false"/>
      <protection locked="true" hidden="false"/>
    </xf>
    <xf numFmtId="168" fontId="9" fillId="0" borderId="2" xfId="0" applyFont="true" applyBorder="true" applyAlignment="false" applyProtection="false">
      <alignment horizontal="general" vertical="bottom" textRotation="0" wrapText="false" indent="0" shrinkToFit="false"/>
      <protection locked="true" hidden="false"/>
    </xf>
    <xf numFmtId="167" fontId="15" fillId="7" borderId="2" xfId="0" applyFont="true" applyBorder="true" applyAlignment="false" applyProtection="false">
      <alignment horizontal="general" vertical="bottom" textRotation="0" wrapText="false" indent="0" shrinkToFit="false"/>
      <protection locked="true" hidden="false"/>
    </xf>
    <xf numFmtId="164" fontId="16" fillId="7" borderId="0" xfId="0" applyFont="true" applyBorder="false" applyAlignment="false" applyProtection="false">
      <alignment horizontal="general" vertical="bottom" textRotation="0" wrapText="false" indent="0" shrinkToFit="false"/>
      <protection locked="true" hidden="false"/>
    </xf>
    <xf numFmtId="164" fontId="10" fillId="0" borderId="2" xfId="0" applyFont="true" applyBorder="true" applyAlignment="false" applyProtection="false">
      <alignment horizontal="general" vertical="bottom" textRotation="0" wrapText="false" indent="0" shrinkToFit="false"/>
      <protection locked="true" hidden="false"/>
    </xf>
    <xf numFmtId="168" fontId="10" fillId="0" borderId="2" xfId="0" applyFont="true" applyBorder="true" applyAlignment="false" applyProtection="false">
      <alignment horizontal="general" vertical="bottom" textRotation="0" wrapText="false" indent="0" shrinkToFit="false"/>
      <protection locked="true" hidden="false"/>
    </xf>
    <xf numFmtId="167" fontId="10" fillId="0" borderId="2" xfId="0" applyFont="true" applyBorder="true" applyAlignment="false" applyProtection="false">
      <alignment horizontal="general" vertical="bottom" textRotation="0" wrapText="false" indent="0" shrinkToFit="false"/>
      <protection locked="true" hidden="false"/>
    </xf>
    <xf numFmtId="169" fontId="7" fillId="0" borderId="2" xfId="0" applyFont="true" applyBorder="true" applyAlignment="false" applyProtection="false">
      <alignment horizontal="general" vertical="bottom" textRotation="0" wrapText="false" indent="0" shrinkToFit="false"/>
      <protection locked="true" hidden="false"/>
    </xf>
    <xf numFmtId="164" fontId="11"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center" vertical="bottom" textRotation="0" wrapText="false" indent="0" shrinkToFit="false"/>
      <protection locked="true" hidden="false"/>
    </xf>
    <xf numFmtId="164" fontId="13" fillId="8" borderId="2" xfId="0" applyFont="true" applyBorder="true" applyAlignment="true" applyProtection="false">
      <alignment horizontal="center" vertical="center" textRotation="0" wrapText="true" indent="0" shrinkToFit="false"/>
      <protection locked="true" hidden="false"/>
    </xf>
    <xf numFmtId="170" fontId="9" fillId="0" borderId="2" xfId="0" applyFont="true" applyBorder="true" applyAlignment="false" applyProtection="false">
      <alignment horizontal="general" vertical="bottom" textRotation="0" wrapText="false" indent="0" shrinkToFit="false"/>
      <protection locked="true" hidden="false"/>
    </xf>
    <xf numFmtId="169" fontId="8" fillId="4" borderId="2"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14" fillId="9" borderId="2" xfId="0" applyFont="true" applyBorder="true" applyAlignment="false" applyProtection="false">
      <alignment horizontal="general" vertical="bottom" textRotation="0" wrapText="false" indent="0" shrinkToFit="false"/>
      <protection locked="true" hidden="false"/>
    </xf>
    <xf numFmtId="164" fontId="0" fillId="9" borderId="2" xfId="0" applyFont="false" applyBorder="true" applyAlignment="false" applyProtection="false">
      <alignment horizontal="general" vertical="bottom" textRotation="0" wrapText="false" indent="0" shrinkToFit="false"/>
      <protection locked="true" hidden="false"/>
    </xf>
    <xf numFmtId="166" fontId="8" fillId="0" borderId="2" xfId="0" applyFont="true" applyBorder="true" applyAlignment="false" applyProtection="false">
      <alignment horizontal="general" vertical="bottom" textRotation="0" wrapText="false" indent="0" shrinkToFit="false"/>
      <protection locked="true" hidden="false"/>
    </xf>
    <xf numFmtId="169" fontId="7" fillId="4" borderId="2" xfId="0" applyFont="true" applyBorder="true" applyAlignment="false" applyProtection="false">
      <alignment horizontal="general" vertical="bottom" textRotation="0" wrapText="false" indent="0" shrinkToFit="false"/>
      <protection locked="true" hidden="false"/>
    </xf>
    <xf numFmtId="166" fontId="10" fillId="3" borderId="2" xfId="0" applyFont="true" applyBorder="true" applyAlignment="false" applyProtection="false">
      <alignment horizontal="general" vertical="bottom" textRotation="0" wrapText="false" indent="0" shrinkToFit="false"/>
      <protection locked="true" hidden="false"/>
    </xf>
    <xf numFmtId="166" fontId="10" fillId="0" borderId="2" xfId="0" applyFont="true" applyBorder="true" applyAlignment="false" applyProtection="false">
      <alignment horizontal="general" vertical="bottom" textRotation="0" wrapText="false" indent="0" shrinkToFit="false"/>
      <protection locked="true" hidden="false"/>
    </xf>
    <xf numFmtId="167" fontId="7" fillId="0" borderId="2"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6E8B3D"/>
      <rgbColor rgb="FF800080"/>
      <rgbColor rgb="FF008080"/>
      <rgbColor rgb="FFBFBFBF"/>
      <rgbColor rgb="FF808080"/>
      <rgbColor rgb="FF9999FF"/>
      <rgbColor rgb="FF993366"/>
      <rgbColor rgb="FFFFF2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CE4E4"/>
      <rgbColor rgb="FF3366FF"/>
      <rgbColor rgb="FF33CCCC"/>
      <rgbColor rgb="FFA9C23F"/>
      <rgbColor rgb="FFFFCC00"/>
      <rgbColor rgb="FFFF9900"/>
      <rgbColor rgb="FFFF6600"/>
      <rgbColor rgb="FF666699"/>
      <rgbColor rgb="FF969696"/>
      <rgbColor rgb="FF1F3864"/>
      <rgbColor rgb="FF339966"/>
      <rgbColor rgb="FF003300"/>
      <rgbColor rgb="FF333300"/>
      <rgbColor rgb="FF993300"/>
      <rgbColor rgb="FF993366"/>
      <rgbColor rgb="FF2E5B9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8" min="2" style="0" width="16"/>
  </cols>
  <sheetData>
    <row r="1" customFormat="false" ht="24" hidden="false" customHeight="true" outlineLevel="0" collapsed="false">
      <c r="A1" s="1" t="s">
        <v>0</v>
      </c>
      <c r="B1" s="1"/>
      <c r="C1" s="1"/>
      <c r="D1" s="1"/>
      <c r="E1" s="1"/>
      <c r="F1" s="1"/>
      <c r="G1" s="1"/>
      <c r="H1" s="1"/>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row>
    <row r="6" customFormat="false" ht="15" hidden="false" customHeight="false" outlineLevel="0" collapsed="false">
      <c r="A6" s="4" t="s">
        <v>4</v>
      </c>
    </row>
    <row r="8" customFormat="false" ht="15" hidden="false" customHeight="false" outlineLevel="0" collapsed="false">
      <c r="A8" s="3" t="s">
        <v>5</v>
      </c>
    </row>
    <row r="9" customFormat="false" ht="15" hidden="false" customHeight="false" outlineLevel="0" collapsed="false">
      <c r="A9" s="4" t="s">
        <v>6</v>
      </c>
    </row>
    <row r="10" customFormat="false" ht="15" hidden="false" customHeight="false" outlineLevel="0" collapsed="false">
      <c r="A10" s="4" t="s">
        <v>7</v>
      </c>
    </row>
    <row r="11" customFormat="false" ht="15" hidden="false" customHeight="false" outlineLevel="0" collapsed="false">
      <c r="A11" s="4" t="s">
        <v>8</v>
      </c>
    </row>
    <row r="13" customFormat="false" ht="15" hidden="false" customHeight="false" outlineLevel="0" collapsed="false">
      <c r="A13" s="3" t="s">
        <v>9</v>
      </c>
    </row>
    <row r="14" customFormat="false" ht="15" hidden="false" customHeight="false" outlineLevel="0" collapsed="false">
      <c r="A14" s="5" t="s">
        <v>10</v>
      </c>
      <c r="B14" s="4" t="s">
        <v>11</v>
      </c>
    </row>
    <row r="15" customFormat="false" ht="15" hidden="false" customHeight="false" outlineLevel="0" collapsed="false">
      <c r="A15" s="5" t="s">
        <v>12</v>
      </c>
      <c r="B15" s="4" t="s">
        <v>13</v>
      </c>
    </row>
    <row r="16" customFormat="false" ht="15" hidden="false" customHeight="false" outlineLevel="0" collapsed="false">
      <c r="A16" s="5" t="s">
        <v>14</v>
      </c>
      <c r="B16" s="4" t="s">
        <v>15</v>
      </c>
    </row>
    <row r="17" customFormat="false" ht="15" hidden="false" customHeight="false" outlineLevel="0" collapsed="false">
      <c r="A17" s="5" t="s">
        <v>16</v>
      </c>
      <c r="B17" s="4" t="s">
        <v>17</v>
      </c>
    </row>
    <row r="18" customFormat="false" ht="15" hidden="false" customHeight="false" outlineLevel="0" collapsed="false">
      <c r="A18" s="5" t="s">
        <v>18</v>
      </c>
      <c r="B18" s="4" t="s">
        <v>19</v>
      </c>
    </row>
    <row r="19" customFormat="false" ht="15" hidden="false" customHeight="false" outlineLevel="0" collapsed="false">
      <c r="A19" s="5" t="s">
        <v>20</v>
      </c>
      <c r="B19" s="4" t="s">
        <v>21</v>
      </c>
    </row>
    <row r="20" customFormat="false" ht="15" hidden="false" customHeight="false" outlineLevel="0" collapsed="false">
      <c r="A20" s="5" t="s">
        <v>22</v>
      </c>
      <c r="B20" s="4" t="s">
        <v>23</v>
      </c>
    </row>
    <row r="21" customFormat="false" ht="15" hidden="false" customHeight="false" outlineLevel="0" collapsed="false">
      <c r="A21" s="5" t="s">
        <v>24</v>
      </c>
      <c r="B21" s="4" t="s">
        <v>25</v>
      </c>
    </row>
    <row r="22" customFormat="false" ht="15" hidden="false" customHeight="false" outlineLevel="0" collapsed="false">
      <c r="A22" s="5" t="s">
        <v>26</v>
      </c>
      <c r="B22" s="4" t="s">
        <v>27</v>
      </c>
    </row>
    <row r="23" customFormat="false" ht="15" hidden="false" customHeight="false" outlineLevel="0" collapsed="false">
      <c r="A23" s="5" t="s">
        <v>28</v>
      </c>
      <c r="B23" s="4" t="s">
        <v>29</v>
      </c>
    </row>
    <row r="25" customFormat="false" ht="15" hidden="false" customHeight="false" outlineLevel="0" collapsed="false">
      <c r="A25" s="3" t="s">
        <v>30</v>
      </c>
    </row>
    <row r="26" customFormat="false" ht="15" hidden="false" customHeight="false" outlineLevel="0" collapsed="false">
      <c r="A26" s="6" t="s">
        <v>31</v>
      </c>
      <c r="B26" s="4" t="s">
        <v>32</v>
      </c>
    </row>
    <row r="27" customFormat="false" ht="15" hidden="false" customHeight="false" outlineLevel="0" collapsed="false">
      <c r="A27" s="5" t="s">
        <v>33</v>
      </c>
      <c r="B27" s="4" t="s">
        <v>34</v>
      </c>
    </row>
    <row r="28" customFormat="false" ht="15" hidden="false" customHeight="false" outlineLevel="0" collapsed="false">
      <c r="A28" s="7" t="s">
        <v>35</v>
      </c>
      <c r="B28" s="4" t="s">
        <v>36</v>
      </c>
    </row>
    <row r="29" customFormat="false" ht="15" hidden="false" customHeight="false" outlineLevel="0" collapsed="false">
      <c r="A29" s="8" t="s">
        <v>37</v>
      </c>
      <c r="B29" s="4" t="s">
        <v>38</v>
      </c>
    </row>
    <row r="31" customFormat="false" ht="15" hidden="false" customHeight="false" outlineLevel="0" collapsed="false">
      <c r="A31" s="3" t="s">
        <v>39</v>
      </c>
    </row>
    <row r="32" customFormat="false" ht="15" hidden="false" customHeight="false" outlineLevel="0" collapsed="false">
      <c r="A32" s="4" t="s">
        <v>40</v>
      </c>
    </row>
    <row r="33" customFormat="false" ht="15" hidden="false" customHeight="false" outlineLevel="0" collapsed="false">
      <c r="A33" s="4" t="s">
        <v>41</v>
      </c>
    </row>
    <row r="34" customFormat="false" ht="15" hidden="false" customHeight="false" outlineLevel="0" collapsed="false">
      <c r="A34" s="4" t="s">
        <v>42</v>
      </c>
    </row>
    <row r="35" customFormat="false" ht="15" hidden="false" customHeight="false" outlineLevel="0" collapsed="false">
      <c r="A35" s="4" t="s">
        <v>43</v>
      </c>
    </row>
    <row r="36" customFormat="false" ht="15" hidden="false" customHeight="false" outlineLevel="0" collapsed="false">
      <c r="A36" s="4" t="s">
        <v>44</v>
      </c>
    </row>
    <row r="38" customFormat="false" ht="15" hidden="false" customHeight="false" outlineLevel="0" collapsed="false">
      <c r="A38" s="9" t="s">
        <v>45</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2"/>
    <col collapsed="false" customWidth="true" hidden="false" outlineLevel="0" max="3" min="3" style="0" width="14"/>
    <col collapsed="false" customWidth="true" hidden="false" outlineLevel="0" max="4" min="4" style="0" width="60"/>
    <col collapsed="false" customWidth="true" hidden="false" outlineLevel="0" max="6" min="5" style="0" width="12"/>
  </cols>
  <sheetData>
    <row r="1" customFormat="false" ht="24" hidden="false" customHeight="true" outlineLevel="0" collapsed="false">
      <c r="A1" s="1" t="s">
        <v>46</v>
      </c>
      <c r="B1" s="1"/>
      <c r="C1" s="1"/>
      <c r="D1" s="1"/>
      <c r="E1" s="1"/>
      <c r="F1" s="1"/>
    </row>
    <row r="2" customFormat="false" ht="15" hidden="false" customHeight="false" outlineLevel="0" collapsed="false">
      <c r="A2" s="2" t="s">
        <v>47</v>
      </c>
    </row>
    <row r="4" customFormat="false" ht="15" hidden="false" customHeight="false" outlineLevel="0" collapsed="false">
      <c r="A4" s="3" t="s">
        <v>48</v>
      </c>
    </row>
    <row r="5" customFormat="false" ht="15" hidden="false" customHeight="false" outlineLevel="0" collapsed="false">
      <c r="A5" s="5" t="s">
        <v>49</v>
      </c>
      <c r="C5" s="10" t="s">
        <v>50</v>
      </c>
      <c r="D5" s="9" t="s">
        <v>51</v>
      </c>
    </row>
    <row r="6" customFormat="false" ht="15" hidden="false" customHeight="false" outlineLevel="0" collapsed="false">
      <c r="A6" s="5" t="s">
        <v>52</v>
      </c>
      <c r="C6" s="10" t="s">
        <v>53</v>
      </c>
      <c r="D6" s="9" t="s">
        <v>54</v>
      </c>
    </row>
    <row r="7" customFormat="false" ht="15" hidden="false" customHeight="false" outlineLevel="0" collapsed="false">
      <c r="A7" s="5" t="s">
        <v>55</v>
      </c>
      <c r="C7" s="11" t="n">
        <f aca="false">MATCH($C$6,'Raw Data'!$F$5:$S$5,0)</f>
        <v>1</v>
      </c>
      <c r="D7" s="9" t="s">
        <v>56</v>
      </c>
    </row>
    <row r="9" customFormat="false" ht="15" hidden="false" customHeight="false" outlineLevel="0" collapsed="false">
      <c r="A9" s="3" t="s">
        <v>57</v>
      </c>
    </row>
    <row r="10" customFormat="false" ht="15" hidden="false" customHeight="false" outlineLevel="0" collapsed="false">
      <c r="A10" s="5" t="s">
        <v>58</v>
      </c>
      <c r="C10" s="10" t="s">
        <v>59</v>
      </c>
    </row>
    <row r="11" customFormat="false" ht="15" hidden="false" customHeight="false" outlineLevel="0" collapsed="false">
      <c r="A11" s="5" t="s">
        <v>60</v>
      </c>
      <c r="C11" s="10" t="n">
        <v>2</v>
      </c>
      <c r="D11" s="9" t="s">
        <v>61</v>
      </c>
    </row>
    <row r="12" customFormat="false" ht="15" hidden="false" customHeight="false" outlineLevel="0" collapsed="false">
      <c r="A12" s="5" t="s">
        <v>62</v>
      </c>
      <c r="C12" s="12" t="n">
        <v>0</v>
      </c>
      <c r="D12" s="9" t="s">
        <v>63</v>
      </c>
    </row>
    <row r="13" customFormat="false" ht="15" hidden="false" customHeight="false" outlineLevel="0" collapsed="false">
      <c r="A13" s="5" t="s">
        <v>64</v>
      </c>
      <c r="C13" s="13" t="n">
        <v>0.02</v>
      </c>
    </row>
    <row r="14" customFormat="false" ht="15" hidden="false" customHeight="false" outlineLevel="0" collapsed="false">
      <c r="A14" s="5" t="s">
        <v>65</v>
      </c>
      <c r="C14" s="13" t="n">
        <v>-0.02</v>
      </c>
    </row>
    <row r="16" customFormat="false" ht="15" hidden="false" customHeight="false" outlineLevel="0" collapsed="false">
      <c r="A16" s="3" t="s">
        <v>66</v>
      </c>
      <c r="D16" s="9" t="s">
        <v>67</v>
      </c>
    </row>
    <row r="17" customFormat="false" ht="15" hidden="false" customHeight="false" outlineLevel="0" collapsed="false">
      <c r="A17" s="4" t="s">
        <v>68</v>
      </c>
      <c r="C17" s="13" t="n">
        <v>0.38</v>
      </c>
    </row>
    <row r="18" customFormat="false" ht="15" hidden="false" customHeight="false" outlineLevel="0" collapsed="false">
      <c r="A18" s="4" t="s">
        <v>69</v>
      </c>
      <c r="C18" s="13" t="n">
        <v>0.2</v>
      </c>
    </row>
    <row r="19" customFormat="false" ht="15" hidden="false" customHeight="false" outlineLevel="0" collapsed="false">
      <c r="A19" s="4" t="s">
        <v>70</v>
      </c>
      <c r="C19" s="13" t="n">
        <v>0.2</v>
      </c>
    </row>
    <row r="20" customFormat="false" ht="15" hidden="false" customHeight="false" outlineLevel="0" collapsed="false">
      <c r="A20" s="4" t="s">
        <v>71</v>
      </c>
      <c r="C20" s="13" t="n">
        <v>0.07</v>
      </c>
    </row>
    <row r="21" customFormat="false" ht="15" hidden="false" customHeight="false" outlineLevel="0" collapsed="false">
      <c r="A21" s="4" t="s">
        <v>72</v>
      </c>
      <c r="C21" s="13" t="n">
        <v>0.07</v>
      </c>
    </row>
    <row r="22" customFormat="false" ht="15" hidden="false" customHeight="false" outlineLevel="0" collapsed="false">
      <c r="A22" s="4" t="s">
        <v>73</v>
      </c>
      <c r="C22" s="13" t="n">
        <v>0.08</v>
      </c>
    </row>
    <row r="23" customFormat="false" ht="15" hidden="false" customHeight="false" outlineLevel="0" collapsed="false">
      <c r="A23" s="5" t="s">
        <v>74</v>
      </c>
      <c r="C23" s="14" t="n">
        <f aca="false">SUM(C17:C22)</f>
        <v>1</v>
      </c>
      <c r="D23" s="9" t="s">
        <v>75</v>
      </c>
    </row>
    <row r="25" customFormat="false" ht="15" hidden="false" customHeight="false" outlineLevel="0" collapsed="false">
      <c r="A25" s="3" t="s">
        <v>76</v>
      </c>
    </row>
    <row r="26" customFormat="false" ht="15" hidden="false" customHeight="false" outlineLevel="0" collapsed="false">
      <c r="A26" s="5" t="s">
        <v>77</v>
      </c>
      <c r="D26" s="9" t="s">
        <v>78</v>
      </c>
    </row>
    <row r="27" customFormat="false" ht="15" hidden="false" customHeight="false" outlineLevel="0" collapsed="false">
      <c r="A27" s="4" t="s">
        <v>68</v>
      </c>
      <c r="C27" s="13" t="n">
        <v>0.22</v>
      </c>
    </row>
    <row r="28" customFormat="false" ht="15" hidden="false" customHeight="false" outlineLevel="0" collapsed="false">
      <c r="A28" s="4" t="s">
        <v>69</v>
      </c>
      <c r="C28" s="13" t="n">
        <v>0.23</v>
      </c>
    </row>
    <row r="29" customFormat="false" ht="15" hidden="false" customHeight="false" outlineLevel="0" collapsed="false">
      <c r="A29" s="4" t="s">
        <v>70</v>
      </c>
      <c r="C29" s="13" t="n">
        <v>0.25</v>
      </c>
    </row>
    <row r="30" customFormat="false" ht="15" hidden="false" customHeight="false" outlineLevel="0" collapsed="false">
      <c r="A30" s="4" t="s">
        <v>71</v>
      </c>
      <c r="C30" s="13" t="n">
        <v>0.22</v>
      </c>
    </row>
    <row r="31" customFormat="false" ht="15" hidden="false" customHeight="false" outlineLevel="0" collapsed="false">
      <c r="A31" s="4" t="s">
        <v>72</v>
      </c>
      <c r="C31" s="13" t="n">
        <v>0.3</v>
      </c>
    </row>
    <row r="32" customFormat="false" ht="15" hidden="false" customHeight="false" outlineLevel="0" collapsed="false">
      <c r="A32" s="4" t="s">
        <v>73</v>
      </c>
      <c r="C32" s="13" t="n">
        <v>0.32</v>
      </c>
    </row>
    <row r="34" customFormat="false" ht="15" hidden="false" customHeight="false" outlineLevel="0" collapsed="false">
      <c r="A34" s="5" t="s">
        <v>79</v>
      </c>
      <c r="C34" s="13" t="n">
        <v>0.35</v>
      </c>
      <c r="D34" s="9" t="s">
        <v>80</v>
      </c>
    </row>
    <row r="35" customFormat="false" ht="15" hidden="false" customHeight="false" outlineLevel="0" collapsed="false">
      <c r="A35" s="5" t="s">
        <v>81</v>
      </c>
      <c r="C35" s="13" t="n">
        <v>0.65</v>
      </c>
      <c r="D35" s="9" t="s">
        <v>82</v>
      </c>
    </row>
    <row r="36" customFormat="false" ht="15" hidden="false" customHeight="false" outlineLevel="0" collapsed="false">
      <c r="A36" s="5" t="s">
        <v>83</v>
      </c>
      <c r="C36" s="14" t="n">
        <f aca="false">C34+C35</f>
        <v>1</v>
      </c>
    </row>
    <row r="37" customFormat="false" ht="15" hidden="false" customHeight="false" outlineLevel="0" collapsed="false">
      <c r="A37" s="5" t="s">
        <v>84</v>
      </c>
      <c r="C37" s="13" t="n">
        <v>0.5</v>
      </c>
      <c r="D37" s="9" t="s">
        <v>85</v>
      </c>
    </row>
    <row r="40" customFormat="false" ht="15" hidden="false" customHeight="false" outlineLevel="0" collapsed="false">
      <c r="A40" s="9" t="s">
        <v>86</v>
      </c>
    </row>
  </sheetData>
  <mergeCells count="1">
    <mergeCell ref="A1:F1"/>
  </mergeCells>
  <dataValidations count="2">
    <dataValidation allowBlank="false" errorStyle="stop" operator="between" showDropDown="false" showErrorMessage="false" showInputMessage="false" sqref="C5" type="list">
      <formula1>"INR,Local"</formula1>
      <formula2>0</formula2>
    </dataValidation>
    <dataValidation allowBlank="false" errorStyle="stop" operator="between" showDropDown="false" showErrorMessage="false" showInputMessage="false" sqref="C6" type="list">
      <formula1>"Jul-25,Aug-25,Sept-25,Oct-25,Nov-25,Dec-25,Jan-26,Feb-26,Mar-26,Apr-26,May-26,June-26,July-26,Aug-26"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5" topLeftCell="F6" activePane="bottomRight" state="frozen"/>
      <selection pane="topLeft" activeCell="A1" activeCellId="0" sqref="A1"/>
      <selection pane="topRight" activeCell="F1" activeCellId="0" sqref="F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2"/>
    <col collapsed="false" customWidth="true" hidden="false" outlineLevel="0" max="3" min="3" style="0" width="12"/>
    <col collapsed="false" customWidth="true" hidden="false" outlineLevel="0" max="5" min="4" style="0" width="8"/>
    <col collapsed="false" customWidth="true" hidden="false" outlineLevel="0" max="19" min="6" style="0" width="10.51"/>
    <col collapsed="false" customWidth="true" hidden="false" outlineLevel="0" max="21" min="20" style="0" width="9"/>
    <col collapsed="false" customWidth="true" hidden="false" outlineLevel="0" max="22" min="22" style="0" width="46"/>
  </cols>
  <sheetData>
    <row r="1" customFormat="false" ht="24" hidden="false" customHeight="true" outlineLevel="0" collapsed="false">
      <c r="A1" s="1" t="s">
        <v>87</v>
      </c>
      <c r="B1" s="1"/>
      <c r="C1" s="1"/>
      <c r="D1" s="1"/>
      <c r="E1" s="1"/>
      <c r="F1" s="1"/>
      <c r="G1" s="1"/>
      <c r="H1" s="1"/>
      <c r="I1" s="1"/>
      <c r="J1" s="1"/>
      <c r="K1" s="1"/>
      <c r="L1" s="1"/>
      <c r="M1" s="1"/>
      <c r="N1" s="1"/>
      <c r="O1" s="1"/>
      <c r="P1" s="1"/>
      <c r="Q1" s="1"/>
      <c r="R1" s="1"/>
      <c r="S1" s="1"/>
      <c r="T1" s="1"/>
      <c r="U1" s="1"/>
    </row>
    <row r="2" customFormat="false" ht="15" hidden="false" customHeight="false" outlineLevel="0" collapsed="false">
      <c r="A2" s="2" t="s">
        <v>88</v>
      </c>
    </row>
    <row r="5" customFormat="false" ht="25.5" hidden="false" customHeight="true" outlineLevel="0" collapsed="false">
      <c r="A5" s="15" t="s">
        <v>89</v>
      </c>
      <c r="B5" s="16" t="s">
        <v>90</v>
      </c>
      <c r="C5" s="16" t="s">
        <v>91</v>
      </c>
      <c r="D5" s="16" t="s">
        <v>92</v>
      </c>
      <c r="E5" s="16" t="s">
        <v>93</v>
      </c>
      <c r="F5" s="16" t="s">
        <v>53</v>
      </c>
      <c r="G5" s="16" t="s">
        <v>94</v>
      </c>
      <c r="H5" s="16" t="s">
        <v>95</v>
      </c>
      <c r="I5" s="16" t="s">
        <v>96</v>
      </c>
      <c r="J5" s="16" t="s">
        <v>97</v>
      </c>
      <c r="K5" s="16" t="s">
        <v>98</v>
      </c>
      <c r="L5" s="16" t="s">
        <v>99</v>
      </c>
      <c r="M5" s="16" t="s">
        <v>100</v>
      </c>
      <c r="N5" s="16" t="s">
        <v>101</v>
      </c>
      <c r="O5" s="16" t="s">
        <v>102</v>
      </c>
      <c r="P5" s="16" t="s">
        <v>103</v>
      </c>
      <c r="Q5" s="16" t="s">
        <v>104</v>
      </c>
      <c r="R5" s="16" t="s">
        <v>105</v>
      </c>
      <c r="S5" s="16" t="s">
        <v>59</v>
      </c>
      <c r="T5" s="16" t="s">
        <v>106</v>
      </c>
      <c r="U5" s="16" t="s">
        <v>107</v>
      </c>
      <c r="V5" s="15" t="s">
        <v>108</v>
      </c>
    </row>
    <row r="6" customFormat="false" ht="15" hidden="false" customHeight="false" outlineLevel="0" collapsed="false">
      <c r="A6" s="17" t="s">
        <v>109</v>
      </c>
      <c r="B6" s="18"/>
      <c r="C6" s="18"/>
      <c r="D6" s="18"/>
      <c r="E6" s="18"/>
      <c r="F6" s="18"/>
      <c r="G6" s="18"/>
      <c r="H6" s="18"/>
      <c r="I6" s="18"/>
      <c r="J6" s="18"/>
      <c r="K6" s="18"/>
      <c r="L6" s="18"/>
      <c r="M6" s="18"/>
      <c r="N6" s="18"/>
      <c r="O6" s="18"/>
      <c r="P6" s="18"/>
      <c r="Q6" s="18"/>
      <c r="R6" s="18"/>
      <c r="S6" s="18"/>
      <c r="T6" s="18"/>
      <c r="U6" s="18"/>
      <c r="V6" s="18"/>
    </row>
    <row r="7" customFormat="false" ht="15" hidden="false" customHeight="false" outlineLevel="0" collapsed="false">
      <c r="A7" s="11" t="s">
        <v>110</v>
      </c>
      <c r="B7" s="11" t="s">
        <v>111</v>
      </c>
      <c r="C7" s="11" t="s">
        <v>112</v>
      </c>
      <c r="D7" s="11" t="s">
        <v>50</v>
      </c>
      <c r="E7" s="11" t="n">
        <v>5</v>
      </c>
      <c r="F7" s="19" t="n">
        <v>50950</v>
      </c>
      <c r="G7" s="19" t="n">
        <v>51437.5</v>
      </c>
      <c r="H7" s="19" t="n">
        <v>50812.5</v>
      </c>
      <c r="I7" s="19" t="n">
        <v>49812.5</v>
      </c>
      <c r="J7" s="19" t="n">
        <v>48187.5</v>
      </c>
      <c r="K7" s="19" t="n">
        <v>49080</v>
      </c>
      <c r="L7" s="19" t="n">
        <v>53612.5</v>
      </c>
      <c r="M7" s="19" t="n">
        <v>55212.5</v>
      </c>
      <c r="N7" s="19" t="n">
        <v>57625</v>
      </c>
      <c r="O7" s="19" t="n">
        <v>60550</v>
      </c>
      <c r="P7" s="19" t="n">
        <v>59750</v>
      </c>
      <c r="Q7" s="19" t="n">
        <v>61375</v>
      </c>
      <c r="R7" s="19" t="n">
        <v>60890</v>
      </c>
      <c r="S7" s="19" t="n">
        <v>61544</v>
      </c>
      <c r="T7" s="20" t="n">
        <f aca="false">IFERROR(S7/R7-1,"")</f>
        <v>0.0107406799146001</v>
      </c>
      <c r="U7" s="20" t="n">
        <f aca="false">IFERROR(S7/F7-1,"")</f>
        <v>0.20792934249264</v>
      </c>
      <c r="V7" s="9" t="s">
        <v>113</v>
      </c>
    </row>
    <row r="8" customFormat="false" ht="15" hidden="false" customHeight="false" outlineLevel="0" collapsed="false">
      <c r="A8" s="11" t="s">
        <v>114</v>
      </c>
      <c r="B8" s="11" t="s">
        <v>111</v>
      </c>
      <c r="C8" s="11" t="s">
        <v>112</v>
      </c>
      <c r="D8" s="11" t="s">
        <v>50</v>
      </c>
      <c r="E8" s="11" t="n">
        <v>6</v>
      </c>
      <c r="F8" s="19" t="n">
        <v>56450</v>
      </c>
      <c r="G8" s="19" t="n">
        <v>57000</v>
      </c>
      <c r="H8" s="19" t="n">
        <v>56500</v>
      </c>
      <c r="I8" s="19" t="n">
        <v>55500</v>
      </c>
      <c r="J8" s="19" t="n">
        <v>54937.5</v>
      </c>
      <c r="K8" s="19" t="n">
        <v>54870</v>
      </c>
      <c r="L8" s="19" t="n">
        <v>57850</v>
      </c>
      <c r="M8" s="19" t="n">
        <v>59637.5</v>
      </c>
      <c r="N8" s="19" t="n">
        <v>62625</v>
      </c>
      <c r="O8" s="19" t="n">
        <v>66450</v>
      </c>
      <c r="P8" s="19" t="n">
        <v>65750</v>
      </c>
      <c r="Q8" s="19" t="n">
        <v>65750</v>
      </c>
      <c r="R8" s="19" t="n">
        <v>65150</v>
      </c>
      <c r="S8" s="19" t="n">
        <v>65625</v>
      </c>
      <c r="T8" s="20" t="n">
        <f aca="false">IFERROR(S8/R8-1,"")</f>
        <v>0.00729086722947048</v>
      </c>
      <c r="U8" s="20" t="n">
        <f aca="false">IFERROR(S8/F8-1,"")</f>
        <v>0.162533215234721</v>
      </c>
      <c r="V8" s="9" t="s">
        <v>113</v>
      </c>
    </row>
    <row r="9" customFormat="false" ht="15" hidden="false" customHeight="false" outlineLevel="0" collapsed="false">
      <c r="A9" s="11" t="s">
        <v>115</v>
      </c>
      <c r="B9" s="11" t="s">
        <v>111</v>
      </c>
      <c r="C9" s="11" t="s">
        <v>112</v>
      </c>
      <c r="D9" s="11" t="s">
        <v>50</v>
      </c>
      <c r="E9" s="11" t="n">
        <v>7</v>
      </c>
      <c r="F9" s="19" t="n">
        <v>62000</v>
      </c>
      <c r="G9" s="19" t="n">
        <v>62000</v>
      </c>
      <c r="H9" s="19" t="n">
        <v>61250</v>
      </c>
      <c r="I9" s="19" t="n">
        <v>61000</v>
      </c>
      <c r="J9" s="19" t="n">
        <v>60250</v>
      </c>
      <c r="K9" s="19" t="n">
        <v>60000</v>
      </c>
      <c r="L9" s="19" t="n">
        <v>60800</v>
      </c>
      <c r="M9" s="19" t="n">
        <v>62000</v>
      </c>
      <c r="N9" s="19" t="n">
        <v>62000</v>
      </c>
      <c r="O9" s="19" t="n">
        <v>67380</v>
      </c>
      <c r="P9" s="19" t="n">
        <v>67330</v>
      </c>
      <c r="Q9" s="19" t="n">
        <v>65630</v>
      </c>
      <c r="R9" s="19" t="n">
        <v>62330</v>
      </c>
      <c r="S9" s="19" t="n">
        <v>62130</v>
      </c>
      <c r="T9" s="20" t="n">
        <f aca="false">IFERROR(S9/R9-1,"")</f>
        <v>-0.00320872773945136</v>
      </c>
      <c r="U9" s="20" t="n">
        <f aca="false">IFERROR(S9/F9-1,"")</f>
        <v>0.00209677419354848</v>
      </c>
      <c r="V9" s="9"/>
    </row>
    <row r="10" customFormat="false" ht="15" hidden="false" customHeight="false" outlineLevel="0" collapsed="false">
      <c r="A10" s="11" t="s">
        <v>116</v>
      </c>
      <c r="B10" s="11" t="s">
        <v>111</v>
      </c>
      <c r="C10" s="11" t="s">
        <v>112</v>
      </c>
      <c r="D10" s="11" t="s">
        <v>50</v>
      </c>
      <c r="E10" s="11" t="n">
        <v>8</v>
      </c>
      <c r="F10" s="19" t="n">
        <v>61000</v>
      </c>
      <c r="G10" s="19" t="n">
        <v>61000</v>
      </c>
      <c r="H10" s="19" t="n">
        <v>60250</v>
      </c>
      <c r="I10" s="19" t="n">
        <v>60000</v>
      </c>
      <c r="J10" s="19" t="n">
        <v>59250</v>
      </c>
      <c r="K10" s="19" t="n">
        <v>59000</v>
      </c>
      <c r="L10" s="19" t="n">
        <v>59800</v>
      </c>
      <c r="M10" s="19" t="n">
        <v>61000</v>
      </c>
      <c r="N10" s="19" t="n">
        <v>61000</v>
      </c>
      <c r="O10" s="19" t="n">
        <v>64250</v>
      </c>
      <c r="P10" s="19" t="n">
        <v>64200</v>
      </c>
      <c r="Q10" s="19" t="n">
        <v>62500</v>
      </c>
      <c r="R10" s="19" t="n">
        <v>59200</v>
      </c>
      <c r="S10" s="19" t="n">
        <v>59000</v>
      </c>
      <c r="T10" s="20" t="n">
        <f aca="false">IFERROR(S10/R10-1,"")</f>
        <v>-0.0033783783783784</v>
      </c>
      <c r="U10" s="20" t="n">
        <f aca="false">IFERROR(S10/F10-1,"")</f>
        <v>-0.0327868852459017</v>
      </c>
      <c r="V10" s="9"/>
    </row>
    <row r="11" customFormat="false" ht="15" hidden="false" customHeight="false" outlineLevel="0" collapsed="false">
      <c r="A11" s="11" t="s">
        <v>117</v>
      </c>
      <c r="B11" s="11" t="s">
        <v>111</v>
      </c>
      <c r="C11" s="11" t="s">
        <v>112</v>
      </c>
      <c r="D11" s="11" t="s">
        <v>50</v>
      </c>
      <c r="E11" s="11" t="n">
        <v>9</v>
      </c>
      <c r="F11" s="19" t="n">
        <v>37625</v>
      </c>
      <c r="G11" s="19" t="n">
        <v>37600</v>
      </c>
      <c r="H11" s="19" t="n">
        <v>39250</v>
      </c>
      <c r="I11" s="19" t="n">
        <v>39200</v>
      </c>
      <c r="J11" s="19" t="n">
        <v>39000</v>
      </c>
      <c r="K11" s="19" t="n">
        <v>38250</v>
      </c>
      <c r="L11" s="19" t="n">
        <v>41600</v>
      </c>
      <c r="M11" s="19" t="n">
        <v>42667</v>
      </c>
      <c r="N11" s="19" t="n">
        <v>43500</v>
      </c>
      <c r="O11" s="19" t="n">
        <v>45250</v>
      </c>
      <c r="P11" s="19" t="n">
        <v>45500</v>
      </c>
      <c r="Q11" s="19" t="n">
        <v>44250</v>
      </c>
      <c r="R11" s="19" t="n">
        <v>46300</v>
      </c>
      <c r="S11" s="19" t="n">
        <v>48750</v>
      </c>
      <c r="T11" s="20" t="n">
        <f aca="false">IFERROR(S11/R11-1,"")</f>
        <v>0.0529157667386608</v>
      </c>
      <c r="U11" s="20" t="n">
        <f aca="false">IFERROR(S11/F11-1,"")</f>
        <v>0.295681063122924</v>
      </c>
      <c r="V11" s="9"/>
    </row>
    <row r="12" customFormat="false" ht="15" hidden="false" customHeight="false" outlineLevel="0" collapsed="false">
      <c r="A12" s="11" t="s">
        <v>118</v>
      </c>
      <c r="B12" s="11" t="s">
        <v>111</v>
      </c>
      <c r="C12" s="11" t="s">
        <v>112</v>
      </c>
      <c r="D12" s="11" t="s">
        <v>50</v>
      </c>
      <c r="E12" s="11" t="n">
        <v>10</v>
      </c>
      <c r="F12" s="19" t="n">
        <v>193800</v>
      </c>
      <c r="G12" s="19" t="n">
        <v>197500</v>
      </c>
      <c r="H12" s="19" t="n">
        <v>200500</v>
      </c>
      <c r="I12" s="19" t="n">
        <v>200000</v>
      </c>
      <c r="J12" s="19" t="n">
        <v>192500</v>
      </c>
      <c r="K12" s="19" t="n">
        <v>190000</v>
      </c>
      <c r="L12" s="19" t="n">
        <v>198750</v>
      </c>
      <c r="M12" s="19" t="n">
        <v>203500</v>
      </c>
      <c r="N12" s="19" t="n">
        <v>215000</v>
      </c>
      <c r="O12" s="19" t="n">
        <v>226000</v>
      </c>
      <c r="P12" s="19" t="n">
        <v>231375</v>
      </c>
      <c r="Q12" s="19" t="n">
        <v>224500</v>
      </c>
      <c r="R12" s="19" t="n">
        <v>221000</v>
      </c>
      <c r="S12" s="19" t="n">
        <v>225000</v>
      </c>
      <c r="T12" s="20" t="n">
        <f aca="false">IFERROR(S12/R12-1,"")</f>
        <v>0.0180995475113122</v>
      </c>
      <c r="U12" s="20" t="n">
        <f aca="false">IFERROR(S12/F12-1,"")</f>
        <v>0.160990712074304</v>
      </c>
      <c r="V12" s="9" t="s">
        <v>113</v>
      </c>
    </row>
    <row r="13" customFormat="false" ht="15" hidden="false" customHeight="false" outlineLevel="0" collapsed="false">
      <c r="A13" s="11" t="s">
        <v>119</v>
      </c>
      <c r="B13" s="11" t="s">
        <v>111</v>
      </c>
      <c r="C13" s="11" t="s">
        <v>112</v>
      </c>
      <c r="D13" s="11" t="s">
        <v>50</v>
      </c>
      <c r="E13" s="11" t="n">
        <v>11</v>
      </c>
      <c r="F13" s="19" t="n">
        <v>184000</v>
      </c>
      <c r="G13" s="19" t="n">
        <v>187125</v>
      </c>
      <c r="H13" s="19" t="n">
        <v>190500</v>
      </c>
      <c r="I13" s="19" t="n">
        <v>190000</v>
      </c>
      <c r="J13" s="19" t="n">
        <v>182500</v>
      </c>
      <c r="K13" s="19" t="n">
        <v>181600</v>
      </c>
      <c r="L13" s="19" t="n">
        <v>190500</v>
      </c>
      <c r="M13" s="19" t="n">
        <v>194250</v>
      </c>
      <c r="N13" s="19" t="n">
        <v>208000</v>
      </c>
      <c r="O13" s="19" t="n">
        <v>216400</v>
      </c>
      <c r="P13" s="19" t="n">
        <v>224250</v>
      </c>
      <c r="Q13" s="19" t="n">
        <v>218250</v>
      </c>
      <c r="R13" s="19" t="n">
        <v>214000</v>
      </c>
      <c r="S13" s="19" t="n">
        <v>218750</v>
      </c>
      <c r="T13" s="20" t="n">
        <f aca="false">IFERROR(S13/R13-1,"")</f>
        <v>0.0221962616822431</v>
      </c>
      <c r="U13" s="20" t="n">
        <f aca="false">IFERROR(S13/F13-1,"")</f>
        <v>0.188858695652174</v>
      </c>
      <c r="V13" s="9" t="s">
        <v>113</v>
      </c>
    </row>
    <row r="14" customFormat="false" ht="15" hidden="false" customHeight="false" outlineLevel="0" collapsed="false">
      <c r="A14" s="11" t="s">
        <v>120</v>
      </c>
      <c r="B14" s="11" t="s">
        <v>111</v>
      </c>
      <c r="C14" s="11" t="s">
        <v>112</v>
      </c>
      <c r="D14" s="11" t="s">
        <v>50</v>
      </c>
      <c r="E14" s="11" t="n">
        <v>12</v>
      </c>
      <c r="F14" s="19" t="n">
        <v>36325</v>
      </c>
      <c r="G14" s="19" t="n">
        <v>36520</v>
      </c>
      <c r="H14" s="19" t="n">
        <v>35425</v>
      </c>
      <c r="I14" s="19" t="n">
        <v>34720</v>
      </c>
      <c r="J14" s="19" t="n">
        <v>33550</v>
      </c>
      <c r="K14" s="19" t="n">
        <v>33575</v>
      </c>
      <c r="L14" s="19" t="n">
        <v>35300</v>
      </c>
      <c r="M14" s="19" t="n">
        <v>37167</v>
      </c>
      <c r="N14" s="19" t="n">
        <v>38900</v>
      </c>
      <c r="O14" s="19" t="n">
        <v>40950</v>
      </c>
      <c r="P14" s="19" t="n">
        <v>40060</v>
      </c>
      <c r="Q14" s="19" t="n">
        <v>38700</v>
      </c>
      <c r="R14" s="19" t="n">
        <v>36780</v>
      </c>
      <c r="S14" s="19" t="n">
        <v>37275</v>
      </c>
      <c r="T14" s="20" t="n">
        <f aca="false">IFERROR(S14/R14-1,"")</f>
        <v>0.0134584013050572</v>
      </c>
      <c r="U14" s="20" t="n">
        <f aca="false">IFERROR(S14/F14-1,"")</f>
        <v>0.026152787336545</v>
      </c>
      <c r="V14" s="9"/>
    </row>
    <row r="15" customFormat="false" ht="15" hidden="false" customHeight="false" outlineLevel="0" collapsed="false">
      <c r="A15" s="17" t="s">
        <v>121</v>
      </c>
      <c r="B15" s="18"/>
      <c r="C15" s="18"/>
      <c r="D15" s="18"/>
      <c r="E15" s="18"/>
      <c r="F15" s="18"/>
      <c r="G15" s="18"/>
      <c r="H15" s="18"/>
      <c r="I15" s="18"/>
      <c r="J15" s="18"/>
      <c r="K15" s="18"/>
      <c r="L15" s="18"/>
      <c r="M15" s="18"/>
      <c r="N15" s="18"/>
      <c r="O15" s="18"/>
      <c r="P15" s="18"/>
      <c r="Q15" s="18"/>
      <c r="R15" s="18"/>
      <c r="S15" s="18"/>
      <c r="T15" s="18"/>
      <c r="U15" s="18"/>
      <c r="V15" s="18"/>
    </row>
    <row r="16" customFormat="false" ht="15" hidden="false" customHeight="false" outlineLevel="0" collapsed="false">
      <c r="A16" s="11" t="s">
        <v>122</v>
      </c>
      <c r="B16" s="11" t="s">
        <v>123</v>
      </c>
      <c r="C16" s="11" t="s">
        <v>124</v>
      </c>
      <c r="D16" s="11" t="s">
        <v>125</v>
      </c>
      <c r="E16" s="11" t="n">
        <v>13</v>
      </c>
      <c r="F16" s="21" t="n">
        <v>193</v>
      </c>
      <c r="G16" s="21" t="n">
        <v>203</v>
      </c>
      <c r="H16" s="21" t="n">
        <v>203</v>
      </c>
      <c r="I16" s="21" t="n">
        <v>208</v>
      </c>
      <c r="J16" s="21" t="n">
        <v>214</v>
      </c>
      <c r="K16" s="21" t="n">
        <v>227</v>
      </c>
      <c r="L16" s="21" t="n">
        <v>248</v>
      </c>
      <c r="M16" s="21" t="n">
        <v>263</v>
      </c>
      <c r="N16" s="21" t="n">
        <v>249</v>
      </c>
      <c r="O16" s="21" t="n">
        <v>255</v>
      </c>
      <c r="P16" s="21" t="n">
        <v>264</v>
      </c>
      <c r="Q16" s="21" t="n">
        <v>266</v>
      </c>
      <c r="R16" s="21" t="n">
        <v>252</v>
      </c>
      <c r="S16" s="21" t="n">
        <v>253</v>
      </c>
      <c r="T16" s="20" t="n">
        <f aca="false">IFERROR(S16/R16-1,"")</f>
        <v>0.00396825396825395</v>
      </c>
      <c r="U16" s="20" t="n">
        <f aca="false">IFERROR(S16/F16-1,"")</f>
        <v>0.310880829015544</v>
      </c>
      <c r="V16" s="9"/>
    </row>
    <row r="17" customFormat="false" ht="15" hidden="false" customHeight="false" outlineLevel="0" collapsed="false">
      <c r="A17" s="11" t="s">
        <v>126</v>
      </c>
      <c r="B17" s="11" t="s">
        <v>123</v>
      </c>
      <c r="C17" s="11" t="s">
        <v>124</v>
      </c>
      <c r="D17" s="11" t="s">
        <v>125</v>
      </c>
      <c r="E17" s="11" t="n">
        <v>14</v>
      </c>
      <c r="F17" s="21" t="n">
        <v>99</v>
      </c>
      <c r="G17" s="21" t="n">
        <v>102</v>
      </c>
      <c r="H17" s="21" t="n">
        <v>105</v>
      </c>
      <c r="I17" s="21" t="n">
        <v>106</v>
      </c>
      <c r="J17" s="21" t="n">
        <v>104</v>
      </c>
      <c r="K17" s="21" t="n">
        <v>107</v>
      </c>
      <c r="L17" s="21" t="n">
        <v>106</v>
      </c>
      <c r="M17" s="21" t="n">
        <v>99</v>
      </c>
      <c r="N17" s="21" t="n">
        <v>106</v>
      </c>
      <c r="O17" s="21" t="n">
        <v>107</v>
      </c>
      <c r="P17" s="21" t="n">
        <v>109</v>
      </c>
      <c r="Q17" s="21" t="n">
        <v>101</v>
      </c>
      <c r="R17" s="21" t="n">
        <v>98</v>
      </c>
      <c r="S17" s="21" t="n">
        <v>96</v>
      </c>
      <c r="T17" s="20" t="n">
        <f aca="false">IFERROR(S17/R17-1,"")</f>
        <v>-0.0204081632653061</v>
      </c>
      <c r="U17" s="20" t="n">
        <f aca="false">IFERROR(S17/F17-1,"")</f>
        <v>-0.0303030303030303</v>
      </c>
      <c r="V17" s="9"/>
    </row>
    <row r="18" customFormat="false" ht="15" hidden="false" customHeight="false" outlineLevel="0" collapsed="false">
      <c r="A18" s="17" t="s">
        <v>127</v>
      </c>
      <c r="B18" s="18"/>
      <c r="C18" s="18"/>
      <c r="D18" s="18"/>
      <c r="E18" s="18"/>
      <c r="F18" s="18"/>
      <c r="G18" s="18"/>
      <c r="H18" s="18"/>
      <c r="I18" s="18"/>
      <c r="J18" s="18"/>
      <c r="K18" s="18"/>
      <c r="L18" s="18"/>
      <c r="M18" s="18"/>
      <c r="N18" s="18"/>
      <c r="O18" s="18"/>
      <c r="P18" s="18"/>
      <c r="Q18" s="18"/>
      <c r="R18" s="18"/>
      <c r="S18" s="18"/>
      <c r="T18" s="18"/>
      <c r="U18" s="18"/>
      <c r="V18" s="18"/>
    </row>
    <row r="19" customFormat="false" ht="15" hidden="false" customHeight="false" outlineLevel="0" collapsed="false">
      <c r="A19" s="11" t="s">
        <v>128</v>
      </c>
      <c r="B19" s="11" t="s">
        <v>129</v>
      </c>
      <c r="C19" s="11" t="s">
        <v>124</v>
      </c>
      <c r="D19" s="11" t="s">
        <v>125</v>
      </c>
      <c r="E19" s="11" t="n">
        <v>16</v>
      </c>
      <c r="F19" s="19" t="n">
        <v>2604.2</v>
      </c>
      <c r="G19" s="19" t="n">
        <v>2594</v>
      </c>
      <c r="H19" s="19" t="n">
        <v>2653.3</v>
      </c>
      <c r="I19" s="19" t="n">
        <v>2786.3</v>
      </c>
      <c r="J19" s="19" t="n">
        <v>2822.9</v>
      </c>
      <c r="K19" s="19" t="n">
        <v>2875.5</v>
      </c>
      <c r="L19" s="19" t="n">
        <v>3148.4</v>
      </c>
      <c r="M19" s="19" t="n">
        <v>3065.4</v>
      </c>
      <c r="N19" s="19" t="n">
        <v>3370.2</v>
      </c>
      <c r="O19" s="19" t="n">
        <v>3600.6</v>
      </c>
      <c r="P19" s="19" t="n">
        <v>3670.2</v>
      </c>
      <c r="Q19" s="19" t="n">
        <v>3458.6</v>
      </c>
      <c r="R19" s="19" t="n">
        <v>3156</v>
      </c>
      <c r="S19" s="19" t="n">
        <v>3252</v>
      </c>
      <c r="T19" s="20" t="n">
        <f aca="false">IFERROR(S19/R19-1,"")</f>
        <v>0.0304182509505704</v>
      </c>
      <c r="U19" s="20" t="n">
        <f aca="false">IFERROR(S19/F19-1,"")</f>
        <v>0.248752015974196</v>
      </c>
      <c r="V19" s="9"/>
    </row>
    <row r="20" customFormat="false" ht="15" hidden="false" customHeight="false" outlineLevel="0" collapsed="false">
      <c r="A20" s="11" t="s">
        <v>130</v>
      </c>
      <c r="B20" s="11" t="s">
        <v>129</v>
      </c>
      <c r="C20" s="11" t="s">
        <v>124</v>
      </c>
      <c r="D20" s="11" t="s">
        <v>125</v>
      </c>
      <c r="E20" s="11" t="n">
        <v>17</v>
      </c>
      <c r="F20" s="19" t="n">
        <v>9778.2</v>
      </c>
      <c r="G20" s="19" t="n">
        <v>9645.9</v>
      </c>
      <c r="H20" s="19" t="n">
        <v>9952.7</v>
      </c>
      <c r="I20" s="19" t="n">
        <v>10696</v>
      </c>
      <c r="J20" s="19" t="n">
        <v>10800.8</v>
      </c>
      <c r="K20" s="19" t="n">
        <v>11803.8</v>
      </c>
      <c r="L20" s="19" t="n">
        <v>13088.9</v>
      </c>
      <c r="M20" s="19" t="n">
        <v>12967.8</v>
      </c>
      <c r="N20" s="19" t="n">
        <v>12499</v>
      </c>
      <c r="O20" s="19" t="n">
        <v>12891.4</v>
      </c>
      <c r="P20" s="19" t="n">
        <v>13507.1</v>
      </c>
      <c r="Q20" s="19" t="n">
        <v>13574.3</v>
      </c>
      <c r="R20" s="19" t="n">
        <v>13525.2</v>
      </c>
      <c r="S20" s="19" t="n">
        <v>14353.4</v>
      </c>
      <c r="T20" s="20" t="n">
        <f aca="false">IFERROR(S20/R20-1,"")</f>
        <v>0.0612338449708691</v>
      </c>
      <c r="U20" s="20" t="n">
        <f aca="false">IFERROR(S20/F20-1,"")</f>
        <v>0.467897977132806</v>
      </c>
      <c r="V20" s="9"/>
    </row>
    <row r="21" customFormat="false" ht="15" hidden="false" customHeight="false" outlineLevel="0" collapsed="false">
      <c r="A21" s="11" t="s">
        <v>131</v>
      </c>
      <c r="B21" s="11" t="s">
        <v>129</v>
      </c>
      <c r="C21" s="11" t="s">
        <v>124</v>
      </c>
      <c r="D21" s="11" t="s">
        <v>125</v>
      </c>
      <c r="E21" s="11" t="n">
        <v>18</v>
      </c>
      <c r="F21" s="19" t="n">
        <v>1994.9</v>
      </c>
      <c r="G21" s="19" t="n">
        <v>1945.2</v>
      </c>
      <c r="H21" s="19" t="n">
        <v>1954.5</v>
      </c>
      <c r="I21" s="19" t="n">
        <v>1968.2</v>
      </c>
      <c r="J21" s="19" t="n">
        <v>2001.8</v>
      </c>
      <c r="K21" s="19" t="n">
        <v>1942.3</v>
      </c>
      <c r="L21" s="19" t="n">
        <v>1998.3</v>
      </c>
      <c r="M21" s="19" t="n">
        <v>1916.1</v>
      </c>
      <c r="N21" s="19" t="n">
        <v>1879.8</v>
      </c>
      <c r="O21" s="19" t="n">
        <v>1922.7</v>
      </c>
      <c r="P21" s="19" t="n">
        <v>1991</v>
      </c>
      <c r="Q21" s="19" t="n">
        <v>1951.3</v>
      </c>
      <c r="R21" s="19" t="n">
        <v>1844.1</v>
      </c>
      <c r="S21" s="19" t="n">
        <v>1855.1</v>
      </c>
      <c r="T21" s="20" t="n">
        <f aca="false">IFERROR(S21/R21-1,"")</f>
        <v>0.00596496936174829</v>
      </c>
      <c r="U21" s="20" t="n">
        <f aca="false">IFERROR(S21/F21-1,"")</f>
        <v>-0.0700787006867513</v>
      </c>
      <c r="V21" s="9"/>
    </row>
    <row r="22" customFormat="false" ht="15" hidden="false" customHeight="false" outlineLevel="0" collapsed="false">
      <c r="A22" s="11" t="s">
        <v>132</v>
      </c>
      <c r="B22" s="11" t="s">
        <v>129</v>
      </c>
      <c r="C22" s="11" t="s">
        <v>124</v>
      </c>
      <c r="D22" s="11" t="s">
        <v>125</v>
      </c>
      <c r="E22" s="11" t="n">
        <v>19</v>
      </c>
      <c r="F22" s="19" t="n">
        <v>15023.3</v>
      </c>
      <c r="G22" s="19" t="n">
        <v>14909</v>
      </c>
      <c r="H22" s="19" t="n">
        <v>15102</v>
      </c>
      <c r="I22" s="19" t="n">
        <v>15079.8</v>
      </c>
      <c r="J22" s="19" t="n">
        <v>14689.3</v>
      </c>
      <c r="K22" s="19" t="n">
        <v>14878.8</v>
      </c>
      <c r="L22" s="19" t="n">
        <v>17844</v>
      </c>
      <c r="M22" s="19" t="n">
        <v>17132.8</v>
      </c>
      <c r="N22" s="19" t="n">
        <v>17093.2</v>
      </c>
      <c r="O22" s="19" t="n">
        <v>18005.8</v>
      </c>
      <c r="P22" s="19" t="n">
        <v>18805</v>
      </c>
      <c r="Q22" s="19" t="n">
        <v>17663.9</v>
      </c>
      <c r="R22" s="19" t="n">
        <v>16657.4</v>
      </c>
      <c r="S22" s="19" t="n">
        <v>16765.8</v>
      </c>
      <c r="T22" s="20" t="n">
        <f aca="false">IFERROR(S22/R22-1,"")</f>
        <v>0.00650761823573887</v>
      </c>
      <c r="U22" s="20" t="n">
        <f aca="false">IFERROR(S22/F22-1,"")</f>
        <v>0.115986500968496</v>
      </c>
      <c r="V22" s="9"/>
    </row>
    <row r="23" customFormat="false" ht="15" hidden="false" customHeight="false" outlineLevel="0" collapsed="false">
      <c r="A23" s="11" t="s">
        <v>133</v>
      </c>
      <c r="B23" s="11" t="s">
        <v>129</v>
      </c>
      <c r="C23" s="11" t="s">
        <v>124</v>
      </c>
      <c r="D23" s="11" t="s">
        <v>125</v>
      </c>
      <c r="E23" s="11" t="n">
        <v>20</v>
      </c>
      <c r="F23" s="19" t="n">
        <v>2758.8</v>
      </c>
      <c r="G23" s="19" t="n">
        <v>2784.4</v>
      </c>
      <c r="H23" s="19" t="n">
        <v>2930</v>
      </c>
      <c r="I23" s="19" t="n">
        <v>3149.1</v>
      </c>
      <c r="J23" s="19" t="n">
        <v>3187.4</v>
      </c>
      <c r="K23" s="19" t="n">
        <v>3159.7</v>
      </c>
      <c r="L23" s="19" t="n">
        <v>3220.2</v>
      </c>
      <c r="M23" s="19" t="n">
        <v>3320.8</v>
      </c>
      <c r="N23" s="19" t="n">
        <v>3187.9</v>
      </c>
      <c r="O23" s="19" t="n">
        <v>3361.6</v>
      </c>
      <c r="P23" s="19" t="n">
        <v>3488.2</v>
      </c>
      <c r="Q23" s="19" t="n">
        <v>3540.5</v>
      </c>
      <c r="R23" s="19" t="n">
        <v>3596.1</v>
      </c>
      <c r="S23" s="19" t="n">
        <v>3875.1</v>
      </c>
      <c r="T23" s="20" t="n">
        <f aca="false">IFERROR(S23/R23-1,"")</f>
        <v>0.0775840493868358</v>
      </c>
      <c r="U23" s="20" t="n">
        <f aca="false">IFERROR(S23/F23-1,"")</f>
        <v>0.404632448890822</v>
      </c>
      <c r="V23" s="9"/>
    </row>
    <row r="24" customFormat="false" ht="15" hidden="false" customHeight="false" outlineLevel="0" collapsed="false">
      <c r="A24" s="17" t="s">
        <v>134</v>
      </c>
      <c r="B24" s="18"/>
      <c r="C24" s="18"/>
      <c r="D24" s="18"/>
      <c r="E24" s="18"/>
      <c r="F24" s="18"/>
      <c r="G24" s="18"/>
      <c r="H24" s="18"/>
      <c r="I24" s="18"/>
      <c r="J24" s="18"/>
      <c r="K24" s="18"/>
      <c r="L24" s="18"/>
      <c r="M24" s="18"/>
      <c r="N24" s="18"/>
      <c r="O24" s="18"/>
      <c r="P24" s="18"/>
      <c r="Q24" s="18"/>
      <c r="R24" s="18"/>
      <c r="S24" s="18"/>
      <c r="T24" s="18"/>
      <c r="U24" s="18"/>
      <c r="V24" s="18"/>
    </row>
    <row r="25" customFormat="false" ht="15" hidden="false" customHeight="false" outlineLevel="0" collapsed="false">
      <c r="A25" s="11" t="s">
        <v>135</v>
      </c>
      <c r="B25" s="11" t="s">
        <v>136</v>
      </c>
      <c r="C25" s="11" t="s">
        <v>137</v>
      </c>
      <c r="D25" s="11" t="s">
        <v>50</v>
      </c>
      <c r="E25" s="11" t="n">
        <v>21</v>
      </c>
      <c r="F25" s="19" t="n">
        <v>3884.42</v>
      </c>
      <c r="G25" s="19" t="n">
        <v>3785.29</v>
      </c>
      <c r="H25" s="19" t="n">
        <v>4099.4</v>
      </c>
      <c r="I25" s="19" t="n">
        <v>4629.46</v>
      </c>
      <c r="J25" s="19" t="n">
        <v>4526.03</v>
      </c>
      <c r="K25" s="19" t="n">
        <v>5419.39</v>
      </c>
      <c r="L25" s="19" t="n">
        <v>7140.6</v>
      </c>
      <c r="M25" s="19" t="n">
        <v>6300.94</v>
      </c>
      <c r="N25" s="19" t="n">
        <v>6196</v>
      </c>
      <c r="O25" s="19" t="n">
        <v>6149.69</v>
      </c>
      <c r="P25" s="19" t="n">
        <v>6188.93</v>
      </c>
      <c r="Q25" s="19" t="n">
        <v>5372.09</v>
      </c>
      <c r="R25" s="19" t="n">
        <v>5041.2</v>
      </c>
      <c r="S25" s="19" t="n">
        <v>5502.57</v>
      </c>
      <c r="T25" s="20" t="n">
        <f aca="false">IFERROR(S25/R25-1,"")</f>
        <v>0.0915198762199476</v>
      </c>
      <c r="U25" s="20" t="n">
        <f aca="false">IFERROR(S25/F25-1,"")</f>
        <v>0.4165744178024</v>
      </c>
      <c r="V25" s="9"/>
    </row>
    <row r="26" customFormat="false" ht="15" hidden="false" customHeight="false" outlineLevel="0" collapsed="false">
      <c r="A26" s="11" t="s">
        <v>138</v>
      </c>
      <c r="B26" s="11" t="s">
        <v>136</v>
      </c>
      <c r="C26" s="11" t="s">
        <v>137</v>
      </c>
      <c r="D26" s="11" t="s">
        <v>50</v>
      </c>
      <c r="E26" s="11" t="n">
        <v>22</v>
      </c>
      <c r="F26" s="19" t="n">
        <v>3351.79</v>
      </c>
      <c r="G26" s="19" t="n">
        <v>3234.55</v>
      </c>
      <c r="H26" s="19" t="n">
        <v>3383.84</v>
      </c>
      <c r="I26" s="19" t="n">
        <v>4056.91</v>
      </c>
      <c r="J26" s="19" t="n">
        <v>4088.69</v>
      </c>
      <c r="K26" s="19" t="n">
        <v>4613.22</v>
      </c>
      <c r="L26" s="19" t="n">
        <v>5439.55</v>
      </c>
      <c r="M26" s="19" t="n">
        <v>5114.88</v>
      </c>
      <c r="N26" s="19" t="n">
        <v>4712.15</v>
      </c>
      <c r="O26" s="19" t="n">
        <v>4632.31</v>
      </c>
      <c r="P26" s="19" t="n">
        <v>4479.22</v>
      </c>
      <c r="Q26" s="19" t="n">
        <v>3961.58</v>
      </c>
      <c r="R26" s="19" t="n">
        <v>3956.24</v>
      </c>
      <c r="S26" s="19" t="n">
        <v>4168.59</v>
      </c>
      <c r="T26" s="20" t="n">
        <f aca="false">IFERROR(S26/R26-1,"")</f>
        <v>0.0536747012314724</v>
      </c>
      <c r="U26" s="20" t="n">
        <f aca="false">IFERROR(S26/F26-1,"")</f>
        <v>0.243690684678933</v>
      </c>
      <c r="V26" s="9"/>
    </row>
    <row r="27" customFormat="false" ht="15" hidden="false" customHeight="false" outlineLevel="0" collapsed="false">
      <c r="A27" s="11" t="s">
        <v>139</v>
      </c>
      <c r="B27" s="11" t="s">
        <v>136</v>
      </c>
      <c r="C27" s="11" t="s">
        <v>137</v>
      </c>
      <c r="D27" s="11" t="s">
        <v>50</v>
      </c>
      <c r="E27" s="11" t="n">
        <v>23</v>
      </c>
      <c r="F27" s="19" t="n">
        <v>16427.41</v>
      </c>
      <c r="G27" s="19" t="n">
        <v>20359.26</v>
      </c>
      <c r="H27" s="19" t="n">
        <v>20273.75</v>
      </c>
      <c r="I27" s="19" t="n">
        <v>21590.22</v>
      </c>
      <c r="J27" s="19" t="n">
        <v>22894.99</v>
      </c>
      <c r="K27" s="19" t="n">
        <v>23523.36</v>
      </c>
      <c r="L27" s="19" t="n">
        <v>29578.83</v>
      </c>
      <c r="M27" s="19" t="n">
        <v>31919.66</v>
      </c>
      <c r="N27" s="19" t="n">
        <v>33686.43</v>
      </c>
      <c r="O27" s="19" t="n">
        <v>30287.54</v>
      </c>
      <c r="P27" s="19" t="n">
        <v>29887.72</v>
      </c>
      <c r="Q27" s="19" t="n">
        <v>24583.84</v>
      </c>
      <c r="R27" s="19" t="n">
        <v>25151.09</v>
      </c>
      <c r="S27" s="19" t="n">
        <v>26661.83</v>
      </c>
      <c r="T27" s="20" t="n">
        <f aca="false">IFERROR(S27/R27-1,"")</f>
        <v>0.0600665816073975</v>
      </c>
      <c r="U27" s="20" t="n">
        <f aca="false">IFERROR(S27/F27-1,"")</f>
        <v>0.623008739661334</v>
      </c>
      <c r="V27" s="9"/>
    </row>
    <row r="28" customFormat="false" ht="15" hidden="false" customHeight="false" outlineLevel="0" collapsed="false">
      <c r="A28" s="17" t="s">
        <v>140</v>
      </c>
      <c r="B28" s="18"/>
      <c r="C28" s="18"/>
      <c r="D28" s="18"/>
      <c r="E28" s="18"/>
      <c r="F28" s="18"/>
      <c r="G28" s="18"/>
      <c r="H28" s="18"/>
      <c r="I28" s="18"/>
      <c r="J28" s="18"/>
      <c r="K28" s="18"/>
      <c r="L28" s="18"/>
      <c r="M28" s="18"/>
      <c r="N28" s="18"/>
      <c r="O28" s="18"/>
      <c r="P28" s="18"/>
      <c r="Q28" s="18"/>
      <c r="R28" s="18"/>
      <c r="S28" s="18"/>
      <c r="T28" s="18"/>
      <c r="U28" s="18"/>
      <c r="V28" s="18"/>
    </row>
    <row r="29" customFormat="false" ht="15" hidden="false" customHeight="false" outlineLevel="0" collapsed="false">
      <c r="A29" s="11" t="s">
        <v>141</v>
      </c>
      <c r="B29" s="11" t="s">
        <v>142</v>
      </c>
      <c r="C29" s="11" t="s">
        <v>143</v>
      </c>
      <c r="D29" s="11" t="s">
        <v>50</v>
      </c>
      <c r="E29" s="11" t="n">
        <v>25</v>
      </c>
      <c r="F29" s="21" t="n">
        <v>100</v>
      </c>
      <c r="G29" s="21" t="n">
        <v>100.5</v>
      </c>
      <c r="H29" s="21" t="n">
        <v>99.3</v>
      </c>
      <c r="I29" s="21" t="n">
        <v>99.4</v>
      </c>
      <c r="J29" s="21" t="n">
        <v>95.2</v>
      </c>
      <c r="K29" s="21" t="n">
        <v>94.3</v>
      </c>
      <c r="L29" s="21" t="n">
        <v>96.5</v>
      </c>
      <c r="M29" s="21" t="n">
        <v>98.2</v>
      </c>
      <c r="N29" s="21" t="n">
        <v>136.2</v>
      </c>
      <c r="O29" s="21" t="n">
        <v>137.5</v>
      </c>
      <c r="P29" s="21" t="n">
        <v>129.9</v>
      </c>
      <c r="Q29" s="21" t="n">
        <v>133</v>
      </c>
      <c r="R29" s="21" t="n">
        <v>131.5</v>
      </c>
      <c r="S29" s="21" t="n">
        <v>134.4</v>
      </c>
      <c r="T29" s="20" t="n">
        <f aca="false">IFERROR(S29/R29-1,"")</f>
        <v>0.0220532319391635</v>
      </c>
      <c r="U29" s="20" t="n">
        <f aca="false">IFERROR(S29/F29-1,"")</f>
        <v>0.344</v>
      </c>
      <c r="V29" s="9"/>
    </row>
    <row r="30" customFormat="false" ht="15" hidden="false" customHeight="false" outlineLevel="0" collapsed="false">
      <c r="A30" s="11" t="s">
        <v>144</v>
      </c>
      <c r="B30" s="11" t="s">
        <v>142</v>
      </c>
      <c r="C30" s="11" t="s">
        <v>143</v>
      </c>
      <c r="D30" s="11" t="s">
        <v>50</v>
      </c>
      <c r="E30" s="11" t="n">
        <v>26</v>
      </c>
      <c r="F30" s="21" t="n">
        <v>147.3</v>
      </c>
      <c r="G30" s="21" t="n">
        <v>146.8</v>
      </c>
      <c r="H30" s="21" t="n">
        <v>143.1</v>
      </c>
      <c r="I30" s="21" t="n">
        <v>137.6</v>
      </c>
      <c r="J30" s="21" t="n">
        <v>130.7</v>
      </c>
      <c r="K30" s="21" t="n">
        <v>124.1</v>
      </c>
      <c r="L30" s="21" t="n">
        <v>126.4</v>
      </c>
      <c r="M30" s="21" t="n">
        <v>130.6</v>
      </c>
      <c r="N30" s="21" t="n">
        <v>170.4</v>
      </c>
      <c r="O30" s="21" t="n">
        <v>197</v>
      </c>
      <c r="P30" s="21" t="n">
        <v>188.6</v>
      </c>
      <c r="Q30" s="21" t="n">
        <v>190.2</v>
      </c>
      <c r="R30" s="21" t="n">
        <v>185.8</v>
      </c>
      <c r="S30" s="21" t="n">
        <v>171.8</v>
      </c>
      <c r="T30" s="20" t="n">
        <f aca="false">IFERROR(S30/R30-1,"")</f>
        <v>-0.0753498385360603</v>
      </c>
      <c r="U30" s="20" t="n">
        <f aca="false">IFERROR(S30/F30-1,"")</f>
        <v>0.1663272233537</v>
      </c>
      <c r="V30" s="9"/>
    </row>
    <row r="31" customFormat="false" ht="15" hidden="false" customHeight="false" outlineLevel="0" collapsed="false">
      <c r="A31" s="11" t="s">
        <v>145</v>
      </c>
      <c r="B31" s="11" t="s">
        <v>142</v>
      </c>
      <c r="C31" s="11" t="s">
        <v>143</v>
      </c>
      <c r="D31" s="11" t="s">
        <v>50</v>
      </c>
      <c r="E31" s="11" t="n">
        <v>27</v>
      </c>
      <c r="F31" s="21" t="n">
        <v>214.6</v>
      </c>
      <c r="G31" s="21" t="n">
        <v>218.3</v>
      </c>
      <c r="H31" s="21" t="n">
        <v>222.7</v>
      </c>
      <c r="I31" s="21" t="n">
        <v>221.6</v>
      </c>
      <c r="J31" s="21" t="n">
        <v>221.5</v>
      </c>
      <c r="K31" s="21" t="n">
        <v>209.6</v>
      </c>
      <c r="L31" s="21" t="n">
        <v>208.9</v>
      </c>
      <c r="M31" s="21" t="n">
        <v>194.4</v>
      </c>
      <c r="N31" s="21" t="n">
        <v>227.5</v>
      </c>
      <c r="O31" s="21" t="n">
        <v>264</v>
      </c>
      <c r="P31" s="21" t="n">
        <v>265.2</v>
      </c>
      <c r="Q31" s="21" t="n">
        <v>261.9</v>
      </c>
      <c r="R31" s="21" t="n">
        <v>255.5</v>
      </c>
      <c r="S31" s="21" t="n">
        <v>253</v>
      </c>
      <c r="T31" s="20" t="n">
        <f aca="false">IFERROR(S31/R31-1,"")</f>
        <v>-0.00978473581213313</v>
      </c>
      <c r="U31" s="20" t="n">
        <f aca="false">IFERROR(S31/F31-1,"")</f>
        <v>0.178937558247903</v>
      </c>
      <c r="V31" s="9"/>
    </row>
    <row r="32" customFormat="false" ht="15" hidden="false" customHeight="false" outlineLevel="0" collapsed="false">
      <c r="A32" s="17" t="s">
        <v>146</v>
      </c>
      <c r="B32" s="18"/>
      <c r="C32" s="18"/>
      <c r="D32" s="18"/>
      <c r="E32" s="18"/>
      <c r="F32" s="18"/>
      <c r="G32" s="18"/>
      <c r="H32" s="18"/>
      <c r="I32" s="18"/>
      <c r="J32" s="18"/>
      <c r="K32" s="18"/>
      <c r="L32" s="18"/>
      <c r="M32" s="18"/>
      <c r="N32" s="18"/>
      <c r="O32" s="18"/>
      <c r="P32" s="18"/>
      <c r="Q32" s="18"/>
      <c r="R32" s="18"/>
      <c r="S32" s="18"/>
      <c r="T32" s="18"/>
      <c r="U32" s="18"/>
      <c r="V32" s="18"/>
    </row>
    <row r="33" customFormat="false" ht="15" hidden="false" customHeight="false" outlineLevel="0" collapsed="false">
      <c r="A33" s="11" t="s">
        <v>147</v>
      </c>
      <c r="B33" s="11" t="s">
        <v>148</v>
      </c>
      <c r="C33" s="11" t="s">
        <v>149</v>
      </c>
      <c r="D33" s="11" t="s">
        <v>125</v>
      </c>
      <c r="E33" s="11" t="n">
        <v>29</v>
      </c>
      <c r="F33" s="21" t="n">
        <v>475.4</v>
      </c>
      <c r="G33" s="21" t="n">
        <v>531</v>
      </c>
      <c r="H33" s="21" t="n">
        <v>463.5</v>
      </c>
      <c r="I33" s="21" t="n">
        <v>445.44</v>
      </c>
      <c r="J33" s="21" t="n">
        <v>403.42</v>
      </c>
      <c r="K33" s="21" t="n">
        <v>419</v>
      </c>
      <c r="L33" s="21" t="n">
        <v>423.53</v>
      </c>
      <c r="M33" s="21" t="n">
        <v>425.8</v>
      </c>
      <c r="N33" s="21" t="n">
        <v>510</v>
      </c>
      <c r="O33" s="21" t="n">
        <v>678.07</v>
      </c>
      <c r="P33" s="21" t="n">
        <v>947</v>
      </c>
      <c r="Q33" s="21" t="n">
        <v>677.82</v>
      </c>
      <c r="R33" s="21" t="n">
        <v>447.1</v>
      </c>
      <c r="S33" s="21" t="n">
        <v>419.55</v>
      </c>
      <c r="T33" s="20" t="n">
        <f aca="false">IFERROR(S33/R33-1,"")</f>
        <v>-0.061619324535898</v>
      </c>
      <c r="U33" s="20" t="n">
        <f aca="false">IFERROR(S33/F33-1,"")</f>
        <v>-0.117480016827934</v>
      </c>
      <c r="V33" s="9" t="s">
        <v>150</v>
      </c>
    </row>
    <row r="34" customFormat="false" ht="15" hidden="false" customHeight="false" outlineLevel="0" collapsed="false">
      <c r="A34" s="17" t="s">
        <v>151</v>
      </c>
      <c r="B34" s="18"/>
      <c r="C34" s="18"/>
      <c r="D34" s="18"/>
      <c r="E34" s="18"/>
      <c r="F34" s="18"/>
      <c r="G34" s="18"/>
      <c r="H34" s="18"/>
      <c r="I34" s="18"/>
      <c r="J34" s="18"/>
      <c r="K34" s="18"/>
      <c r="L34" s="18"/>
      <c r="M34" s="18"/>
      <c r="N34" s="18"/>
      <c r="O34" s="18"/>
      <c r="P34" s="18"/>
      <c r="Q34" s="18"/>
      <c r="R34" s="18"/>
      <c r="S34" s="18"/>
      <c r="T34" s="18"/>
      <c r="U34" s="18"/>
      <c r="V34" s="18"/>
    </row>
    <row r="35" customFormat="false" ht="15" hidden="false" customHeight="false" outlineLevel="0" collapsed="false">
      <c r="A35" s="11" t="s">
        <v>152</v>
      </c>
      <c r="B35" s="11" t="s">
        <v>153</v>
      </c>
      <c r="C35" s="11" t="s">
        <v>143</v>
      </c>
      <c r="D35" s="11" t="s">
        <v>50</v>
      </c>
      <c r="E35" s="11" t="n">
        <v>31</v>
      </c>
      <c r="F35" s="21" t="n">
        <v>207.26</v>
      </c>
      <c r="G35" s="21" t="n">
        <v>196.34</v>
      </c>
      <c r="H35" s="21" t="n">
        <v>188.41</v>
      </c>
      <c r="I35" s="21" t="n">
        <v>187.33</v>
      </c>
      <c r="J35" s="21" t="n">
        <v>186.05</v>
      </c>
      <c r="K35" s="21" t="n">
        <v>183.74</v>
      </c>
      <c r="L35" s="21" t="n">
        <v>191.68</v>
      </c>
      <c r="M35" s="21" t="n">
        <v>212.48</v>
      </c>
      <c r="N35" s="21" t="n">
        <v>217.35</v>
      </c>
      <c r="O35" s="21" t="n">
        <v>234.54</v>
      </c>
      <c r="P35" s="21" t="n">
        <v>255.96</v>
      </c>
      <c r="Q35" s="21" t="n">
        <v>268.98</v>
      </c>
      <c r="R35" s="21" t="n">
        <v>276.14</v>
      </c>
      <c r="S35" s="21" t="n">
        <v>278.76</v>
      </c>
      <c r="T35" s="20" t="n">
        <f aca="false">IFERROR(S35/R35-1,"")</f>
        <v>0.00948794089954363</v>
      </c>
      <c r="U35" s="20" t="n">
        <f aca="false">IFERROR(S35/F35-1,"")</f>
        <v>0.344977323168967</v>
      </c>
      <c r="V35" s="9"/>
    </row>
    <row r="36" customFormat="false" ht="15" hidden="false" customHeight="false" outlineLevel="0" collapsed="false">
      <c r="A36" s="11" t="s">
        <v>154</v>
      </c>
      <c r="B36" s="11" t="s">
        <v>153</v>
      </c>
      <c r="C36" s="11" t="s">
        <v>143</v>
      </c>
      <c r="D36" s="11" t="s">
        <v>50</v>
      </c>
      <c r="E36" s="11" t="n">
        <v>32</v>
      </c>
      <c r="F36" s="21" t="n">
        <v>184.18</v>
      </c>
      <c r="G36" s="21" t="n">
        <v>174.33</v>
      </c>
      <c r="H36" s="21" t="n">
        <v>177.57</v>
      </c>
      <c r="I36" s="21" t="n">
        <v>177.44</v>
      </c>
      <c r="J36" s="21" t="n">
        <v>176.52</v>
      </c>
      <c r="K36" s="21" t="n">
        <v>161.7</v>
      </c>
      <c r="L36" s="21" t="n">
        <v>155.59</v>
      </c>
      <c r="M36" s="21" t="n">
        <v>150.2</v>
      </c>
      <c r="N36" s="21" t="n">
        <v>164.88</v>
      </c>
      <c r="O36" s="21" t="n">
        <v>264.11</v>
      </c>
      <c r="P36" s="21" t="n">
        <v>281.34</v>
      </c>
      <c r="Q36" s="21" t="n">
        <v>235.88</v>
      </c>
      <c r="R36" s="21" t="n">
        <v>246.62</v>
      </c>
      <c r="S36" s="21" t="n">
        <v>251.5</v>
      </c>
      <c r="T36" s="20" t="n">
        <f aca="false">IFERROR(S36/R36-1,"")</f>
        <v>0.019787527370043</v>
      </c>
      <c r="U36" s="20" t="n">
        <f aca="false">IFERROR(S36/F36-1,"")</f>
        <v>0.365511999131285</v>
      </c>
      <c r="V36" s="9"/>
    </row>
    <row r="37" customFormat="false" ht="15" hidden="false" customHeight="false" outlineLevel="0" collapsed="false">
      <c r="A37" s="11" t="s">
        <v>155</v>
      </c>
      <c r="B37" s="11" t="s">
        <v>153</v>
      </c>
      <c r="C37" s="11" t="s">
        <v>143</v>
      </c>
      <c r="D37" s="11" t="s">
        <v>50</v>
      </c>
      <c r="E37" s="11" t="n">
        <v>33</v>
      </c>
      <c r="F37" s="21" t="n">
        <v>220.45</v>
      </c>
      <c r="G37" s="21" t="n">
        <v>219.12</v>
      </c>
      <c r="H37" s="21" t="n">
        <v>216.76</v>
      </c>
      <c r="I37" s="21" t="n">
        <v>215.11</v>
      </c>
      <c r="J37" s="21" t="n">
        <v>212.16</v>
      </c>
      <c r="K37" s="21" t="n">
        <v>211.48</v>
      </c>
      <c r="L37" s="21" t="n">
        <v>207.7</v>
      </c>
      <c r="M37" s="21" t="n">
        <v>205.19</v>
      </c>
      <c r="N37" s="21" t="n">
        <v>248.35</v>
      </c>
      <c r="O37" s="21" t="n">
        <v>276.67</v>
      </c>
      <c r="P37" s="21" t="n">
        <v>299.11</v>
      </c>
      <c r="Q37" s="21" t="n">
        <v>299.55</v>
      </c>
      <c r="R37" s="21" t="n">
        <v>288.02</v>
      </c>
      <c r="S37" s="21" t="n">
        <v>292.85</v>
      </c>
      <c r="T37" s="20" t="n">
        <f aca="false">IFERROR(S37/R37-1,"")</f>
        <v>0.0167696687730021</v>
      </c>
      <c r="U37" s="20" t="n">
        <f aca="false">IFERROR(S37/F37-1,"")</f>
        <v>0.328419142662735</v>
      </c>
      <c r="V37" s="9"/>
    </row>
    <row r="38" customFormat="false" ht="15" hidden="false" customHeight="false" outlineLevel="0" collapsed="false">
      <c r="A38" s="11" t="s">
        <v>156</v>
      </c>
      <c r="B38" s="11" t="s">
        <v>153</v>
      </c>
      <c r="C38" s="11" t="s">
        <v>143</v>
      </c>
      <c r="D38" s="11" t="s">
        <v>50</v>
      </c>
      <c r="E38" s="11" t="n">
        <v>34</v>
      </c>
      <c r="F38" s="21" t="n">
        <v>113.05</v>
      </c>
      <c r="G38" s="21" t="n">
        <v>105.68</v>
      </c>
      <c r="H38" s="21" t="n">
        <v>102.9</v>
      </c>
      <c r="I38" s="21" t="n">
        <v>99.55</v>
      </c>
      <c r="J38" s="21" t="n">
        <v>96.16</v>
      </c>
      <c r="K38" s="21" t="n">
        <v>96.3</v>
      </c>
      <c r="L38" s="21" t="n">
        <v>93.5</v>
      </c>
      <c r="M38" s="21" t="n">
        <v>92.64</v>
      </c>
      <c r="N38" s="21" t="n">
        <v>92.64</v>
      </c>
      <c r="O38" s="21" t="n">
        <v>124.92</v>
      </c>
      <c r="P38" s="21" t="n">
        <v>134.57</v>
      </c>
      <c r="Q38" s="21" t="n">
        <v>150.77</v>
      </c>
      <c r="R38" s="21" t="n">
        <v>156.79</v>
      </c>
      <c r="S38" s="21" t="n">
        <v>155.42</v>
      </c>
      <c r="T38" s="20" t="n">
        <f aca="false">IFERROR(S38/R38-1,"")</f>
        <v>-0.00873780215574971</v>
      </c>
      <c r="U38" s="20" t="n">
        <f aca="false">IFERROR(S38/F38-1,"")</f>
        <v>0.374789915966387</v>
      </c>
      <c r="V38" s="9"/>
    </row>
    <row r="39" customFormat="false" ht="15" hidden="false" customHeight="false" outlineLevel="0" collapsed="false">
      <c r="A39" s="11" t="s">
        <v>157</v>
      </c>
      <c r="B39" s="11" t="s">
        <v>153</v>
      </c>
      <c r="C39" s="11" t="s">
        <v>143</v>
      </c>
      <c r="D39" s="11" t="s">
        <v>50</v>
      </c>
      <c r="E39" s="11" t="n">
        <v>35</v>
      </c>
      <c r="F39" s="21" t="n">
        <v>172.29</v>
      </c>
      <c r="G39" s="21" t="n">
        <v>169.86</v>
      </c>
      <c r="H39" s="21" t="n">
        <v>175.69</v>
      </c>
      <c r="I39" s="21" t="n">
        <v>171.66</v>
      </c>
      <c r="J39" s="21" t="n">
        <v>169.56</v>
      </c>
      <c r="K39" s="21" t="n">
        <v>168.85</v>
      </c>
      <c r="L39" s="21" t="n">
        <v>153.55</v>
      </c>
      <c r="M39" s="21" t="n">
        <v>150.95</v>
      </c>
      <c r="N39" s="21" t="n">
        <v>163.92</v>
      </c>
      <c r="O39" s="21" t="n">
        <v>272.11</v>
      </c>
      <c r="P39" s="21" t="n">
        <v>304.5</v>
      </c>
      <c r="Q39" s="21" t="n">
        <v>282.07</v>
      </c>
      <c r="R39" s="21" t="n">
        <v>272.59</v>
      </c>
      <c r="S39" s="21" t="n">
        <v>270.61</v>
      </c>
      <c r="T39" s="20" t="n">
        <f aca="false">IFERROR(S39/R39-1,"")</f>
        <v>-0.00726365604020673</v>
      </c>
      <c r="U39" s="20" t="n">
        <f aca="false">IFERROR(S39/F39-1,"")</f>
        <v>0.570665737999884</v>
      </c>
      <c r="V39" s="9"/>
    </row>
    <row r="40" customFormat="false" ht="15" hidden="false" customHeight="false" outlineLevel="0" collapsed="false">
      <c r="A40" s="17" t="s">
        <v>158</v>
      </c>
      <c r="B40" s="18"/>
      <c r="C40" s="18"/>
      <c r="D40" s="18"/>
      <c r="E40" s="18"/>
      <c r="F40" s="18"/>
      <c r="G40" s="18"/>
      <c r="H40" s="18"/>
      <c r="I40" s="18"/>
      <c r="J40" s="18"/>
      <c r="K40" s="18"/>
      <c r="L40" s="18"/>
      <c r="M40" s="18"/>
      <c r="N40" s="18"/>
      <c r="O40" s="18"/>
      <c r="P40" s="18"/>
      <c r="Q40" s="18"/>
      <c r="R40" s="18"/>
      <c r="S40" s="18"/>
      <c r="T40" s="18"/>
      <c r="U40" s="18"/>
      <c r="V40" s="18"/>
    </row>
    <row r="41" customFormat="false" ht="15" hidden="false" customHeight="false" outlineLevel="0" collapsed="false">
      <c r="A41" s="11" t="s">
        <v>159</v>
      </c>
      <c r="B41" s="11" t="s">
        <v>160</v>
      </c>
      <c r="C41" s="11" t="s">
        <v>161</v>
      </c>
      <c r="D41" s="11" t="s">
        <v>125</v>
      </c>
      <c r="E41" s="11" t="n">
        <v>37</v>
      </c>
      <c r="F41" s="21" t="n">
        <v>8.41</v>
      </c>
      <c r="G41" s="21" t="n">
        <v>9.38</v>
      </c>
      <c r="H41" s="21" t="n">
        <v>9.38</v>
      </c>
      <c r="I41" s="21" t="n">
        <v>9.45</v>
      </c>
      <c r="J41" s="21" t="n">
        <v>10.27</v>
      </c>
      <c r="K41" s="21" t="n">
        <v>11.51</v>
      </c>
      <c r="L41" s="21" t="n">
        <v>17.52</v>
      </c>
      <c r="M41" s="21" t="n">
        <v>18.41</v>
      </c>
      <c r="N41" s="21" t="n">
        <v>19.89</v>
      </c>
      <c r="O41" s="21" t="n">
        <v>20.21</v>
      </c>
      <c r="P41" s="21" t="n">
        <v>21.91</v>
      </c>
      <c r="Q41" s="21" t="n">
        <v>20.81</v>
      </c>
      <c r="R41" s="21" t="n">
        <v>19.54</v>
      </c>
      <c r="S41" s="21" t="n">
        <v>19.3</v>
      </c>
      <c r="T41" s="20" t="n">
        <f aca="false">IFERROR(S41/R41-1,"")</f>
        <v>-0.0122824974411463</v>
      </c>
      <c r="U41" s="20" t="n">
        <f aca="false">IFERROR(S41/F41-1,"")</f>
        <v>1.294887039239</v>
      </c>
      <c r="V41" s="9"/>
    </row>
    <row r="42" customFormat="false" ht="15" hidden="false" customHeight="false" outlineLevel="0" collapsed="false">
      <c r="A42" s="11" t="s">
        <v>162</v>
      </c>
      <c r="B42" s="11" t="s">
        <v>160</v>
      </c>
      <c r="C42" s="11" t="s">
        <v>161</v>
      </c>
      <c r="D42" s="11" t="s">
        <v>125</v>
      </c>
      <c r="E42" s="11" t="n">
        <v>38</v>
      </c>
      <c r="F42" s="21" t="n">
        <v>8.11</v>
      </c>
      <c r="G42" s="21" t="n">
        <v>8.57</v>
      </c>
      <c r="H42" s="21" t="n">
        <v>9.3</v>
      </c>
      <c r="I42" s="21" t="n">
        <v>9.53</v>
      </c>
      <c r="J42" s="21" t="n">
        <v>10.22</v>
      </c>
      <c r="K42" s="21" t="n">
        <v>10.79</v>
      </c>
      <c r="L42" s="21" t="n">
        <v>16.74</v>
      </c>
      <c r="M42" s="21" t="n">
        <v>17.61</v>
      </c>
      <c r="N42" s="21" t="n">
        <v>18.37</v>
      </c>
      <c r="O42" s="21" t="n">
        <v>18.6</v>
      </c>
      <c r="P42" s="21" t="n">
        <v>20.41</v>
      </c>
      <c r="Q42" s="21" t="n">
        <v>19.26</v>
      </c>
      <c r="R42" s="21" t="n">
        <v>18</v>
      </c>
      <c r="S42" s="21" t="n">
        <v>17.88</v>
      </c>
      <c r="T42" s="20" t="n">
        <f aca="false">IFERROR(S42/R42-1,"")</f>
        <v>-0.00666666666666671</v>
      </c>
      <c r="U42" s="20" t="n">
        <f aca="false">IFERROR(S42/F42-1,"")</f>
        <v>1.20468557336621</v>
      </c>
      <c r="V42" s="9"/>
    </row>
    <row r="43" customFormat="false" ht="15" hidden="false" customHeight="false" outlineLevel="0" collapsed="false">
      <c r="A43" s="11" t="s">
        <v>163</v>
      </c>
      <c r="B43" s="11" t="s">
        <v>160</v>
      </c>
      <c r="C43" s="11" t="s">
        <v>124</v>
      </c>
      <c r="D43" s="11" t="s">
        <v>125</v>
      </c>
      <c r="E43" s="11" t="n">
        <v>39</v>
      </c>
      <c r="F43" s="19" t="n">
        <v>23609.04</v>
      </c>
      <c r="G43" s="19" t="n">
        <v>24467.11</v>
      </c>
      <c r="H43" s="19" t="n">
        <v>25463.81</v>
      </c>
      <c r="I43" s="19" t="n">
        <v>34974.42</v>
      </c>
      <c r="J43" s="19" t="n">
        <v>37624.7</v>
      </c>
      <c r="K43" s="19" t="n">
        <v>40070.61</v>
      </c>
      <c r="L43" s="19" t="n">
        <v>43388.17</v>
      </c>
      <c r="M43" s="19" t="n">
        <v>44065.57</v>
      </c>
      <c r="N43" s="19" t="n">
        <v>44410.41</v>
      </c>
      <c r="O43" s="19" t="n">
        <v>43944.98</v>
      </c>
      <c r="P43" s="19" t="n">
        <v>43430.18</v>
      </c>
      <c r="Q43" s="19" t="n">
        <v>41663.81</v>
      </c>
      <c r="R43" s="19" t="n">
        <v>38724.83</v>
      </c>
      <c r="S43" s="19" t="n">
        <v>35856.45</v>
      </c>
      <c r="T43" s="20" t="n">
        <f aca="false">IFERROR(S43/R43-1,"")</f>
        <v>-0.0740708222605497</v>
      </c>
      <c r="U43" s="20" t="n">
        <f aca="false">IFERROR(S43/F43-1,"")</f>
        <v>0.518759339642781</v>
      </c>
      <c r="V43" s="9"/>
    </row>
    <row r="44" customFormat="false" ht="15" hidden="false" customHeight="false" outlineLevel="0" collapsed="false">
      <c r="A44" s="11" t="s">
        <v>164</v>
      </c>
      <c r="B44" s="11" t="s">
        <v>160</v>
      </c>
      <c r="C44" s="11" t="s">
        <v>124</v>
      </c>
      <c r="D44" s="11" t="s">
        <v>125</v>
      </c>
      <c r="E44" s="11" t="n">
        <v>40</v>
      </c>
      <c r="F44" s="19" t="n">
        <v>30705.9</v>
      </c>
      <c r="G44" s="19" t="n">
        <v>32574.97</v>
      </c>
      <c r="H44" s="19" t="n">
        <v>34755.78</v>
      </c>
      <c r="I44" s="19" t="n">
        <v>47864.6</v>
      </c>
      <c r="J44" s="19" t="n">
        <v>48967.18</v>
      </c>
      <c r="K44" s="19" t="n">
        <v>52328.66</v>
      </c>
      <c r="L44" s="19" t="n">
        <v>57060.9</v>
      </c>
      <c r="M44" s="19" t="n">
        <v>54547.2</v>
      </c>
      <c r="N44" s="19" t="n">
        <v>55128.45</v>
      </c>
      <c r="O44" s="19" t="n">
        <v>53662.14</v>
      </c>
      <c r="P44" s="19" t="n">
        <v>55289.12</v>
      </c>
      <c r="Q44" s="19" t="n">
        <v>51882.66</v>
      </c>
      <c r="R44" s="19" t="n">
        <v>47933.77</v>
      </c>
      <c r="S44" s="19" t="n">
        <v>42150.34</v>
      </c>
      <c r="T44" s="20" t="n">
        <f aca="false">IFERROR(S44/R44-1,"")</f>
        <v>-0.120654603216062</v>
      </c>
      <c r="U44" s="20" t="n">
        <f aca="false">IFERROR(S44/F44-1,"")</f>
        <v>0.372711433307605</v>
      </c>
      <c r="V44" s="9"/>
    </row>
    <row r="45" customFormat="false" ht="15" hidden="false" customHeight="false" outlineLevel="0" collapsed="false">
      <c r="A45" s="17" t="s">
        <v>165</v>
      </c>
      <c r="B45" s="18"/>
      <c r="C45" s="18"/>
      <c r="D45" s="18"/>
      <c r="E45" s="18"/>
      <c r="F45" s="18"/>
      <c r="G45" s="18"/>
      <c r="H45" s="18"/>
      <c r="I45" s="18"/>
      <c r="J45" s="18"/>
      <c r="K45" s="18"/>
      <c r="L45" s="18"/>
      <c r="M45" s="18"/>
      <c r="N45" s="18"/>
      <c r="O45" s="18"/>
      <c r="P45" s="18"/>
      <c r="Q45" s="18"/>
      <c r="R45" s="18"/>
      <c r="S45" s="18"/>
      <c r="T45" s="18"/>
      <c r="U45" s="18"/>
      <c r="V45" s="18"/>
    </row>
    <row r="46" customFormat="false" ht="15" hidden="false" customHeight="false" outlineLevel="0" collapsed="false">
      <c r="A46" s="11" t="s">
        <v>166</v>
      </c>
      <c r="B46" s="11" t="s">
        <v>167</v>
      </c>
      <c r="C46" s="11" t="s">
        <v>161</v>
      </c>
      <c r="D46" s="11" t="s">
        <v>125</v>
      </c>
      <c r="E46" s="11" t="n">
        <v>42</v>
      </c>
      <c r="F46" s="21" t="n">
        <v>12.25</v>
      </c>
      <c r="G46" s="21" t="n">
        <v>12.24</v>
      </c>
      <c r="H46" s="21" t="n">
        <v>12.33</v>
      </c>
      <c r="I46" s="21" t="n">
        <v>12.34</v>
      </c>
      <c r="J46" s="21" t="n">
        <v>12.36</v>
      </c>
      <c r="K46" s="21" t="n">
        <v>12.47</v>
      </c>
      <c r="L46" s="21" t="n">
        <v>11.4</v>
      </c>
      <c r="M46" s="21" t="n">
        <v>11.5</v>
      </c>
      <c r="N46" s="21" t="n">
        <v>11.52</v>
      </c>
      <c r="O46" s="21" t="n">
        <v>11.61</v>
      </c>
      <c r="P46" s="21" t="n">
        <v>11.69</v>
      </c>
      <c r="Q46" s="21" t="n">
        <v>11.72</v>
      </c>
      <c r="R46" s="21" t="n">
        <v>11.72</v>
      </c>
      <c r="S46" s="21" t="n">
        <v>11.79</v>
      </c>
      <c r="T46" s="20" t="n">
        <f aca="false">IFERROR(S46/R46-1,"")</f>
        <v>0.0059726962457336</v>
      </c>
      <c r="U46" s="20" t="n">
        <f aca="false">IFERROR(S46/F46-1,"")</f>
        <v>-0.0375510204081634</v>
      </c>
      <c r="V46" s="9" t="s">
        <v>168</v>
      </c>
    </row>
    <row r="47" customFormat="false" ht="15" hidden="false" customHeight="false" outlineLevel="0" collapsed="false">
      <c r="A47" s="17" t="s">
        <v>169</v>
      </c>
      <c r="B47" s="18"/>
      <c r="C47" s="18"/>
      <c r="D47" s="18"/>
      <c r="E47" s="18"/>
      <c r="F47" s="18"/>
      <c r="G47" s="18"/>
      <c r="H47" s="18"/>
      <c r="I47" s="18"/>
      <c r="J47" s="18"/>
      <c r="K47" s="18"/>
      <c r="L47" s="18"/>
      <c r="M47" s="18"/>
      <c r="N47" s="18"/>
      <c r="O47" s="18"/>
      <c r="P47" s="18"/>
      <c r="Q47" s="18"/>
      <c r="R47" s="18"/>
      <c r="S47" s="18"/>
      <c r="T47" s="18"/>
      <c r="U47" s="18"/>
      <c r="V47" s="18"/>
    </row>
    <row r="48" customFormat="false" ht="15" hidden="false" customHeight="false" outlineLevel="0" collapsed="false">
      <c r="A48" s="11" t="s">
        <v>170</v>
      </c>
      <c r="B48" s="11" t="s">
        <v>171</v>
      </c>
      <c r="C48" s="11" t="s">
        <v>172</v>
      </c>
      <c r="D48" s="11" t="s">
        <v>125</v>
      </c>
      <c r="E48" s="11" t="n">
        <v>44</v>
      </c>
      <c r="F48" s="21" t="n">
        <v>70.67</v>
      </c>
      <c r="G48" s="21" t="n">
        <v>67.87</v>
      </c>
      <c r="H48" s="21" t="n">
        <v>67.96</v>
      </c>
      <c r="I48" s="21" t="n">
        <v>64.47</v>
      </c>
      <c r="J48" s="21" t="n">
        <v>64.54</v>
      </c>
      <c r="K48" s="21" t="n">
        <v>62.54</v>
      </c>
      <c r="L48" s="21" t="n">
        <v>66.6</v>
      </c>
      <c r="M48" s="21" t="n">
        <v>70.89</v>
      </c>
      <c r="N48" s="21" t="n">
        <v>103.13</v>
      </c>
      <c r="O48" s="21" t="n">
        <v>117.29</v>
      </c>
      <c r="P48" s="21" t="n">
        <v>107.14</v>
      </c>
      <c r="Q48" s="21" t="n">
        <v>86.11</v>
      </c>
      <c r="R48" s="21" t="n">
        <v>83.76</v>
      </c>
      <c r="S48" s="21" t="n">
        <v>91.08</v>
      </c>
      <c r="T48" s="20" t="n">
        <f aca="false">IFERROR(S48/R48-1,"")</f>
        <v>0.0873925501432664</v>
      </c>
      <c r="U48" s="20" t="n">
        <f aca="false">IFERROR(S48/F48-1,"")</f>
        <v>0.288807131739069</v>
      </c>
      <c r="V48" s="9"/>
    </row>
    <row r="49" customFormat="false" ht="15" hidden="false" customHeight="false" outlineLevel="0" collapsed="false">
      <c r="A49" s="11" t="s">
        <v>173</v>
      </c>
      <c r="B49" s="11" t="s">
        <v>171</v>
      </c>
      <c r="C49" s="11" t="s">
        <v>143</v>
      </c>
      <c r="D49" s="11" t="s">
        <v>50</v>
      </c>
      <c r="E49" s="11" t="n">
        <v>45</v>
      </c>
      <c r="F49" s="21" t="n">
        <v>77.1</v>
      </c>
      <c r="G49" s="21" t="n">
        <v>77.1</v>
      </c>
      <c r="H49" s="21" t="n">
        <v>77.1</v>
      </c>
      <c r="I49" s="21" t="n">
        <v>77.1</v>
      </c>
      <c r="J49" s="21" t="n">
        <v>77.1</v>
      </c>
      <c r="K49" s="21" t="n">
        <v>77.1</v>
      </c>
      <c r="L49" s="21" t="n">
        <v>77.1</v>
      </c>
      <c r="M49" s="21" t="n">
        <v>77.1</v>
      </c>
      <c r="N49" s="21" t="n">
        <v>77.1</v>
      </c>
      <c r="O49" s="21" t="n">
        <v>77.1</v>
      </c>
      <c r="P49" s="21" t="n">
        <v>79.3</v>
      </c>
      <c r="Q49" s="21" t="n">
        <v>83.1</v>
      </c>
      <c r="R49" s="21" t="n">
        <v>83.1</v>
      </c>
      <c r="S49" s="21" t="n">
        <v>83.5</v>
      </c>
      <c r="T49" s="20" t="n">
        <f aca="false">IFERROR(S49/R49-1,"")</f>
        <v>0.00481347773766561</v>
      </c>
      <c r="U49" s="20" t="n">
        <f aca="false">IFERROR(S49/F49-1,"")</f>
        <v>0.0830090791180287</v>
      </c>
      <c r="V49" s="9"/>
    </row>
    <row r="50" customFormat="false" ht="15" hidden="false" customHeight="false" outlineLevel="0" collapsed="false">
      <c r="A50" s="11" t="s">
        <v>174</v>
      </c>
      <c r="B50" s="11" t="s">
        <v>171</v>
      </c>
      <c r="C50" s="11" t="s">
        <v>143</v>
      </c>
      <c r="D50" s="11" t="s">
        <v>50</v>
      </c>
      <c r="E50" s="11" t="n">
        <v>45</v>
      </c>
      <c r="F50" s="21" t="n">
        <v>80</v>
      </c>
      <c r="G50" s="21" t="n">
        <v>80</v>
      </c>
      <c r="H50" s="21" t="n">
        <v>80.5</v>
      </c>
      <c r="I50" s="21" t="n">
        <v>80.5</v>
      </c>
      <c r="J50" s="21" t="n">
        <v>80.5</v>
      </c>
      <c r="K50" s="21" t="n">
        <v>80.5</v>
      </c>
      <c r="L50" s="21" t="n">
        <v>80.5</v>
      </c>
      <c r="M50" s="21" t="n">
        <v>81</v>
      </c>
      <c r="N50" s="21" t="n">
        <v>81</v>
      </c>
      <c r="O50" s="21" t="n">
        <v>81.6</v>
      </c>
      <c r="P50" s="21" t="n">
        <v>83.3</v>
      </c>
      <c r="Q50" s="21" t="n">
        <v>86</v>
      </c>
      <c r="R50" s="21" t="n">
        <v>86</v>
      </c>
      <c r="S50" s="21" t="n">
        <v>86</v>
      </c>
      <c r="T50" s="20" t="n">
        <f aca="false">IFERROR(S50/R50-1,"")</f>
        <v>0</v>
      </c>
      <c r="U50" s="20" t="n">
        <f aca="false">IFERROR(S50/F50-1,"")</f>
        <v>0.075</v>
      </c>
      <c r="V50" s="9"/>
    </row>
    <row r="51" customFormat="false" ht="15" hidden="false" customHeight="false" outlineLevel="0" collapsed="false">
      <c r="A51" s="11" t="s">
        <v>175</v>
      </c>
      <c r="B51" s="11" t="s">
        <v>171</v>
      </c>
      <c r="C51" s="11" t="s">
        <v>176</v>
      </c>
      <c r="D51" s="11" t="s">
        <v>50</v>
      </c>
      <c r="E51" s="11" t="n">
        <v>46</v>
      </c>
      <c r="F51" s="21" t="n">
        <v>94.81</v>
      </c>
      <c r="G51" s="21" t="n">
        <v>94.81</v>
      </c>
      <c r="H51" s="21" t="n">
        <v>94.81</v>
      </c>
      <c r="I51" s="21" t="n">
        <v>94.81</v>
      </c>
      <c r="J51" s="21" t="n">
        <v>94.81</v>
      </c>
      <c r="K51" s="21" t="n">
        <v>94.81</v>
      </c>
      <c r="L51" s="21" t="n">
        <v>94.81</v>
      </c>
      <c r="M51" s="21" t="n">
        <v>94.81</v>
      </c>
      <c r="N51" s="21" t="n">
        <v>94.81</v>
      </c>
      <c r="O51" s="21" t="n">
        <v>94.81</v>
      </c>
      <c r="P51" s="21" t="n">
        <v>97.22</v>
      </c>
      <c r="Q51" s="21" t="n">
        <v>102.12</v>
      </c>
      <c r="R51" s="21" t="n">
        <v>102.12</v>
      </c>
      <c r="S51" s="21" t="n">
        <v>102.12</v>
      </c>
      <c r="T51" s="20" t="n">
        <f aca="false">IFERROR(S51/R51-1,"")</f>
        <v>0</v>
      </c>
      <c r="U51" s="20" t="n">
        <f aca="false">IFERROR(S51/F51-1,"")</f>
        <v>0.077101571564181</v>
      </c>
      <c r="V51" s="9"/>
    </row>
    <row r="52" customFormat="false" ht="15" hidden="false" customHeight="false" outlineLevel="0" collapsed="false">
      <c r="A52" s="11" t="s">
        <v>177</v>
      </c>
      <c r="B52" s="11" t="s">
        <v>171</v>
      </c>
      <c r="C52" s="11" t="s">
        <v>176</v>
      </c>
      <c r="D52" s="11" t="s">
        <v>50</v>
      </c>
      <c r="E52" s="11" t="n">
        <v>46</v>
      </c>
      <c r="F52" s="21" t="n">
        <v>87.71</v>
      </c>
      <c r="G52" s="21" t="n">
        <v>87.71</v>
      </c>
      <c r="H52" s="21" t="n">
        <v>87.71</v>
      </c>
      <c r="I52" s="21" t="n">
        <v>87.71</v>
      </c>
      <c r="J52" s="21" t="n">
        <v>87.71</v>
      </c>
      <c r="K52" s="21" t="n">
        <v>87.71</v>
      </c>
      <c r="L52" s="21" t="n">
        <v>87.71</v>
      </c>
      <c r="M52" s="21" t="n">
        <v>87.71</v>
      </c>
      <c r="N52" s="21" t="n">
        <v>87.71</v>
      </c>
      <c r="O52" s="21" t="n">
        <v>87.71</v>
      </c>
      <c r="P52" s="21" t="n">
        <v>90.16</v>
      </c>
      <c r="Q52" s="21" t="n">
        <v>95.2</v>
      </c>
      <c r="R52" s="21" t="n">
        <v>95.2</v>
      </c>
      <c r="S52" s="21" t="n">
        <v>95.2</v>
      </c>
      <c r="T52" s="20" t="n">
        <f aca="false">IFERROR(S52/R52-1,"")</f>
        <v>0</v>
      </c>
      <c r="U52" s="20" t="n">
        <f aca="false">IFERROR(S52/F52-1,"")</f>
        <v>0.0853950518754989</v>
      </c>
      <c r="V52" s="9"/>
    </row>
    <row r="53" customFormat="false" ht="15" hidden="false" customHeight="false" outlineLevel="0" collapsed="false">
      <c r="A53" s="11" t="s">
        <v>178</v>
      </c>
      <c r="B53" s="11" t="s">
        <v>171</v>
      </c>
      <c r="C53" s="11" t="s">
        <v>176</v>
      </c>
      <c r="D53" s="11" t="s">
        <v>50</v>
      </c>
      <c r="E53" s="11" t="n">
        <v>46</v>
      </c>
      <c r="F53" s="21" t="n">
        <v>103.49</v>
      </c>
      <c r="G53" s="21" t="n">
        <v>103.49</v>
      </c>
      <c r="H53" s="21" t="n">
        <v>103.49</v>
      </c>
      <c r="I53" s="21" t="n">
        <v>103.49</v>
      </c>
      <c r="J53" s="21" t="n">
        <v>103.49</v>
      </c>
      <c r="K53" s="21" t="n">
        <v>103.49</v>
      </c>
      <c r="L53" s="21" t="n">
        <v>103.49</v>
      </c>
      <c r="M53" s="21" t="n">
        <v>103.49</v>
      </c>
      <c r="N53" s="21" t="n">
        <v>103.49</v>
      </c>
      <c r="O53" s="21" t="n">
        <v>103.49</v>
      </c>
      <c r="P53" s="21" t="n">
        <v>106.05</v>
      </c>
      <c r="Q53" s="21" t="n">
        <v>111.21</v>
      </c>
      <c r="R53" s="21" t="n">
        <v>111.21</v>
      </c>
      <c r="S53" s="21" t="n">
        <v>111.21</v>
      </c>
      <c r="T53" s="20" t="n">
        <f aca="false">IFERROR(S53/R53-1,"")</f>
        <v>0</v>
      </c>
      <c r="U53" s="20" t="n">
        <f aca="false">IFERROR(S53/F53-1,"")</f>
        <v>0.0745965793796501</v>
      </c>
      <c r="V53" s="9"/>
    </row>
    <row r="54" customFormat="false" ht="15" hidden="false" customHeight="false" outlineLevel="0" collapsed="false">
      <c r="A54" s="11" t="s">
        <v>179</v>
      </c>
      <c r="B54" s="11" t="s">
        <v>171</v>
      </c>
      <c r="C54" s="11" t="s">
        <v>176</v>
      </c>
      <c r="D54" s="11" t="s">
        <v>50</v>
      </c>
      <c r="E54" s="11" t="n">
        <v>46</v>
      </c>
      <c r="F54" s="21" t="n">
        <v>90.01</v>
      </c>
      <c r="G54" s="21" t="n">
        <v>90.01</v>
      </c>
      <c r="H54" s="21" t="n">
        <v>90.01</v>
      </c>
      <c r="I54" s="21" t="n">
        <v>90.01</v>
      </c>
      <c r="J54" s="21" t="n">
        <v>90.01</v>
      </c>
      <c r="K54" s="21" t="n">
        <v>90.01</v>
      </c>
      <c r="L54" s="21" t="n">
        <v>90.01</v>
      </c>
      <c r="M54" s="21" t="n">
        <v>90.01</v>
      </c>
      <c r="N54" s="21" t="n">
        <v>90.01</v>
      </c>
      <c r="O54" s="21" t="n">
        <v>90.01</v>
      </c>
      <c r="P54" s="21" t="n">
        <v>92.58</v>
      </c>
      <c r="Q54" s="21" t="n">
        <v>97.83</v>
      </c>
      <c r="R54" s="21" t="n">
        <v>97.83</v>
      </c>
      <c r="S54" s="21" t="n">
        <v>97.83</v>
      </c>
      <c r="T54" s="20" t="n">
        <f aca="false">IFERROR(S54/R54-1,"")</f>
        <v>0</v>
      </c>
      <c r="U54" s="20" t="n">
        <f aca="false">IFERROR(S54/F54-1,"")</f>
        <v>0.0868792356404844</v>
      </c>
      <c r="V54" s="9"/>
    </row>
    <row r="55" customFormat="false" ht="15" hidden="false" customHeight="false" outlineLevel="0" collapsed="false">
      <c r="A55" s="11" t="s">
        <v>180</v>
      </c>
      <c r="B55" s="11" t="s">
        <v>171</v>
      </c>
      <c r="C55" s="11" t="s">
        <v>176</v>
      </c>
      <c r="D55" s="11" t="s">
        <v>50</v>
      </c>
      <c r="E55" s="11" t="n">
        <v>47</v>
      </c>
      <c r="F55" s="21" t="n">
        <v>58</v>
      </c>
      <c r="G55" s="21" t="n">
        <v>58</v>
      </c>
      <c r="H55" s="21" t="n">
        <v>58</v>
      </c>
      <c r="I55" s="21" t="n">
        <v>58</v>
      </c>
      <c r="J55" s="21" t="n">
        <v>58</v>
      </c>
      <c r="K55" s="21" t="n">
        <v>58</v>
      </c>
      <c r="L55" s="21" t="n">
        <v>58</v>
      </c>
      <c r="M55" s="21" t="n">
        <v>58</v>
      </c>
      <c r="N55" s="21" t="n">
        <v>58</v>
      </c>
      <c r="O55" s="21" t="n">
        <v>58</v>
      </c>
      <c r="P55" s="21" t="n">
        <v>58</v>
      </c>
      <c r="Q55" s="21" t="n">
        <v>58</v>
      </c>
      <c r="R55" s="21" t="n">
        <v>58</v>
      </c>
      <c r="S55" s="21" t="n">
        <v>58</v>
      </c>
      <c r="T55" s="20" t="n">
        <f aca="false">IFERROR(S55/R55-1,"")</f>
        <v>0</v>
      </c>
      <c r="U55" s="20" t="n">
        <f aca="false">IFERROR(S55/F55-1,"")</f>
        <v>0</v>
      </c>
      <c r="V55" s="9"/>
    </row>
    <row r="56" customFormat="false" ht="15" hidden="false" customHeight="false" outlineLevel="0" collapsed="false">
      <c r="A56" s="11" t="s">
        <v>181</v>
      </c>
      <c r="B56" s="11" t="s">
        <v>171</v>
      </c>
      <c r="C56" s="11" t="s">
        <v>176</v>
      </c>
      <c r="D56" s="11" t="s">
        <v>50</v>
      </c>
      <c r="E56" s="11" t="n">
        <v>47</v>
      </c>
      <c r="F56" s="21" t="n">
        <v>65.6</v>
      </c>
      <c r="G56" s="21" t="n">
        <v>65.6</v>
      </c>
      <c r="H56" s="21" t="n">
        <v>65.6</v>
      </c>
      <c r="I56" s="21" t="n">
        <v>65.6</v>
      </c>
      <c r="J56" s="21" t="n">
        <v>65.6</v>
      </c>
      <c r="K56" s="21" t="n">
        <v>65.6</v>
      </c>
      <c r="L56" s="21" t="n">
        <v>65.6</v>
      </c>
      <c r="M56" s="21" t="n">
        <v>65.6</v>
      </c>
      <c r="N56" s="21" t="n">
        <v>65.6</v>
      </c>
      <c r="O56" s="21" t="n">
        <v>65.6</v>
      </c>
      <c r="P56" s="21" t="n">
        <v>65.6</v>
      </c>
      <c r="Q56" s="21" t="n">
        <v>65.6</v>
      </c>
      <c r="R56" s="21" t="n">
        <v>65.6</v>
      </c>
      <c r="S56" s="21" t="n">
        <v>65.6</v>
      </c>
      <c r="T56" s="20" t="n">
        <f aca="false">IFERROR(S56/R56-1,"")</f>
        <v>0</v>
      </c>
      <c r="U56" s="20" t="n">
        <f aca="false">IFERROR(S56/F56-1,"")</f>
        <v>0</v>
      </c>
      <c r="V56" s="9"/>
    </row>
    <row r="57" customFormat="false" ht="15" hidden="false" customHeight="false" outlineLevel="0" collapsed="false">
      <c r="A57" s="11" t="s">
        <v>182</v>
      </c>
      <c r="B57" s="11" t="s">
        <v>171</v>
      </c>
      <c r="C57" s="11" t="s">
        <v>176</v>
      </c>
      <c r="D57" s="11" t="s">
        <v>50</v>
      </c>
      <c r="E57" s="11" t="n">
        <v>47</v>
      </c>
      <c r="F57" s="21" t="n">
        <v>60.7</v>
      </c>
      <c r="G57" s="21" t="n">
        <v>60.7</v>
      </c>
      <c r="H57" s="21" t="n">
        <v>60.7</v>
      </c>
      <c r="I57" s="21" t="n">
        <v>60.7</v>
      </c>
      <c r="J57" s="21" t="n">
        <v>60.7</v>
      </c>
      <c r="K57" s="21" t="n">
        <v>60.7</v>
      </c>
      <c r="L57" s="21" t="n">
        <v>60.7</v>
      </c>
      <c r="M57" s="21" t="n">
        <v>60.7</v>
      </c>
      <c r="N57" s="21" t="n">
        <v>60.7</v>
      </c>
      <c r="O57" s="21" t="n">
        <v>60.7</v>
      </c>
      <c r="P57" s="21" t="n">
        <v>60.7</v>
      </c>
      <c r="Q57" s="21" t="n">
        <v>60.7</v>
      </c>
      <c r="R57" s="21" t="n">
        <v>60.7</v>
      </c>
      <c r="S57" s="21" t="n">
        <v>60.7</v>
      </c>
      <c r="T57" s="20" t="n">
        <f aca="false">IFERROR(S57/R57-1,"")</f>
        <v>0</v>
      </c>
      <c r="U57" s="20" t="n">
        <f aca="false">IFERROR(S57/F57-1,"")</f>
        <v>0</v>
      </c>
      <c r="V57" s="9"/>
    </row>
    <row r="58" customFormat="false" ht="15" hidden="false" customHeight="false" outlineLevel="0" collapsed="false">
      <c r="A58" s="17" t="s">
        <v>183</v>
      </c>
      <c r="B58" s="18"/>
      <c r="C58" s="18"/>
      <c r="D58" s="18"/>
      <c r="E58" s="18"/>
      <c r="F58" s="18"/>
      <c r="G58" s="18"/>
      <c r="H58" s="18"/>
      <c r="I58" s="18"/>
      <c r="J58" s="18"/>
      <c r="K58" s="18"/>
      <c r="L58" s="18"/>
      <c r="M58" s="18"/>
      <c r="N58" s="18"/>
      <c r="O58" s="18"/>
      <c r="P58" s="18"/>
      <c r="Q58" s="18"/>
      <c r="R58" s="18"/>
      <c r="S58" s="18"/>
      <c r="T58" s="18"/>
      <c r="U58" s="18"/>
      <c r="V58" s="18"/>
    </row>
    <row r="59" customFormat="false" ht="15" hidden="false" customHeight="false" outlineLevel="0" collapsed="false">
      <c r="A59" s="11" t="s">
        <v>184</v>
      </c>
      <c r="B59" s="11" t="s">
        <v>185</v>
      </c>
      <c r="C59" s="11" t="s">
        <v>186</v>
      </c>
      <c r="D59" s="11" t="s">
        <v>187</v>
      </c>
      <c r="E59" s="11" t="n">
        <v>56</v>
      </c>
      <c r="F59" s="19" t="n">
        <v>1819</v>
      </c>
      <c r="G59" s="19" t="n">
        <v>2000</v>
      </c>
      <c r="H59" s="19" t="n">
        <v>2124</v>
      </c>
      <c r="I59" s="19" t="n">
        <v>1997</v>
      </c>
      <c r="J59" s="19" t="n">
        <v>2184</v>
      </c>
      <c r="K59" s="19" t="n">
        <v>2339</v>
      </c>
      <c r="L59" s="19" t="n">
        <v>1777</v>
      </c>
      <c r="M59" s="19" t="n">
        <v>2041</v>
      </c>
      <c r="N59" s="19" t="n">
        <v>2047</v>
      </c>
      <c r="O59" s="19" t="n">
        <v>2443</v>
      </c>
      <c r="P59" s="19" t="n">
        <v>3049</v>
      </c>
      <c r="Q59" s="19" t="n">
        <v>2775</v>
      </c>
      <c r="R59" s="19" t="n">
        <v>2770</v>
      </c>
      <c r="S59" s="22" t="n">
        <v>2770</v>
      </c>
      <c r="T59" s="20" t="n">
        <f aca="false">IFERROR(S59/R59-1,"")</f>
        <v>0</v>
      </c>
      <c r="U59" s="20" t="n">
        <f aca="false">IFERROR(S59/F59-1,"")</f>
        <v>0.522814733369984</v>
      </c>
      <c r="V59" s="23" t="s">
        <v>188</v>
      </c>
    </row>
    <row r="60" customFormat="false" ht="15" hidden="false" customHeight="false" outlineLevel="0" collapsed="false">
      <c r="A60" s="17" t="s">
        <v>189</v>
      </c>
      <c r="B60" s="18"/>
      <c r="C60" s="18"/>
      <c r="D60" s="18"/>
      <c r="E60" s="18"/>
      <c r="F60" s="18"/>
      <c r="G60" s="18"/>
      <c r="H60" s="18"/>
      <c r="I60" s="18"/>
      <c r="J60" s="18"/>
      <c r="K60" s="18"/>
      <c r="L60" s="18"/>
      <c r="M60" s="18"/>
      <c r="N60" s="18"/>
      <c r="O60" s="18"/>
      <c r="P60" s="18"/>
      <c r="Q60" s="18"/>
      <c r="R60" s="18"/>
      <c r="S60" s="18"/>
      <c r="T60" s="18"/>
      <c r="U60" s="18"/>
      <c r="V60" s="18"/>
    </row>
    <row r="61" customFormat="false" ht="15" hidden="false" customHeight="false" outlineLevel="0" collapsed="false">
      <c r="A61" s="11" t="s">
        <v>190</v>
      </c>
      <c r="B61" s="11" t="s">
        <v>191</v>
      </c>
      <c r="C61" s="11" t="s">
        <v>50</v>
      </c>
      <c r="D61" s="11" t="s">
        <v>50</v>
      </c>
      <c r="E61" s="11" t="n">
        <v>49</v>
      </c>
      <c r="F61" s="21" t="n">
        <v>86.71</v>
      </c>
      <c r="G61" s="21" t="n">
        <v>88.14</v>
      </c>
      <c r="H61" s="21" t="n">
        <v>88.89</v>
      </c>
      <c r="I61" s="21" t="n">
        <v>88.99</v>
      </c>
      <c r="J61" s="21" t="n">
        <v>89.42</v>
      </c>
      <c r="K61" s="21" t="n">
        <v>90.62</v>
      </c>
      <c r="L61" s="21" t="n">
        <v>91.34</v>
      </c>
      <c r="M61" s="21" t="n">
        <v>91.32</v>
      </c>
      <c r="N61" s="21" t="n">
        <v>93.24</v>
      </c>
      <c r="O61" s="21" t="n">
        <v>94.12</v>
      </c>
      <c r="P61" s="21" t="n">
        <v>96.16</v>
      </c>
      <c r="Q61" s="21" t="n">
        <v>95.52</v>
      </c>
      <c r="R61" s="21" t="n">
        <v>96.36</v>
      </c>
      <c r="S61" s="21" t="n">
        <v>96.05</v>
      </c>
      <c r="T61" s="20" t="n">
        <f aca="false">IFERROR(S61/R61-1,"")</f>
        <v>-0.003217102532171</v>
      </c>
      <c r="U61" s="20" t="n">
        <f aca="false">IFERROR(S61/F61-1,"")</f>
        <v>0.107715373082689</v>
      </c>
      <c r="V61" s="9"/>
    </row>
    <row r="62" customFormat="false" ht="15" hidden="false" customHeight="false" outlineLevel="0" collapsed="false">
      <c r="A62" s="11" t="s">
        <v>192</v>
      </c>
      <c r="B62" s="11" t="s">
        <v>191</v>
      </c>
      <c r="C62" s="11" t="s">
        <v>50</v>
      </c>
      <c r="D62" s="11" t="s">
        <v>50</v>
      </c>
      <c r="E62" s="11" t="n">
        <v>50</v>
      </c>
      <c r="F62" s="21" t="n">
        <v>117.97</v>
      </c>
      <c r="G62" s="21" t="n">
        <v>119.21</v>
      </c>
      <c r="H62" s="21" t="n">
        <v>120.76</v>
      </c>
      <c r="I62" s="21" t="n">
        <v>119.78</v>
      </c>
      <c r="J62" s="21" t="n">
        <v>118.36</v>
      </c>
      <c r="K62" s="21" t="n">
        <v>122.04</v>
      </c>
      <c r="L62" s="21" t="n">
        <v>124.29</v>
      </c>
      <c r="M62" s="21" t="n">
        <v>124.91</v>
      </c>
      <c r="N62" s="21" t="n">
        <v>125.4</v>
      </c>
      <c r="O62" s="21" t="n">
        <v>127.34</v>
      </c>
      <c r="P62" s="21" t="n">
        <v>130.48</v>
      </c>
      <c r="Q62" s="21" t="n">
        <v>128.3</v>
      </c>
      <c r="R62" s="21" t="n">
        <v>129.8</v>
      </c>
      <c r="S62" s="21" t="n">
        <v>130.83</v>
      </c>
      <c r="T62" s="20" t="n">
        <f aca="false">IFERROR(S62/R62-1,"")</f>
        <v>0.00793528505392915</v>
      </c>
      <c r="U62" s="20" t="n">
        <f aca="false">IFERROR(S62/F62-1,"")</f>
        <v>0.109010765448843</v>
      </c>
      <c r="V62" s="9"/>
    </row>
    <row r="63" customFormat="false" ht="15" hidden="false" customHeight="false" outlineLevel="0" collapsed="false">
      <c r="A63" s="11" t="s">
        <v>193</v>
      </c>
      <c r="B63" s="11" t="s">
        <v>191</v>
      </c>
      <c r="C63" s="11" t="s">
        <v>50</v>
      </c>
      <c r="D63" s="11" t="s">
        <v>50</v>
      </c>
      <c r="E63" s="11" t="n">
        <v>51</v>
      </c>
      <c r="F63" s="21" t="n">
        <v>102.16</v>
      </c>
      <c r="G63" s="21" t="n">
        <v>103.37</v>
      </c>
      <c r="H63" s="21" t="n">
        <v>105.15</v>
      </c>
      <c r="I63" s="21" t="n">
        <v>104.48</v>
      </c>
      <c r="J63" s="21" t="n">
        <v>104.24</v>
      </c>
      <c r="K63" s="21" t="n">
        <v>106.89</v>
      </c>
      <c r="L63" s="21" t="n">
        <v>108.03</v>
      </c>
      <c r="M63" s="21" t="n">
        <v>108.84</v>
      </c>
      <c r="N63" s="21" t="n">
        <v>108.74</v>
      </c>
      <c r="O63" s="21" t="n">
        <v>110.86</v>
      </c>
      <c r="P63" s="21" t="n">
        <v>113.12</v>
      </c>
      <c r="Q63" s="21" t="n">
        <v>111</v>
      </c>
      <c r="R63" s="21" t="n">
        <v>110.96</v>
      </c>
      <c r="S63" s="21" t="n">
        <v>112.12</v>
      </c>
      <c r="T63" s="20" t="n">
        <f aca="false">IFERROR(S63/R63-1,"")</f>
        <v>0.0104542177361213</v>
      </c>
      <c r="U63" s="20" t="n">
        <f aca="false">IFERROR(S63/F63-1,"")</f>
        <v>0.0974941268598277</v>
      </c>
      <c r="V63" s="9"/>
    </row>
    <row r="64" customFormat="false" ht="15" hidden="false" customHeight="false" outlineLevel="0" collapsed="false">
      <c r="A64" s="11" t="s">
        <v>194</v>
      </c>
      <c r="B64" s="11" t="s">
        <v>191</v>
      </c>
      <c r="C64" s="11" t="s">
        <v>50</v>
      </c>
      <c r="D64" s="11" t="s">
        <v>50</v>
      </c>
      <c r="E64" s="11" t="n">
        <v>52</v>
      </c>
      <c r="F64" s="21" t="n">
        <v>59.47</v>
      </c>
      <c r="G64" s="21" t="n">
        <v>60.12</v>
      </c>
      <c r="H64" s="21" t="n">
        <v>60.47</v>
      </c>
      <c r="I64" s="21" t="n">
        <v>59.22</v>
      </c>
      <c r="J64" s="21" t="n">
        <v>58.02</v>
      </c>
      <c r="K64" s="21" t="n">
        <v>58.5</v>
      </c>
      <c r="L64" s="21" t="n">
        <v>58.64</v>
      </c>
      <c r="M64" s="21" t="n">
        <v>59.3</v>
      </c>
      <c r="N64" s="21" t="n">
        <v>59.11</v>
      </c>
      <c r="O64" s="21" t="n">
        <v>59.46</v>
      </c>
      <c r="P64" s="21" t="n">
        <v>61.14</v>
      </c>
      <c r="Q64" s="21" t="n">
        <v>59.85</v>
      </c>
      <c r="R64" s="21" t="n">
        <v>59.69</v>
      </c>
      <c r="S64" s="21" t="n">
        <v>60.88</v>
      </c>
      <c r="T64" s="20" t="n">
        <f aca="false">IFERROR(S64/R64-1,"")</f>
        <v>0.0199363377450159</v>
      </c>
      <c r="U64" s="20" t="n">
        <f aca="false">IFERROR(S64/F64-1,"")</f>
        <v>0.0237094333277283</v>
      </c>
      <c r="V64" s="9"/>
    </row>
    <row r="65" customFormat="false" ht="15" hidden="false" customHeight="false" outlineLevel="0" collapsed="false">
      <c r="A65" s="11" t="s">
        <v>195</v>
      </c>
      <c r="B65" s="11" t="s">
        <v>191</v>
      </c>
      <c r="C65" s="11" t="s">
        <v>50</v>
      </c>
      <c r="D65" s="11" t="s">
        <v>50</v>
      </c>
      <c r="E65" s="11" t="n">
        <v>53</v>
      </c>
      <c r="F65" s="21" t="n">
        <v>12.02</v>
      </c>
      <c r="G65" s="21" t="n">
        <v>12.23</v>
      </c>
      <c r="H65" s="21" t="n">
        <v>12.41</v>
      </c>
      <c r="I65" s="21" t="n">
        <v>12.41</v>
      </c>
      <c r="J65" s="21" t="n">
        <v>12.75</v>
      </c>
      <c r="K65" s="21" t="n">
        <v>12.86</v>
      </c>
      <c r="L65" s="21" t="n">
        <v>13.24</v>
      </c>
      <c r="M65" s="21" t="n">
        <v>13.15</v>
      </c>
      <c r="N65" s="21" t="n">
        <v>13.5</v>
      </c>
      <c r="O65" s="21" t="n">
        <v>13.72</v>
      </c>
      <c r="P65" s="21" t="n">
        <v>14.09</v>
      </c>
      <c r="Q65" s="21" t="n">
        <v>14.04</v>
      </c>
      <c r="R65" s="21" t="n">
        <v>14.17</v>
      </c>
      <c r="S65" s="21" t="n">
        <v>14.17</v>
      </c>
      <c r="T65" s="20" t="n">
        <f aca="false">IFERROR(S65/R65-1,"")</f>
        <v>0</v>
      </c>
      <c r="U65" s="20" t="n">
        <f aca="false">IFERROR(S65/F65-1,"")</f>
        <v>0.178868552412646</v>
      </c>
      <c r="V65" s="9"/>
    </row>
    <row r="66" customFormat="false" ht="15" hidden="false" customHeight="false" outlineLevel="0" collapsed="false">
      <c r="A66" s="17" t="s">
        <v>196</v>
      </c>
      <c r="B66" s="18"/>
      <c r="C66" s="18"/>
      <c r="D66" s="18"/>
      <c r="E66" s="18"/>
      <c r="F66" s="18"/>
      <c r="G66" s="18"/>
      <c r="H66" s="18"/>
      <c r="I66" s="18"/>
      <c r="J66" s="18"/>
      <c r="K66" s="18"/>
      <c r="L66" s="18"/>
      <c r="M66" s="18"/>
      <c r="N66" s="18"/>
      <c r="O66" s="18"/>
      <c r="P66" s="18"/>
      <c r="Q66" s="18"/>
      <c r="R66" s="18"/>
      <c r="S66" s="18"/>
      <c r="T66" s="18"/>
      <c r="U66" s="18"/>
      <c r="V66" s="18"/>
    </row>
    <row r="67" customFormat="false" ht="15" hidden="false" customHeight="false" outlineLevel="0" collapsed="false">
      <c r="A67" s="11" t="s">
        <v>197</v>
      </c>
      <c r="B67" s="11" t="s">
        <v>198</v>
      </c>
      <c r="C67" s="11" t="s">
        <v>199</v>
      </c>
      <c r="D67" s="11" t="s">
        <v>200</v>
      </c>
      <c r="E67" s="11" t="n">
        <v>55</v>
      </c>
      <c r="F67" s="21" t="n">
        <v>4</v>
      </c>
      <c r="G67" s="21" t="n">
        <v>4</v>
      </c>
      <c r="H67" s="21" t="n">
        <v>3.5</v>
      </c>
      <c r="I67" s="21" t="n">
        <v>3.25</v>
      </c>
      <c r="J67" s="21" t="n">
        <v>3</v>
      </c>
      <c r="K67" s="21" t="n">
        <v>3</v>
      </c>
      <c r="L67" s="21" t="n">
        <v>3</v>
      </c>
      <c r="M67" s="21" t="n">
        <v>3</v>
      </c>
      <c r="N67" s="21" t="n">
        <v>3</v>
      </c>
      <c r="O67" s="21" t="n">
        <v>3</v>
      </c>
      <c r="P67" s="21" t="n">
        <v>3</v>
      </c>
      <c r="Q67" s="21" t="n">
        <v>3</v>
      </c>
      <c r="R67" s="21" t="n">
        <v>3</v>
      </c>
      <c r="S67" s="21" t="n">
        <v>3</v>
      </c>
      <c r="T67" s="20" t="n">
        <f aca="false">IFERROR(S67/R67-1,"")</f>
        <v>0</v>
      </c>
      <c r="U67" s="20" t="n">
        <f aca="false">IFERROR(S67/F67-1,"")</f>
        <v>-0.25</v>
      </c>
      <c r="V67" s="9"/>
    </row>
    <row r="68" customFormat="false" ht="15" hidden="false" customHeight="false" outlineLevel="0" collapsed="false">
      <c r="A68" s="11" t="s">
        <v>201</v>
      </c>
      <c r="B68" s="11" t="s">
        <v>198</v>
      </c>
      <c r="C68" s="11" t="s">
        <v>199</v>
      </c>
      <c r="D68" s="11" t="s">
        <v>200</v>
      </c>
      <c r="E68" s="11" t="n">
        <v>55</v>
      </c>
      <c r="F68" s="21" t="n">
        <v>5.75</v>
      </c>
      <c r="G68" s="21" t="n">
        <v>5.75</v>
      </c>
      <c r="H68" s="21" t="n">
        <v>5.75</v>
      </c>
      <c r="I68" s="21" t="n">
        <v>5.75</v>
      </c>
      <c r="J68" s="21" t="n">
        <v>5.5</v>
      </c>
      <c r="K68" s="21" t="n">
        <v>5.5</v>
      </c>
      <c r="L68" s="21" t="n">
        <v>5.5</v>
      </c>
      <c r="M68" s="21" t="n">
        <v>5.5</v>
      </c>
      <c r="N68" s="21" t="n">
        <v>5.5</v>
      </c>
      <c r="O68" s="21" t="n">
        <v>5.5</v>
      </c>
      <c r="P68" s="21" t="n">
        <v>5.5</v>
      </c>
      <c r="Q68" s="21" t="n">
        <v>5.5</v>
      </c>
      <c r="R68" s="21" t="n">
        <v>5.5</v>
      </c>
      <c r="S68" s="21" t="n">
        <v>5.5</v>
      </c>
      <c r="T68" s="20" t="n">
        <f aca="false">IFERROR(S68/R68-1,"")</f>
        <v>0</v>
      </c>
      <c r="U68" s="20" t="n">
        <f aca="false">IFERROR(S68/F68-1,"")</f>
        <v>-0.0434782608695652</v>
      </c>
      <c r="V68" s="9"/>
    </row>
    <row r="69" customFormat="false" ht="15" hidden="false" customHeight="false" outlineLevel="0" collapsed="false">
      <c r="A69" s="11" t="s">
        <v>202</v>
      </c>
      <c r="B69" s="11" t="s">
        <v>198</v>
      </c>
      <c r="C69" s="11" t="s">
        <v>199</v>
      </c>
      <c r="D69" s="11" t="s">
        <v>200</v>
      </c>
      <c r="E69" s="11" t="n">
        <v>55</v>
      </c>
      <c r="F69" s="21" t="n">
        <v>8.5</v>
      </c>
      <c r="G69" s="21" t="n">
        <v>8.5</v>
      </c>
      <c r="H69" s="21" t="n">
        <v>8.5</v>
      </c>
      <c r="I69" s="21" t="n">
        <v>8.35</v>
      </c>
      <c r="J69" s="21" t="n">
        <v>8.35</v>
      </c>
      <c r="K69" s="21" t="n">
        <v>8.35</v>
      </c>
      <c r="L69" s="21" t="n">
        <v>8.35</v>
      </c>
      <c r="M69" s="21" t="n">
        <v>8.35</v>
      </c>
      <c r="N69" s="21" t="n">
        <v>8.35</v>
      </c>
      <c r="O69" s="21" t="n">
        <v>8.35</v>
      </c>
      <c r="P69" s="21" t="n">
        <v>8.35</v>
      </c>
      <c r="Q69" s="21" t="n">
        <v>8.35</v>
      </c>
      <c r="R69" s="21" t="n">
        <v>8.4</v>
      </c>
      <c r="S69" s="21" t="n">
        <v>8.4</v>
      </c>
      <c r="T69" s="20" t="n">
        <f aca="false">IFERROR(S69/R69-1,"")</f>
        <v>0</v>
      </c>
      <c r="U69" s="20" t="n">
        <f aca="false">IFERROR(S69/F69-1,"")</f>
        <v>-0.0117647058823529</v>
      </c>
      <c r="V69" s="9"/>
    </row>
    <row r="70" customFormat="false" ht="15" hidden="false" customHeight="false" outlineLevel="0" collapsed="false">
      <c r="A70" s="11" t="s">
        <v>203</v>
      </c>
      <c r="B70" s="11" t="s">
        <v>198</v>
      </c>
      <c r="C70" s="11" t="s">
        <v>199</v>
      </c>
      <c r="D70" s="11" t="s">
        <v>200</v>
      </c>
      <c r="E70" s="11" t="n">
        <v>55</v>
      </c>
      <c r="F70" s="21" t="n">
        <v>10.3</v>
      </c>
      <c r="G70" s="21" t="n">
        <v>10.3</v>
      </c>
      <c r="H70" s="21" t="n">
        <v>10.3</v>
      </c>
      <c r="I70" s="21" t="n">
        <v>10</v>
      </c>
      <c r="J70" s="21" t="n">
        <v>10</v>
      </c>
      <c r="K70" s="21" t="n">
        <v>10</v>
      </c>
      <c r="L70" s="21" t="n">
        <v>10</v>
      </c>
      <c r="M70" s="21" t="n">
        <v>10</v>
      </c>
      <c r="N70" s="21" t="n">
        <v>10</v>
      </c>
      <c r="O70" s="21" t="n">
        <v>9.9</v>
      </c>
      <c r="P70" s="21" t="n">
        <v>9.9</v>
      </c>
      <c r="Q70" s="21" t="n">
        <v>9.9</v>
      </c>
      <c r="R70" s="21" t="n">
        <v>10</v>
      </c>
      <c r="S70" s="21" t="n">
        <v>10</v>
      </c>
      <c r="T70" s="20" t="n">
        <f aca="false">IFERROR(S70/R70-1,"")</f>
        <v>0</v>
      </c>
      <c r="U70" s="20" t="n">
        <f aca="false">IFERROR(S70/F70-1,"")</f>
        <v>-0.0291262135922331</v>
      </c>
      <c r="V70" s="9"/>
    </row>
    <row r="72" customFormat="false" ht="15" hidden="false" customHeight="false" outlineLevel="0" collapsed="false">
      <c r="A72" s="9" t="s">
        <v>204</v>
      </c>
    </row>
    <row r="73" customFormat="false" ht="15" hidden="false" customHeight="false" outlineLevel="0" collapsed="false">
      <c r="A73" s="9" t="s">
        <v>205</v>
      </c>
    </row>
  </sheetData>
  <mergeCells count="1">
    <mergeCell ref="A1:U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5" topLeftCell="F6" activePane="bottomRight" state="frozen"/>
      <selection pane="topLeft" activeCell="A1" activeCellId="0" sqref="A1"/>
      <selection pane="topRight" activeCell="F1" activeCellId="0" sqref="F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2"/>
    <col collapsed="false" customWidth="true" hidden="false" outlineLevel="0" max="3" min="3" style="0" width="14"/>
    <col collapsed="false" customWidth="true" hidden="false" outlineLevel="0" max="4" min="4" style="0" width="18"/>
    <col collapsed="false" customWidth="true" hidden="false" outlineLevel="0" max="5" min="5" style="0" width="8"/>
    <col collapsed="false" customWidth="true" hidden="false" outlineLevel="0" max="19" min="6" style="0" width="10.51"/>
    <col collapsed="false" customWidth="true" hidden="false" outlineLevel="0" max="21" min="20" style="0" width="9"/>
    <col collapsed="false" customWidth="true" hidden="false" outlineLevel="0" max="22" min="22" style="0" width="46"/>
  </cols>
  <sheetData>
    <row r="1" customFormat="false" ht="24" hidden="false" customHeight="true" outlineLevel="0" collapsed="false">
      <c r="A1" s="1" t="s">
        <v>206</v>
      </c>
      <c r="B1" s="1"/>
      <c r="C1" s="1"/>
      <c r="D1" s="1"/>
      <c r="E1" s="1"/>
      <c r="F1" s="1"/>
      <c r="G1" s="1"/>
      <c r="H1" s="1"/>
      <c r="I1" s="1"/>
      <c r="J1" s="1"/>
      <c r="K1" s="1"/>
      <c r="L1" s="1"/>
      <c r="M1" s="1"/>
      <c r="N1" s="1"/>
      <c r="O1" s="1"/>
      <c r="P1" s="1"/>
      <c r="Q1" s="1"/>
      <c r="R1" s="1"/>
      <c r="S1" s="1"/>
      <c r="T1" s="1"/>
      <c r="U1" s="1"/>
    </row>
    <row r="2" customFormat="false" ht="15" hidden="false" customHeight="false" outlineLevel="0" collapsed="false">
      <c r="A2" s="2" t="s">
        <v>207</v>
      </c>
    </row>
    <row r="5" customFormat="false" ht="25.5" hidden="false" customHeight="true" outlineLevel="0" collapsed="false">
      <c r="A5" s="15" t="s">
        <v>89</v>
      </c>
      <c r="B5" s="16" t="s">
        <v>90</v>
      </c>
      <c r="C5" s="16" t="s">
        <v>208</v>
      </c>
      <c r="D5" s="16" t="s">
        <v>209</v>
      </c>
      <c r="E5" s="16" t="s">
        <v>93</v>
      </c>
      <c r="F5" s="16" t="s">
        <v>53</v>
      </c>
      <c r="G5" s="16" t="s">
        <v>94</v>
      </c>
      <c r="H5" s="16" t="s">
        <v>95</v>
      </c>
      <c r="I5" s="16" t="s">
        <v>96</v>
      </c>
      <c r="J5" s="16" t="s">
        <v>97</v>
      </c>
      <c r="K5" s="16" t="s">
        <v>98</v>
      </c>
      <c r="L5" s="16" t="s">
        <v>99</v>
      </c>
      <c r="M5" s="16" t="s">
        <v>100</v>
      </c>
      <c r="N5" s="16" t="s">
        <v>101</v>
      </c>
      <c r="O5" s="16" t="s">
        <v>102</v>
      </c>
      <c r="P5" s="16" t="s">
        <v>103</v>
      </c>
      <c r="Q5" s="16" t="s">
        <v>104</v>
      </c>
      <c r="R5" s="16" t="s">
        <v>105</v>
      </c>
      <c r="S5" s="16" t="s">
        <v>59</v>
      </c>
      <c r="T5" s="16" t="s">
        <v>106</v>
      </c>
      <c r="U5" s="16" t="s">
        <v>107</v>
      </c>
      <c r="V5" s="15" t="s">
        <v>108</v>
      </c>
    </row>
    <row r="6" customFormat="false" ht="15" hidden="false" customHeight="false" outlineLevel="0" collapsed="false">
      <c r="A6" s="17" t="s">
        <v>109</v>
      </c>
      <c r="B6" s="18"/>
      <c r="C6" s="18"/>
      <c r="D6" s="18"/>
      <c r="E6" s="18"/>
      <c r="F6" s="18"/>
      <c r="G6" s="18"/>
      <c r="H6" s="18"/>
      <c r="I6" s="18"/>
      <c r="J6" s="18"/>
      <c r="K6" s="18"/>
      <c r="L6" s="18"/>
      <c r="M6" s="18"/>
      <c r="N6" s="18"/>
      <c r="O6" s="18"/>
      <c r="P6" s="18"/>
      <c r="Q6" s="18"/>
      <c r="R6" s="18"/>
      <c r="S6" s="18"/>
      <c r="T6" s="18"/>
      <c r="U6" s="18"/>
      <c r="V6" s="18"/>
    </row>
    <row r="7" customFormat="false" ht="15" hidden="false" customHeight="false" outlineLevel="0" collapsed="false">
      <c r="A7" s="24" t="str">
        <f aca="false">'Raw Data'!A7</f>
        <v>HR Steel (HRC 1.8mm, IS2062)</v>
      </c>
      <c r="B7" s="11" t="s">
        <v>111</v>
      </c>
      <c r="C7" s="11" t="s">
        <v>143</v>
      </c>
      <c r="D7" s="11" t="s">
        <v>210</v>
      </c>
      <c r="E7" s="11" t="n">
        <v>5</v>
      </c>
      <c r="F7" s="25" t="n">
        <f aca="false">'Raw Data'!F7/1000</f>
        <v>50.95</v>
      </c>
      <c r="G7" s="25" t="n">
        <f aca="false">'Raw Data'!G7/1000</f>
        <v>51.4375</v>
      </c>
      <c r="H7" s="25" t="n">
        <f aca="false">'Raw Data'!H7/1000</f>
        <v>50.8125</v>
      </c>
      <c r="I7" s="25" t="n">
        <f aca="false">'Raw Data'!I7/1000</f>
        <v>49.8125</v>
      </c>
      <c r="J7" s="25" t="n">
        <f aca="false">'Raw Data'!J7/1000</f>
        <v>48.1875</v>
      </c>
      <c r="K7" s="25" t="n">
        <f aca="false">'Raw Data'!K7/1000</f>
        <v>49.08</v>
      </c>
      <c r="L7" s="25" t="n">
        <f aca="false">'Raw Data'!L7/1000</f>
        <v>53.6125</v>
      </c>
      <c r="M7" s="25" t="n">
        <f aca="false">'Raw Data'!M7/1000</f>
        <v>55.2125</v>
      </c>
      <c r="N7" s="25" t="n">
        <f aca="false">'Raw Data'!N7/1000</f>
        <v>57.625</v>
      </c>
      <c r="O7" s="25" t="n">
        <f aca="false">'Raw Data'!O7/1000</f>
        <v>60.55</v>
      </c>
      <c r="P7" s="25" t="n">
        <f aca="false">'Raw Data'!P7/1000</f>
        <v>59.75</v>
      </c>
      <c r="Q7" s="25" t="n">
        <f aca="false">'Raw Data'!Q7/1000</f>
        <v>61.375</v>
      </c>
      <c r="R7" s="25" t="n">
        <f aca="false">'Raw Data'!R7/1000</f>
        <v>60.89</v>
      </c>
      <c r="S7" s="25" t="n">
        <f aca="false">'Raw Data'!S7/1000</f>
        <v>61.544</v>
      </c>
      <c r="T7" s="20" t="n">
        <f aca="false">IFERROR(S7/R7-1,"")</f>
        <v>0.0107406799146001</v>
      </c>
      <c r="U7" s="20" t="n">
        <f aca="false">IFERROR(S7/F7-1,"")</f>
        <v>0.20792934249264</v>
      </c>
    </row>
    <row r="8" customFormat="false" ht="15" hidden="false" customHeight="false" outlineLevel="0" collapsed="false">
      <c r="A8" s="24" t="str">
        <f aca="false">'Raw Data'!A8</f>
        <v>CR Steel (CRC 0.90mm, IS513 GrO)</v>
      </c>
      <c r="B8" s="11" t="s">
        <v>111</v>
      </c>
      <c r="C8" s="11" t="s">
        <v>143</v>
      </c>
      <c r="D8" s="11" t="s">
        <v>210</v>
      </c>
      <c r="E8" s="11" t="n">
        <v>6</v>
      </c>
      <c r="F8" s="25" t="n">
        <f aca="false">'Raw Data'!F8/1000</f>
        <v>56.45</v>
      </c>
      <c r="G8" s="25" t="n">
        <f aca="false">'Raw Data'!G8/1000</f>
        <v>57</v>
      </c>
      <c r="H8" s="25" t="n">
        <f aca="false">'Raw Data'!H8/1000</f>
        <v>56.5</v>
      </c>
      <c r="I8" s="25" t="n">
        <f aca="false">'Raw Data'!I8/1000</f>
        <v>55.5</v>
      </c>
      <c r="J8" s="25" t="n">
        <f aca="false">'Raw Data'!J8/1000</f>
        <v>54.9375</v>
      </c>
      <c r="K8" s="25" t="n">
        <f aca="false">'Raw Data'!K8/1000</f>
        <v>54.87</v>
      </c>
      <c r="L8" s="25" t="n">
        <f aca="false">'Raw Data'!L8/1000</f>
        <v>57.85</v>
      </c>
      <c r="M8" s="25" t="n">
        <f aca="false">'Raw Data'!M8/1000</f>
        <v>59.6375</v>
      </c>
      <c r="N8" s="25" t="n">
        <f aca="false">'Raw Data'!N8/1000</f>
        <v>62.625</v>
      </c>
      <c r="O8" s="25" t="n">
        <f aca="false">'Raw Data'!O8/1000</f>
        <v>66.45</v>
      </c>
      <c r="P8" s="25" t="n">
        <f aca="false">'Raw Data'!P8/1000</f>
        <v>65.75</v>
      </c>
      <c r="Q8" s="25" t="n">
        <f aca="false">'Raw Data'!Q8/1000</f>
        <v>65.75</v>
      </c>
      <c r="R8" s="25" t="n">
        <f aca="false">'Raw Data'!R8/1000</f>
        <v>65.15</v>
      </c>
      <c r="S8" s="25" t="n">
        <f aca="false">'Raw Data'!S8/1000</f>
        <v>65.625</v>
      </c>
      <c r="T8" s="20" t="n">
        <f aca="false">IFERROR(S8/R8-1,"")</f>
        <v>0.00729086722947026</v>
      </c>
      <c r="U8" s="20" t="n">
        <f aca="false">IFERROR(S8/F8-1,"")</f>
        <v>0.162533215234721</v>
      </c>
    </row>
    <row r="9" customFormat="false" ht="15" hidden="false" customHeight="false" outlineLevel="0" collapsed="false">
      <c r="A9" s="24" t="str">
        <f aca="false">'Raw Data'!A9</f>
        <v>Alloy Steel - Forging (20MnCr5)</v>
      </c>
      <c r="B9" s="11" t="s">
        <v>111</v>
      </c>
      <c r="C9" s="11" t="s">
        <v>143</v>
      </c>
      <c r="D9" s="11" t="s">
        <v>210</v>
      </c>
      <c r="E9" s="11" t="n">
        <v>7</v>
      </c>
      <c r="F9" s="25" t="n">
        <f aca="false">'Raw Data'!F9/1000</f>
        <v>62</v>
      </c>
      <c r="G9" s="25" t="n">
        <f aca="false">'Raw Data'!G9/1000</f>
        <v>62</v>
      </c>
      <c r="H9" s="25" t="n">
        <f aca="false">'Raw Data'!H9/1000</f>
        <v>61.25</v>
      </c>
      <c r="I9" s="25" t="n">
        <f aca="false">'Raw Data'!I9/1000</f>
        <v>61</v>
      </c>
      <c r="J9" s="25" t="n">
        <f aca="false">'Raw Data'!J9/1000</f>
        <v>60.25</v>
      </c>
      <c r="K9" s="25" t="n">
        <f aca="false">'Raw Data'!K9/1000</f>
        <v>60</v>
      </c>
      <c r="L9" s="25" t="n">
        <f aca="false">'Raw Data'!L9/1000</f>
        <v>60.8</v>
      </c>
      <c r="M9" s="25" t="n">
        <f aca="false">'Raw Data'!M9/1000</f>
        <v>62</v>
      </c>
      <c r="N9" s="25" t="n">
        <f aca="false">'Raw Data'!N9/1000</f>
        <v>62</v>
      </c>
      <c r="O9" s="25" t="n">
        <f aca="false">'Raw Data'!O9/1000</f>
        <v>67.38</v>
      </c>
      <c r="P9" s="25" t="n">
        <f aca="false">'Raw Data'!P9/1000</f>
        <v>67.33</v>
      </c>
      <c r="Q9" s="25" t="n">
        <f aca="false">'Raw Data'!Q9/1000</f>
        <v>65.63</v>
      </c>
      <c r="R9" s="25" t="n">
        <f aca="false">'Raw Data'!R9/1000</f>
        <v>62.33</v>
      </c>
      <c r="S9" s="25" t="n">
        <f aca="false">'Raw Data'!S9/1000</f>
        <v>62.13</v>
      </c>
      <c r="T9" s="20" t="n">
        <f aca="false">IFERROR(S9/R9-1,"")</f>
        <v>-0.00320872773945125</v>
      </c>
      <c r="U9" s="20" t="n">
        <f aca="false">IFERROR(S9/F9-1,"")</f>
        <v>0.00209677419354848</v>
      </c>
    </row>
    <row r="10" customFormat="false" ht="15" hidden="false" customHeight="false" outlineLevel="0" collapsed="false">
      <c r="A10" s="24" t="str">
        <f aca="false">'Raw Data'!A10</f>
        <v>Alloy Steel - Forging (EN-8)</v>
      </c>
      <c r="B10" s="11" t="s">
        <v>111</v>
      </c>
      <c r="C10" s="11" t="s">
        <v>143</v>
      </c>
      <c r="D10" s="11" t="s">
        <v>210</v>
      </c>
      <c r="E10" s="11" t="n">
        <v>8</v>
      </c>
      <c r="F10" s="25" t="n">
        <f aca="false">'Raw Data'!F10/1000</f>
        <v>61</v>
      </c>
      <c r="G10" s="25" t="n">
        <f aca="false">'Raw Data'!G10/1000</f>
        <v>61</v>
      </c>
      <c r="H10" s="25" t="n">
        <f aca="false">'Raw Data'!H10/1000</f>
        <v>60.25</v>
      </c>
      <c r="I10" s="25" t="n">
        <f aca="false">'Raw Data'!I10/1000</f>
        <v>60</v>
      </c>
      <c r="J10" s="25" t="n">
        <f aca="false">'Raw Data'!J10/1000</f>
        <v>59.25</v>
      </c>
      <c r="K10" s="25" t="n">
        <f aca="false">'Raw Data'!K10/1000</f>
        <v>59</v>
      </c>
      <c r="L10" s="25" t="n">
        <f aca="false">'Raw Data'!L10/1000</f>
        <v>59.8</v>
      </c>
      <c r="M10" s="25" t="n">
        <f aca="false">'Raw Data'!M10/1000</f>
        <v>61</v>
      </c>
      <c r="N10" s="25" t="n">
        <f aca="false">'Raw Data'!N10/1000</f>
        <v>61</v>
      </c>
      <c r="O10" s="25" t="n">
        <f aca="false">'Raw Data'!O10/1000</f>
        <v>64.25</v>
      </c>
      <c r="P10" s="25" t="n">
        <f aca="false">'Raw Data'!P10/1000</f>
        <v>64.2</v>
      </c>
      <c r="Q10" s="25" t="n">
        <f aca="false">'Raw Data'!Q10/1000</f>
        <v>62.5</v>
      </c>
      <c r="R10" s="25" t="n">
        <f aca="false">'Raw Data'!R10/1000</f>
        <v>59.2</v>
      </c>
      <c r="S10" s="25" t="n">
        <f aca="false">'Raw Data'!S10/1000</f>
        <v>59</v>
      </c>
      <c r="T10" s="20" t="n">
        <f aca="false">IFERROR(S10/R10-1,"")</f>
        <v>-0.0033783783783784</v>
      </c>
      <c r="U10" s="20" t="n">
        <f aca="false">IFERROR(S10/F10-1,"")</f>
        <v>-0.0327868852459017</v>
      </c>
    </row>
    <row r="11" customFormat="false" ht="15" hidden="false" customHeight="false" outlineLevel="0" collapsed="false">
      <c r="A11" s="24" t="str">
        <f aca="false">'Raw Data'!A11</f>
        <v>Pig Iron (Foundry Grade B)</v>
      </c>
      <c r="B11" s="11" t="s">
        <v>111</v>
      </c>
      <c r="C11" s="11" t="s">
        <v>143</v>
      </c>
      <c r="D11" s="11" t="s">
        <v>210</v>
      </c>
      <c r="E11" s="11" t="n">
        <v>9</v>
      </c>
      <c r="F11" s="25" t="n">
        <f aca="false">'Raw Data'!F11/1000</f>
        <v>37.625</v>
      </c>
      <c r="G11" s="25" t="n">
        <f aca="false">'Raw Data'!G11/1000</f>
        <v>37.6</v>
      </c>
      <c r="H11" s="25" t="n">
        <f aca="false">'Raw Data'!H11/1000</f>
        <v>39.25</v>
      </c>
      <c r="I11" s="25" t="n">
        <f aca="false">'Raw Data'!I11/1000</f>
        <v>39.2</v>
      </c>
      <c r="J11" s="25" t="n">
        <f aca="false">'Raw Data'!J11/1000</f>
        <v>39</v>
      </c>
      <c r="K11" s="25" t="n">
        <f aca="false">'Raw Data'!K11/1000</f>
        <v>38.25</v>
      </c>
      <c r="L11" s="25" t="n">
        <f aca="false">'Raw Data'!L11/1000</f>
        <v>41.6</v>
      </c>
      <c r="M11" s="25" t="n">
        <f aca="false">'Raw Data'!M11/1000</f>
        <v>42.667</v>
      </c>
      <c r="N11" s="25" t="n">
        <f aca="false">'Raw Data'!N11/1000</f>
        <v>43.5</v>
      </c>
      <c r="O11" s="25" t="n">
        <f aca="false">'Raw Data'!O11/1000</f>
        <v>45.25</v>
      </c>
      <c r="P11" s="25" t="n">
        <f aca="false">'Raw Data'!P11/1000</f>
        <v>45.5</v>
      </c>
      <c r="Q11" s="25" t="n">
        <f aca="false">'Raw Data'!Q11/1000</f>
        <v>44.25</v>
      </c>
      <c r="R11" s="25" t="n">
        <f aca="false">'Raw Data'!R11/1000</f>
        <v>46.3</v>
      </c>
      <c r="S11" s="25" t="n">
        <f aca="false">'Raw Data'!S11/1000</f>
        <v>48.75</v>
      </c>
      <c r="T11" s="20" t="n">
        <f aca="false">IFERROR(S11/R11-1,"")</f>
        <v>0.0529157667386611</v>
      </c>
      <c r="U11" s="20" t="n">
        <f aca="false">IFERROR(S11/F11-1,"")</f>
        <v>0.295681063122924</v>
      </c>
    </row>
    <row r="12" customFormat="false" ht="15" hidden="false" customHeight="false" outlineLevel="0" collapsed="false">
      <c r="A12" s="24" t="str">
        <f aca="false">'Raw Data'!A12</f>
        <v>Stainless Steel (G304 CR Coil)</v>
      </c>
      <c r="B12" s="11" t="s">
        <v>111</v>
      </c>
      <c r="C12" s="11" t="s">
        <v>143</v>
      </c>
      <c r="D12" s="11" t="s">
        <v>210</v>
      </c>
      <c r="E12" s="11" t="n">
        <v>10</v>
      </c>
      <c r="F12" s="25" t="n">
        <f aca="false">'Raw Data'!F12/1000</f>
        <v>193.8</v>
      </c>
      <c r="G12" s="25" t="n">
        <f aca="false">'Raw Data'!G12/1000</f>
        <v>197.5</v>
      </c>
      <c r="H12" s="25" t="n">
        <f aca="false">'Raw Data'!H12/1000</f>
        <v>200.5</v>
      </c>
      <c r="I12" s="25" t="n">
        <f aca="false">'Raw Data'!I12/1000</f>
        <v>200</v>
      </c>
      <c r="J12" s="25" t="n">
        <f aca="false">'Raw Data'!J12/1000</f>
        <v>192.5</v>
      </c>
      <c r="K12" s="25" t="n">
        <f aca="false">'Raw Data'!K12/1000</f>
        <v>190</v>
      </c>
      <c r="L12" s="25" t="n">
        <f aca="false">'Raw Data'!L12/1000</f>
        <v>198.75</v>
      </c>
      <c r="M12" s="25" t="n">
        <f aca="false">'Raw Data'!M12/1000</f>
        <v>203.5</v>
      </c>
      <c r="N12" s="25" t="n">
        <f aca="false">'Raw Data'!N12/1000</f>
        <v>215</v>
      </c>
      <c r="O12" s="25" t="n">
        <f aca="false">'Raw Data'!O12/1000</f>
        <v>226</v>
      </c>
      <c r="P12" s="25" t="n">
        <f aca="false">'Raw Data'!P12/1000</f>
        <v>231.375</v>
      </c>
      <c r="Q12" s="25" t="n">
        <f aca="false">'Raw Data'!Q12/1000</f>
        <v>224.5</v>
      </c>
      <c r="R12" s="25" t="n">
        <f aca="false">'Raw Data'!R12/1000</f>
        <v>221</v>
      </c>
      <c r="S12" s="25" t="n">
        <f aca="false">'Raw Data'!S12/1000</f>
        <v>225</v>
      </c>
      <c r="T12" s="20" t="n">
        <f aca="false">IFERROR(S12/R12-1,"")</f>
        <v>0.0180995475113122</v>
      </c>
      <c r="U12" s="20" t="n">
        <f aca="false">IFERROR(S12/F12-1,"")</f>
        <v>0.160990712074303</v>
      </c>
    </row>
    <row r="13" customFormat="false" ht="15" hidden="false" customHeight="false" outlineLevel="0" collapsed="false">
      <c r="A13" s="24" t="str">
        <f aca="false">'Raw Data'!A13</f>
        <v>Stainless Steel (G304 HR Coil)</v>
      </c>
      <c r="B13" s="11" t="s">
        <v>111</v>
      </c>
      <c r="C13" s="11" t="s">
        <v>143</v>
      </c>
      <c r="D13" s="11" t="s">
        <v>210</v>
      </c>
      <c r="E13" s="11" t="n">
        <v>11</v>
      </c>
      <c r="F13" s="25" t="n">
        <f aca="false">'Raw Data'!F13/1000</f>
        <v>184</v>
      </c>
      <c r="G13" s="25" t="n">
        <f aca="false">'Raw Data'!G13/1000</f>
        <v>187.125</v>
      </c>
      <c r="H13" s="25" t="n">
        <f aca="false">'Raw Data'!H13/1000</f>
        <v>190.5</v>
      </c>
      <c r="I13" s="25" t="n">
        <f aca="false">'Raw Data'!I13/1000</f>
        <v>190</v>
      </c>
      <c r="J13" s="25" t="n">
        <f aca="false">'Raw Data'!J13/1000</f>
        <v>182.5</v>
      </c>
      <c r="K13" s="25" t="n">
        <f aca="false">'Raw Data'!K13/1000</f>
        <v>181.6</v>
      </c>
      <c r="L13" s="25" t="n">
        <f aca="false">'Raw Data'!L13/1000</f>
        <v>190.5</v>
      </c>
      <c r="M13" s="25" t="n">
        <f aca="false">'Raw Data'!M13/1000</f>
        <v>194.25</v>
      </c>
      <c r="N13" s="25" t="n">
        <f aca="false">'Raw Data'!N13/1000</f>
        <v>208</v>
      </c>
      <c r="O13" s="25" t="n">
        <f aca="false">'Raw Data'!O13/1000</f>
        <v>216.4</v>
      </c>
      <c r="P13" s="25" t="n">
        <f aca="false">'Raw Data'!P13/1000</f>
        <v>224.25</v>
      </c>
      <c r="Q13" s="25" t="n">
        <f aca="false">'Raw Data'!Q13/1000</f>
        <v>218.25</v>
      </c>
      <c r="R13" s="25" t="n">
        <f aca="false">'Raw Data'!R13/1000</f>
        <v>214</v>
      </c>
      <c r="S13" s="25" t="n">
        <f aca="false">'Raw Data'!S13/1000</f>
        <v>218.75</v>
      </c>
      <c r="T13" s="20" t="n">
        <f aca="false">IFERROR(S13/R13-1,"")</f>
        <v>0.0221962616822431</v>
      </c>
      <c r="U13" s="20" t="n">
        <f aca="false">IFERROR(S13/F13-1,"")</f>
        <v>0.188858695652174</v>
      </c>
    </row>
    <row r="14" customFormat="false" ht="15" hidden="false" customHeight="false" outlineLevel="0" collapsed="false">
      <c r="A14" s="24" t="str">
        <f aca="false">'Raw Data'!A14</f>
        <v>Steel Scrap (RM end scrap)</v>
      </c>
      <c r="B14" s="11" t="s">
        <v>111</v>
      </c>
      <c r="C14" s="11" t="s">
        <v>143</v>
      </c>
      <c r="D14" s="11" t="s">
        <v>210</v>
      </c>
      <c r="E14" s="11" t="n">
        <v>12</v>
      </c>
      <c r="F14" s="25" t="n">
        <f aca="false">'Raw Data'!F14/1000</f>
        <v>36.325</v>
      </c>
      <c r="G14" s="25" t="n">
        <f aca="false">'Raw Data'!G14/1000</f>
        <v>36.52</v>
      </c>
      <c r="H14" s="25" t="n">
        <f aca="false">'Raw Data'!H14/1000</f>
        <v>35.425</v>
      </c>
      <c r="I14" s="25" t="n">
        <f aca="false">'Raw Data'!I14/1000</f>
        <v>34.72</v>
      </c>
      <c r="J14" s="25" t="n">
        <f aca="false">'Raw Data'!J14/1000</f>
        <v>33.55</v>
      </c>
      <c r="K14" s="25" t="n">
        <f aca="false">'Raw Data'!K14/1000</f>
        <v>33.575</v>
      </c>
      <c r="L14" s="25" t="n">
        <f aca="false">'Raw Data'!L14/1000</f>
        <v>35.3</v>
      </c>
      <c r="M14" s="25" t="n">
        <f aca="false">'Raw Data'!M14/1000</f>
        <v>37.167</v>
      </c>
      <c r="N14" s="25" t="n">
        <f aca="false">'Raw Data'!N14/1000</f>
        <v>38.9</v>
      </c>
      <c r="O14" s="25" t="n">
        <f aca="false">'Raw Data'!O14/1000</f>
        <v>40.95</v>
      </c>
      <c r="P14" s="25" t="n">
        <f aca="false">'Raw Data'!P14/1000</f>
        <v>40.06</v>
      </c>
      <c r="Q14" s="25" t="n">
        <f aca="false">'Raw Data'!Q14/1000</f>
        <v>38.7</v>
      </c>
      <c r="R14" s="25" t="n">
        <f aca="false">'Raw Data'!R14/1000</f>
        <v>36.78</v>
      </c>
      <c r="S14" s="25" t="n">
        <f aca="false">'Raw Data'!S14/1000</f>
        <v>37.275</v>
      </c>
      <c r="T14" s="20" t="n">
        <f aca="false">IFERROR(S14/R14-1,"")</f>
        <v>0.0134584013050569</v>
      </c>
      <c r="U14" s="20" t="n">
        <f aca="false">IFERROR(S14/F14-1,"")</f>
        <v>0.026152787336545</v>
      </c>
    </row>
    <row r="15" customFormat="false" ht="15" hidden="false" customHeight="false" outlineLevel="0" collapsed="false">
      <c r="A15" s="17" t="s">
        <v>121</v>
      </c>
      <c r="B15" s="18"/>
      <c r="C15" s="18"/>
      <c r="D15" s="18"/>
      <c r="E15" s="18"/>
      <c r="F15" s="18"/>
      <c r="G15" s="18"/>
      <c r="H15" s="18"/>
      <c r="I15" s="18"/>
      <c r="J15" s="18"/>
      <c r="K15" s="18"/>
      <c r="L15" s="18"/>
      <c r="M15" s="18"/>
      <c r="N15" s="18"/>
      <c r="O15" s="18"/>
      <c r="P15" s="18"/>
      <c r="Q15" s="18"/>
      <c r="R15" s="18"/>
      <c r="S15" s="18"/>
      <c r="T15" s="18"/>
      <c r="U15" s="18"/>
      <c r="V15" s="18"/>
    </row>
    <row r="16" customFormat="false" ht="15" hidden="false" customHeight="false" outlineLevel="0" collapsed="false">
      <c r="A16" s="24" t="str">
        <f aca="false">'Raw Data'!A16</f>
        <v>Coking Coal (Premium HCC, Australia)</v>
      </c>
      <c r="B16" s="11" t="s">
        <v>123</v>
      </c>
      <c r="C16" s="11" t="s">
        <v>143</v>
      </c>
      <c r="D16" s="11" t="s">
        <v>211</v>
      </c>
      <c r="E16" s="11" t="n">
        <v>13</v>
      </c>
      <c r="F16" s="25" t="n">
        <f aca="false">'Raw Data'!F16*'Raw Data'!F$61/1000</f>
        <v>16.73503</v>
      </c>
      <c r="G16" s="25" t="n">
        <f aca="false">'Raw Data'!G16*'Raw Data'!G$61/1000</f>
        <v>17.89242</v>
      </c>
      <c r="H16" s="25" t="n">
        <f aca="false">'Raw Data'!H16*'Raw Data'!H$61/1000</f>
        <v>18.04467</v>
      </c>
      <c r="I16" s="25" t="n">
        <f aca="false">'Raw Data'!I16*'Raw Data'!I$61/1000</f>
        <v>18.50992</v>
      </c>
      <c r="J16" s="25" t="n">
        <f aca="false">'Raw Data'!J16*'Raw Data'!J$61/1000</f>
        <v>19.13588</v>
      </c>
      <c r="K16" s="25" t="n">
        <f aca="false">'Raw Data'!K16*'Raw Data'!K$61/1000</f>
        <v>20.57074</v>
      </c>
      <c r="L16" s="25" t="n">
        <f aca="false">'Raw Data'!L16*'Raw Data'!L$61/1000</f>
        <v>22.65232</v>
      </c>
      <c r="M16" s="25" t="n">
        <f aca="false">'Raw Data'!M16*'Raw Data'!M$61/1000</f>
        <v>24.01716</v>
      </c>
      <c r="N16" s="25" t="n">
        <f aca="false">'Raw Data'!N16*'Raw Data'!N$61/1000</f>
        <v>23.21676</v>
      </c>
      <c r="O16" s="25" t="n">
        <f aca="false">'Raw Data'!O16*'Raw Data'!O$61/1000</f>
        <v>24.0006</v>
      </c>
      <c r="P16" s="25" t="n">
        <f aca="false">'Raw Data'!P16*'Raw Data'!P$61/1000</f>
        <v>25.38624</v>
      </c>
      <c r="Q16" s="25" t="n">
        <f aca="false">'Raw Data'!Q16*'Raw Data'!Q$61/1000</f>
        <v>25.40832</v>
      </c>
      <c r="R16" s="25" t="n">
        <f aca="false">'Raw Data'!R16*'Raw Data'!R$61/1000</f>
        <v>24.28272</v>
      </c>
      <c r="S16" s="25" t="n">
        <f aca="false">'Raw Data'!S16*'Raw Data'!S$61/1000</f>
        <v>24.30065</v>
      </c>
      <c r="T16" s="20" t="n">
        <f aca="false">IFERROR(S16/R16-1,"")</f>
        <v>0.000738385156193289</v>
      </c>
      <c r="U16" s="20" t="n">
        <f aca="false">IFERROR(S16/F16-1,"")</f>
        <v>0.452082846579899</v>
      </c>
      <c r="V16" s="9" t="s">
        <v>212</v>
      </c>
    </row>
    <row r="17" customFormat="false" ht="15" hidden="false" customHeight="false" outlineLevel="0" collapsed="false">
      <c r="A17" s="24" t="str">
        <f aca="false">'Raw Data'!A17</f>
        <v>Iron Ore (Fe 62%, Australia)</v>
      </c>
      <c r="B17" s="11" t="s">
        <v>123</v>
      </c>
      <c r="C17" s="11" t="s">
        <v>143</v>
      </c>
      <c r="D17" s="11" t="s">
        <v>211</v>
      </c>
      <c r="E17" s="11" t="n">
        <v>14</v>
      </c>
      <c r="F17" s="25" t="n">
        <f aca="false">'Raw Data'!F17*'Raw Data'!F$61/1000</f>
        <v>8.58429</v>
      </c>
      <c r="G17" s="25" t="n">
        <f aca="false">'Raw Data'!G17*'Raw Data'!G$61/1000</f>
        <v>8.99028</v>
      </c>
      <c r="H17" s="25" t="n">
        <f aca="false">'Raw Data'!H17*'Raw Data'!H$61/1000</f>
        <v>9.33345</v>
      </c>
      <c r="I17" s="25" t="n">
        <f aca="false">'Raw Data'!I17*'Raw Data'!I$61/1000</f>
        <v>9.43294</v>
      </c>
      <c r="J17" s="25" t="n">
        <f aca="false">'Raw Data'!J17*'Raw Data'!J$61/1000</f>
        <v>9.29968</v>
      </c>
      <c r="K17" s="25" t="n">
        <f aca="false">'Raw Data'!K17*'Raw Data'!K$61/1000</f>
        <v>9.69634</v>
      </c>
      <c r="L17" s="25" t="n">
        <f aca="false">'Raw Data'!L17*'Raw Data'!L$61/1000</f>
        <v>9.68204</v>
      </c>
      <c r="M17" s="25" t="n">
        <f aca="false">'Raw Data'!M17*'Raw Data'!M$61/1000</f>
        <v>9.04068</v>
      </c>
      <c r="N17" s="25" t="n">
        <f aca="false">'Raw Data'!N17*'Raw Data'!N$61/1000</f>
        <v>9.88344</v>
      </c>
      <c r="O17" s="25" t="n">
        <f aca="false">'Raw Data'!O17*'Raw Data'!O$61/1000</f>
        <v>10.07084</v>
      </c>
      <c r="P17" s="25" t="n">
        <f aca="false">'Raw Data'!P17*'Raw Data'!P$61/1000</f>
        <v>10.48144</v>
      </c>
      <c r="Q17" s="25" t="n">
        <f aca="false">'Raw Data'!Q17*'Raw Data'!Q$61/1000</f>
        <v>9.64752</v>
      </c>
      <c r="R17" s="25" t="n">
        <f aca="false">'Raw Data'!R17*'Raw Data'!R$61/1000</f>
        <v>9.44328</v>
      </c>
      <c r="S17" s="25" t="n">
        <f aca="false">'Raw Data'!S17*'Raw Data'!S$61/1000</f>
        <v>9.2208</v>
      </c>
      <c r="T17" s="20" t="n">
        <f aca="false">IFERROR(S17/R17-1,"")</f>
        <v>-0.0235596106437597</v>
      </c>
      <c r="U17" s="20" t="n">
        <f aca="false">IFERROR(S17/F17-1,"")</f>
        <v>0.0741482405650322</v>
      </c>
      <c r="V17" s="9" t="s">
        <v>212</v>
      </c>
    </row>
    <row r="18" customFormat="false" ht="15" hidden="false" customHeight="false" outlineLevel="0" collapsed="false">
      <c r="A18" s="17" t="s">
        <v>127</v>
      </c>
      <c r="B18" s="18"/>
      <c r="C18" s="18"/>
      <c r="D18" s="18"/>
      <c r="E18" s="18"/>
      <c r="F18" s="18"/>
      <c r="G18" s="18"/>
      <c r="H18" s="18"/>
      <c r="I18" s="18"/>
      <c r="J18" s="18"/>
      <c r="K18" s="18"/>
      <c r="L18" s="18"/>
      <c r="M18" s="18"/>
      <c r="N18" s="18"/>
      <c r="O18" s="18"/>
      <c r="P18" s="18"/>
      <c r="Q18" s="18"/>
      <c r="R18" s="18"/>
      <c r="S18" s="18"/>
      <c r="T18" s="18"/>
      <c r="U18" s="18"/>
      <c r="V18" s="18"/>
    </row>
    <row r="19" customFormat="false" ht="15" hidden="false" customHeight="false" outlineLevel="0" collapsed="false">
      <c r="A19" s="24" t="str">
        <f aca="false">'Raw Data'!A19</f>
        <v>Virgin Aluminium</v>
      </c>
      <c r="B19" s="11" t="s">
        <v>129</v>
      </c>
      <c r="C19" s="11" t="s">
        <v>143</v>
      </c>
      <c r="D19" s="11" t="s">
        <v>211</v>
      </c>
      <c r="E19" s="11" t="n">
        <v>16</v>
      </c>
      <c r="F19" s="25" t="n">
        <f aca="false">'Raw Data'!F19*'Raw Data'!F$61/1000</f>
        <v>225.810182</v>
      </c>
      <c r="G19" s="25" t="n">
        <f aca="false">'Raw Data'!G19*'Raw Data'!G$61/1000</f>
        <v>228.63516</v>
      </c>
      <c r="H19" s="25" t="n">
        <f aca="false">'Raw Data'!H19*'Raw Data'!H$61/1000</f>
        <v>235.851837</v>
      </c>
      <c r="I19" s="25" t="n">
        <f aca="false">'Raw Data'!I19*'Raw Data'!I$61/1000</f>
        <v>247.952837</v>
      </c>
      <c r="J19" s="25" t="n">
        <f aca="false">'Raw Data'!J19*'Raw Data'!J$61/1000</f>
        <v>252.423718</v>
      </c>
      <c r="K19" s="25" t="n">
        <f aca="false">'Raw Data'!K19*'Raw Data'!K$61/1000</f>
        <v>260.57781</v>
      </c>
      <c r="L19" s="25" t="n">
        <f aca="false">'Raw Data'!L19*'Raw Data'!L$61/1000</f>
        <v>287.574856</v>
      </c>
      <c r="M19" s="25" t="n">
        <f aca="false">'Raw Data'!M19*'Raw Data'!M$61/1000</f>
        <v>279.932328</v>
      </c>
      <c r="N19" s="25" t="n">
        <f aca="false">'Raw Data'!N19*'Raw Data'!N$61/1000</f>
        <v>314.237448</v>
      </c>
      <c r="O19" s="25" t="n">
        <f aca="false">'Raw Data'!O19*'Raw Data'!O$61/1000</f>
        <v>338.888472</v>
      </c>
      <c r="P19" s="25" t="n">
        <f aca="false">'Raw Data'!P19*'Raw Data'!P$61/1000</f>
        <v>352.926432</v>
      </c>
      <c r="Q19" s="25" t="n">
        <f aca="false">'Raw Data'!Q19*'Raw Data'!Q$61/1000</f>
        <v>330.365472</v>
      </c>
      <c r="R19" s="25" t="n">
        <f aca="false">'Raw Data'!R19*'Raw Data'!R$61/1000</f>
        <v>304.11216</v>
      </c>
      <c r="S19" s="25" t="n">
        <f aca="false">'Raw Data'!S19*'Raw Data'!S$61/1000</f>
        <v>312.3546</v>
      </c>
      <c r="T19" s="20" t="n">
        <f aca="false">IFERROR(S19/R19-1,"")</f>
        <v>0.0271032897862422</v>
      </c>
      <c r="U19" s="20" t="n">
        <f aca="false">IFERROR(S19/F19-1,"")</f>
        <v>0.383261805262617</v>
      </c>
      <c r="V19" s="9" t="s">
        <v>212</v>
      </c>
    </row>
    <row r="20" customFormat="false" ht="15" hidden="false" customHeight="false" outlineLevel="0" collapsed="false">
      <c r="A20" s="24" t="str">
        <f aca="false">'Raw Data'!A20</f>
        <v>Copper</v>
      </c>
      <c r="B20" s="11" t="s">
        <v>129</v>
      </c>
      <c r="C20" s="11" t="s">
        <v>143</v>
      </c>
      <c r="D20" s="11" t="s">
        <v>211</v>
      </c>
      <c r="E20" s="11" t="n">
        <v>17</v>
      </c>
      <c r="F20" s="25" t="n">
        <f aca="false">'Raw Data'!F20*'Raw Data'!F$61/1000</f>
        <v>847.867722</v>
      </c>
      <c r="G20" s="25" t="n">
        <f aca="false">'Raw Data'!G20*'Raw Data'!G$61/1000</f>
        <v>850.189626</v>
      </c>
      <c r="H20" s="25" t="n">
        <f aca="false">'Raw Data'!H20*'Raw Data'!H$61/1000</f>
        <v>884.695503</v>
      </c>
      <c r="I20" s="25" t="n">
        <f aca="false">'Raw Data'!I20*'Raw Data'!I$61/1000</f>
        <v>951.83704</v>
      </c>
      <c r="J20" s="25" t="n">
        <f aca="false">'Raw Data'!J20*'Raw Data'!J$61/1000</f>
        <v>965.807536</v>
      </c>
      <c r="K20" s="25" t="n">
        <f aca="false">'Raw Data'!K20*'Raw Data'!K$61/1000</f>
        <v>1069.660356</v>
      </c>
      <c r="L20" s="25" t="n">
        <f aca="false">'Raw Data'!L20*'Raw Data'!L$61/1000</f>
        <v>1195.540126</v>
      </c>
      <c r="M20" s="25" t="n">
        <f aca="false">'Raw Data'!M20*'Raw Data'!M$61/1000</f>
        <v>1184.219496</v>
      </c>
      <c r="N20" s="25" t="n">
        <f aca="false">'Raw Data'!N20*'Raw Data'!N$61/1000</f>
        <v>1165.40676</v>
      </c>
      <c r="O20" s="25" t="n">
        <f aca="false">'Raw Data'!O20*'Raw Data'!O$61/1000</f>
        <v>1213.338568</v>
      </c>
      <c r="P20" s="25" t="n">
        <f aca="false">'Raw Data'!P20*'Raw Data'!P$61/1000</f>
        <v>1298.842736</v>
      </c>
      <c r="Q20" s="25" t="n">
        <f aca="false">'Raw Data'!Q20*'Raw Data'!Q$61/1000</f>
        <v>1296.617136</v>
      </c>
      <c r="R20" s="25" t="n">
        <f aca="false">'Raw Data'!R20*'Raw Data'!R$61/1000</f>
        <v>1303.288272</v>
      </c>
      <c r="S20" s="25" t="n">
        <f aca="false">'Raw Data'!S20*'Raw Data'!S$61/1000</f>
        <v>1378.64407</v>
      </c>
      <c r="T20" s="20" t="n">
        <f aca="false">IFERROR(S20/R20-1,"")</f>
        <v>0.0578197468809878</v>
      </c>
      <c r="U20" s="20" t="n">
        <f aca="false">IFERROR(S20/F20-1,"")</f>
        <v>0.626013155386991</v>
      </c>
      <c r="V20" s="9" t="s">
        <v>212</v>
      </c>
    </row>
    <row r="21" customFormat="false" ht="15" hidden="false" customHeight="false" outlineLevel="0" collapsed="false">
      <c r="A21" s="24" t="str">
        <f aca="false">'Raw Data'!A21</f>
        <v>Lead</v>
      </c>
      <c r="B21" s="11" t="s">
        <v>129</v>
      </c>
      <c r="C21" s="11" t="s">
        <v>143</v>
      </c>
      <c r="D21" s="11" t="s">
        <v>211</v>
      </c>
      <c r="E21" s="11" t="n">
        <v>18</v>
      </c>
      <c r="F21" s="25" t="n">
        <f aca="false">'Raw Data'!F21*'Raw Data'!F$61/1000</f>
        <v>172.977779</v>
      </c>
      <c r="G21" s="25" t="n">
        <f aca="false">'Raw Data'!G21*'Raw Data'!G$61/1000</f>
        <v>171.449928</v>
      </c>
      <c r="H21" s="25" t="n">
        <f aca="false">'Raw Data'!H21*'Raw Data'!H$61/1000</f>
        <v>173.735505</v>
      </c>
      <c r="I21" s="25" t="n">
        <f aca="false">'Raw Data'!I21*'Raw Data'!I$61/1000</f>
        <v>175.150118</v>
      </c>
      <c r="J21" s="25" t="n">
        <f aca="false">'Raw Data'!J21*'Raw Data'!J$61/1000</f>
        <v>179.000956</v>
      </c>
      <c r="K21" s="25" t="n">
        <f aca="false">'Raw Data'!K21*'Raw Data'!K$61/1000</f>
        <v>176.011226</v>
      </c>
      <c r="L21" s="25" t="n">
        <f aca="false">'Raw Data'!L21*'Raw Data'!L$61/1000</f>
        <v>182.524722</v>
      </c>
      <c r="M21" s="25" t="n">
        <f aca="false">'Raw Data'!M21*'Raw Data'!M$61/1000</f>
        <v>174.978252</v>
      </c>
      <c r="N21" s="25" t="n">
        <f aca="false">'Raw Data'!N21*'Raw Data'!N$61/1000</f>
        <v>175.272552</v>
      </c>
      <c r="O21" s="25" t="n">
        <f aca="false">'Raw Data'!O21*'Raw Data'!O$61/1000</f>
        <v>180.964524</v>
      </c>
      <c r="P21" s="25" t="n">
        <f aca="false">'Raw Data'!P21*'Raw Data'!P$61/1000</f>
        <v>191.45456</v>
      </c>
      <c r="Q21" s="25" t="n">
        <f aca="false">'Raw Data'!Q21*'Raw Data'!Q$61/1000</f>
        <v>186.388176</v>
      </c>
      <c r="R21" s="25" t="n">
        <f aca="false">'Raw Data'!R21*'Raw Data'!R$61/1000</f>
        <v>177.697476</v>
      </c>
      <c r="S21" s="25" t="n">
        <f aca="false">'Raw Data'!S21*'Raw Data'!S$61/1000</f>
        <v>178.182355</v>
      </c>
      <c r="T21" s="20" t="n">
        <f aca="false">IFERROR(S21/R21-1,"")</f>
        <v>0.00272867691153911</v>
      </c>
      <c r="U21" s="20" t="n">
        <f aca="false">IFERROR(S21/F21-1,"")</f>
        <v>0.0300881190063145</v>
      </c>
      <c r="V21" s="9" t="s">
        <v>212</v>
      </c>
    </row>
    <row r="22" customFormat="false" ht="15" hidden="false" customHeight="false" outlineLevel="0" collapsed="false">
      <c r="A22" s="24" t="str">
        <f aca="false">'Raw Data'!A22</f>
        <v>Nickel</v>
      </c>
      <c r="B22" s="11" t="s">
        <v>129</v>
      </c>
      <c r="C22" s="11" t="s">
        <v>143</v>
      </c>
      <c r="D22" s="11" t="s">
        <v>211</v>
      </c>
      <c r="E22" s="11" t="n">
        <v>19</v>
      </c>
      <c r="F22" s="25" t="n">
        <f aca="false">'Raw Data'!F22*'Raw Data'!F$61/1000</f>
        <v>1302.670343</v>
      </c>
      <c r="G22" s="25" t="n">
        <f aca="false">'Raw Data'!G22*'Raw Data'!G$61/1000</f>
        <v>1314.07926</v>
      </c>
      <c r="H22" s="25" t="n">
        <f aca="false">'Raw Data'!H22*'Raw Data'!H$61/1000</f>
        <v>1342.41678</v>
      </c>
      <c r="I22" s="25" t="n">
        <f aca="false">'Raw Data'!I22*'Raw Data'!I$61/1000</f>
        <v>1341.951402</v>
      </c>
      <c r="J22" s="25" t="n">
        <f aca="false">'Raw Data'!J22*'Raw Data'!J$61/1000</f>
        <v>1313.517206</v>
      </c>
      <c r="K22" s="25" t="n">
        <f aca="false">'Raw Data'!K22*'Raw Data'!K$61/1000</f>
        <v>1348.316856</v>
      </c>
      <c r="L22" s="25" t="n">
        <f aca="false">'Raw Data'!L22*'Raw Data'!L$61/1000</f>
        <v>1629.87096</v>
      </c>
      <c r="M22" s="25" t="n">
        <f aca="false">'Raw Data'!M22*'Raw Data'!M$61/1000</f>
        <v>1564.567296</v>
      </c>
      <c r="N22" s="25" t="n">
        <f aca="false">'Raw Data'!N22*'Raw Data'!N$61/1000</f>
        <v>1593.769968</v>
      </c>
      <c r="O22" s="25" t="n">
        <f aca="false">'Raw Data'!O22*'Raw Data'!O$61/1000</f>
        <v>1694.705896</v>
      </c>
      <c r="P22" s="25" t="n">
        <f aca="false">'Raw Data'!P22*'Raw Data'!P$61/1000</f>
        <v>1808.2888</v>
      </c>
      <c r="Q22" s="25" t="n">
        <f aca="false">'Raw Data'!Q22*'Raw Data'!Q$61/1000</f>
        <v>1687.255728</v>
      </c>
      <c r="R22" s="25" t="n">
        <f aca="false">'Raw Data'!R22*'Raw Data'!R$61/1000</f>
        <v>1605.107064</v>
      </c>
      <c r="S22" s="25" t="n">
        <f aca="false">'Raw Data'!S22*'Raw Data'!S$61/1000</f>
        <v>1610.35509</v>
      </c>
      <c r="T22" s="20" t="n">
        <f aca="false">IFERROR(S22/R22-1,"")</f>
        <v>0.00326958002846323</v>
      </c>
      <c r="U22" s="20" t="n">
        <f aca="false">IFERROR(S22/F22-1,"")</f>
        <v>0.236195403275562</v>
      </c>
      <c r="V22" s="9" t="s">
        <v>212</v>
      </c>
    </row>
    <row r="23" customFormat="false" ht="15" hidden="false" customHeight="false" outlineLevel="0" collapsed="false">
      <c r="A23" s="24" t="str">
        <f aca="false">'Raw Data'!A23</f>
        <v>Zinc</v>
      </c>
      <c r="B23" s="11" t="s">
        <v>129</v>
      </c>
      <c r="C23" s="11" t="s">
        <v>143</v>
      </c>
      <c r="D23" s="11" t="s">
        <v>211</v>
      </c>
      <c r="E23" s="11" t="n">
        <v>20</v>
      </c>
      <c r="F23" s="25" t="n">
        <f aca="false">'Raw Data'!F23*'Raw Data'!F$61/1000</f>
        <v>239.215548</v>
      </c>
      <c r="G23" s="25" t="n">
        <f aca="false">'Raw Data'!G23*'Raw Data'!G$61/1000</f>
        <v>245.417016</v>
      </c>
      <c r="H23" s="25" t="n">
        <f aca="false">'Raw Data'!H23*'Raw Data'!H$61/1000</f>
        <v>260.4477</v>
      </c>
      <c r="I23" s="25" t="n">
        <f aca="false">'Raw Data'!I23*'Raw Data'!I$61/1000</f>
        <v>280.238409</v>
      </c>
      <c r="J23" s="25" t="n">
        <f aca="false">'Raw Data'!J23*'Raw Data'!J$61/1000</f>
        <v>285.017308</v>
      </c>
      <c r="K23" s="25" t="n">
        <f aca="false">'Raw Data'!K23*'Raw Data'!K$61/1000</f>
        <v>286.332014</v>
      </c>
      <c r="L23" s="25" t="n">
        <f aca="false">'Raw Data'!L23*'Raw Data'!L$61/1000</f>
        <v>294.133068</v>
      </c>
      <c r="M23" s="25" t="n">
        <f aca="false">'Raw Data'!M23*'Raw Data'!M$61/1000</f>
        <v>303.255456</v>
      </c>
      <c r="N23" s="25" t="n">
        <f aca="false">'Raw Data'!N23*'Raw Data'!N$61/1000</f>
        <v>297.239796</v>
      </c>
      <c r="O23" s="25" t="n">
        <f aca="false">'Raw Data'!O23*'Raw Data'!O$61/1000</f>
        <v>316.393792</v>
      </c>
      <c r="P23" s="25" t="n">
        <f aca="false">'Raw Data'!P23*'Raw Data'!P$61/1000</f>
        <v>335.425312</v>
      </c>
      <c r="Q23" s="25" t="n">
        <f aca="false">'Raw Data'!Q23*'Raw Data'!Q$61/1000</f>
        <v>338.18856</v>
      </c>
      <c r="R23" s="25" t="n">
        <f aca="false">'Raw Data'!R23*'Raw Data'!R$61/1000</f>
        <v>346.520196</v>
      </c>
      <c r="S23" s="25" t="n">
        <f aca="false">'Raw Data'!S23*'Raw Data'!S$61/1000</f>
        <v>372.203355</v>
      </c>
      <c r="T23" s="20" t="n">
        <f aca="false">IFERROR(S23/R23-1,"")</f>
        <v>0.0741173510129263</v>
      </c>
      <c r="U23" s="20" t="n">
        <f aca="false">IFERROR(S23/F23-1,"")</f>
        <v>0.555932957167149</v>
      </c>
      <c r="V23" s="9" t="s">
        <v>212</v>
      </c>
    </row>
    <row r="24" customFormat="false" ht="15" hidden="false" customHeight="false" outlineLevel="0" collapsed="false">
      <c r="A24" s="17" t="s">
        <v>134</v>
      </c>
      <c r="B24" s="18"/>
      <c r="C24" s="18"/>
      <c r="D24" s="18"/>
      <c r="E24" s="18"/>
      <c r="F24" s="18"/>
      <c r="G24" s="18"/>
      <c r="H24" s="18"/>
      <c r="I24" s="18"/>
      <c r="J24" s="18"/>
      <c r="K24" s="18"/>
      <c r="L24" s="18"/>
      <c r="M24" s="18"/>
      <c r="N24" s="18"/>
      <c r="O24" s="18"/>
      <c r="P24" s="18"/>
      <c r="Q24" s="18"/>
      <c r="R24" s="18"/>
      <c r="S24" s="18"/>
      <c r="T24" s="18"/>
      <c r="U24" s="18"/>
      <c r="V24" s="18"/>
    </row>
    <row r="25" customFormat="false" ht="15" hidden="false" customHeight="false" outlineLevel="0" collapsed="false">
      <c r="A25" s="24" t="str">
        <f aca="false">'Raw Data'!A25</f>
        <v>Platinum</v>
      </c>
      <c r="B25" s="11" t="s">
        <v>136</v>
      </c>
      <c r="C25" s="11" t="s">
        <v>143</v>
      </c>
      <c r="D25" s="11" t="s">
        <v>213</v>
      </c>
      <c r="E25" s="11" t="n">
        <v>21</v>
      </c>
      <c r="F25" s="25" t="n">
        <f aca="false">'Raw Data'!F25*1000</f>
        <v>3884420</v>
      </c>
      <c r="G25" s="25" t="n">
        <f aca="false">'Raw Data'!G25*1000</f>
        <v>3785290</v>
      </c>
      <c r="H25" s="25" t="n">
        <f aca="false">'Raw Data'!H25*1000</f>
        <v>4099400</v>
      </c>
      <c r="I25" s="25" t="n">
        <f aca="false">'Raw Data'!I25*1000</f>
        <v>4629460</v>
      </c>
      <c r="J25" s="25" t="n">
        <f aca="false">'Raw Data'!J25*1000</f>
        <v>4526030</v>
      </c>
      <c r="K25" s="25" t="n">
        <f aca="false">'Raw Data'!K25*1000</f>
        <v>5419390</v>
      </c>
      <c r="L25" s="25" t="n">
        <f aca="false">'Raw Data'!L25*1000</f>
        <v>7140600</v>
      </c>
      <c r="M25" s="25" t="n">
        <f aca="false">'Raw Data'!M25*1000</f>
        <v>6300940</v>
      </c>
      <c r="N25" s="25" t="n">
        <f aca="false">'Raw Data'!N25*1000</f>
        <v>6196000</v>
      </c>
      <c r="O25" s="25" t="n">
        <f aca="false">'Raw Data'!O25*1000</f>
        <v>6149690</v>
      </c>
      <c r="P25" s="25" t="n">
        <f aca="false">'Raw Data'!P25*1000</f>
        <v>6188930</v>
      </c>
      <c r="Q25" s="25" t="n">
        <f aca="false">'Raw Data'!Q25*1000</f>
        <v>5372090</v>
      </c>
      <c r="R25" s="25" t="n">
        <f aca="false">'Raw Data'!R25*1000</f>
        <v>5041200</v>
      </c>
      <c r="S25" s="25" t="n">
        <f aca="false">'Raw Data'!S25*1000</f>
        <v>5502570</v>
      </c>
      <c r="T25" s="20" t="n">
        <f aca="false">IFERROR(S25/R25-1,"")</f>
        <v>0.0915198762199476</v>
      </c>
      <c r="U25" s="20" t="n">
        <f aca="false">IFERROR(S25/F25-1,"")</f>
        <v>0.4165744178024</v>
      </c>
    </row>
    <row r="26" customFormat="false" ht="15" hidden="false" customHeight="false" outlineLevel="0" collapsed="false">
      <c r="A26" s="24" t="str">
        <f aca="false">'Raw Data'!A26</f>
        <v>Palladium</v>
      </c>
      <c r="B26" s="11" t="s">
        <v>136</v>
      </c>
      <c r="C26" s="11" t="s">
        <v>143</v>
      </c>
      <c r="D26" s="11" t="s">
        <v>213</v>
      </c>
      <c r="E26" s="11" t="n">
        <v>22</v>
      </c>
      <c r="F26" s="25" t="n">
        <f aca="false">'Raw Data'!F26*1000</f>
        <v>3351790</v>
      </c>
      <c r="G26" s="25" t="n">
        <f aca="false">'Raw Data'!G26*1000</f>
        <v>3234550</v>
      </c>
      <c r="H26" s="25" t="n">
        <f aca="false">'Raw Data'!H26*1000</f>
        <v>3383840</v>
      </c>
      <c r="I26" s="25" t="n">
        <f aca="false">'Raw Data'!I26*1000</f>
        <v>4056910</v>
      </c>
      <c r="J26" s="25" t="n">
        <f aca="false">'Raw Data'!J26*1000</f>
        <v>4088690</v>
      </c>
      <c r="K26" s="25" t="n">
        <f aca="false">'Raw Data'!K26*1000</f>
        <v>4613220</v>
      </c>
      <c r="L26" s="25" t="n">
        <f aca="false">'Raw Data'!L26*1000</f>
        <v>5439550</v>
      </c>
      <c r="M26" s="25" t="n">
        <f aca="false">'Raw Data'!M26*1000</f>
        <v>5114880</v>
      </c>
      <c r="N26" s="25" t="n">
        <f aca="false">'Raw Data'!N26*1000</f>
        <v>4712150</v>
      </c>
      <c r="O26" s="25" t="n">
        <f aca="false">'Raw Data'!O26*1000</f>
        <v>4632310</v>
      </c>
      <c r="P26" s="25" t="n">
        <f aca="false">'Raw Data'!P26*1000</f>
        <v>4479220</v>
      </c>
      <c r="Q26" s="25" t="n">
        <f aca="false">'Raw Data'!Q26*1000</f>
        <v>3961580</v>
      </c>
      <c r="R26" s="25" t="n">
        <f aca="false">'Raw Data'!R26*1000</f>
        <v>3956240</v>
      </c>
      <c r="S26" s="25" t="n">
        <f aca="false">'Raw Data'!S26*1000</f>
        <v>4168590</v>
      </c>
      <c r="T26" s="20" t="n">
        <f aca="false">IFERROR(S26/R26-1,"")</f>
        <v>0.0536747012314722</v>
      </c>
      <c r="U26" s="20" t="n">
        <f aca="false">IFERROR(S26/F26-1,"")</f>
        <v>0.243690684678933</v>
      </c>
    </row>
    <row r="27" customFormat="false" ht="15" hidden="false" customHeight="false" outlineLevel="0" collapsed="false">
      <c r="A27" s="24" t="str">
        <f aca="false">'Raw Data'!A27</f>
        <v>Rhodium</v>
      </c>
      <c r="B27" s="11" t="s">
        <v>136</v>
      </c>
      <c r="C27" s="11" t="s">
        <v>143</v>
      </c>
      <c r="D27" s="11" t="s">
        <v>213</v>
      </c>
      <c r="E27" s="11" t="n">
        <v>23</v>
      </c>
      <c r="F27" s="25" t="n">
        <f aca="false">'Raw Data'!F27*1000</f>
        <v>16427410</v>
      </c>
      <c r="G27" s="25" t="n">
        <f aca="false">'Raw Data'!G27*1000</f>
        <v>20359260</v>
      </c>
      <c r="H27" s="25" t="n">
        <f aca="false">'Raw Data'!H27*1000</f>
        <v>20273750</v>
      </c>
      <c r="I27" s="25" t="n">
        <f aca="false">'Raw Data'!I27*1000</f>
        <v>21590220</v>
      </c>
      <c r="J27" s="25" t="n">
        <f aca="false">'Raw Data'!J27*1000</f>
        <v>22894990</v>
      </c>
      <c r="K27" s="25" t="n">
        <f aca="false">'Raw Data'!K27*1000</f>
        <v>23523360</v>
      </c>
      <c r="L27" s="25" t="n">
        <f aca="false">'Raw Data'!L27*1000</f>
        <v>29578830</v>
      </c>
      <c r="M27" s="25" t="n">
        <f aca="false">'Raw Data'!M27*1000</f>
        <v>31919660</v>
      </c>
      <c r="N27" s="25" t="n">
        <f aca="false">'Raw Data'!N27*1000</f>
        <v>33686430</v>
      </c>
      <c r="O27" s="25" t="n">
        <f aca="false">'Raw Data'!O27*1000</f>
        <v>30287540</v>
      </c>
      <c r="P27" s="25" t="n">
        <f aca="false">'Raw Data'!P27*1000</f>
        <v>29887720</v>
      </c>
      <c r="Q27" s="25" t="n">
        <f aca="false">'Raw Data'!Q27*1000</f>
        <v>24583840</v>
      </c>
      <c r="R27" s="25" t="n">
        <f aca="false">'Raw Data'!R27*1000</f>
        <v>25151090</v>
      </c>
      <c r="S27" s="25" t="n">
        <f aca="false">'Raw Data'!S27*1000</f>
        <v>26661830</v>
      </c>
      <c r="T27" s="20" t="n">
        <f aca="false">IFERROR(S27/R27-1,"")</f>
        <v>0.0600665816073975</v>
      </c>
      <c r="U27" s="20" t="n">
        <f aca="false">IFERROR(S27/F27-1,"")</f>
        <v>0.623008739661334</v>
      </c>
    </row>
    <row r="28" customFormat="false" ht="15" hidden="false" customHeight="false" outlineLevel="0" collapsed="false">
      <c r="A28" s="17" t="s">
        <v>140</v>
      </c>
      <c r="B28" s="18"/>
      <c r="C28" s="18"/>
      <c r="D28" s="18"/>
      <c r="E28" s="18"/>
      <c r="F28" s="18"/>
      <c r="G28" s="18"/>
      <c r="H28" s="18"/>
      <c r="I28" s="18"/>
      <c r="J28" s="18"/>
      <c r="K28" s="18"/>
      <c r="L28" s="18"/>
      <c r="M28" s="18"/>
      <c r="N28" s="18"/>
      <c r="O28" s="18"/>
      <c r="P28" s="18"/>
      <c r="Q28" s="18"/>
      <c r="R28" s="18"/>
      <c r="S28" s="18"/>
      <c r="T28" s="18"/>
      <c r="U28" s="18"/>
      <c r="V28" s="18"/>
    </row>
    <row r="29" customFormat="false" ht="15" hidden="false" customHeight="false" outlineLevel="0" collapsed="false">
      <c r="A29" s="24" t="str">
        <f aca="false">'Raw Data'!A29</f>
        <v>Polypropylene (PP)</v>
      </c>
      <c r="B29" s="11" t="s">
        <v>142</v>
      </c>
      <c r="C29" s="11" t="s">
        <v>143</v>
      </c>
      <c r="D29" s="11" t="s">
        <v>214</v>
      </c>
      <c r="E29" s="11" t="n">
        <v>25</v>
      </c>
      <c r="F29" s="25" t="n">
        <f aca="false">'Raw Data'!F29</f>
        <v>100</v>
      </c>
      <c r="G29" s="25" t="n">
        <f aca="false">'Raw Data'!G29</f>
        <v>100.5</v>
      </c>
      <c r="H29" s="25" t="n">
        <f aca="false">'Raw Data'!H29</f>
        <v>99.3</v>
      </c>
      <c r="I29" s="25" t="n">
        <f aca="false">'Raw Data'!I29</f>
        <v>99.4</v>
      </c>
      <c r="J29" s="25" t="n">
        <f aca="false">'Raw Data'!J29</f>
        <v>95.2</v>
      </c>
      <c r="K29" s="25" t="n">
        <f aca="false">'Raw Data'!K29</f>
        <v>94.3</v>
      </c>
      <c r="L29" s="25" t="n">
        <f aca="false">'Raw Data'!L29</f>
        <v>96.5</v>
      </c>
      <c r="M29" s="25" t="n">
        <f aca="false">'Raw Data'!M29</f>
        <v>98.2</v>
      </c>
      <c r="N29" s="25" t="n">
        <f aca="false">'Raw Data'!N29</f>
        <v>136.2</v>
      </c>
      <c r="O29" s="25" t="n">
        <f aca="false">'Raw Data'!O29</f>
        <v>137.5</v>
      </c>
      <c r="P29" s="25" t="n">
        <f aca="false">'Raw Data'!P29</f>
        <v>129.9</v>
      </c>
      <c r="Q29" s="25" t="n">
        <f aca="false">'Raw Data'!Q29</f>
        <v>133</v>
      </c>
      <c r="R29" s="25" t="n">
        <f aca="false">'Raw Data'!R29</f>
        <v>131.5</v>
      </c>
      <c r="S29" s="25" t="n">
        <f aca="false">'Raw Data'!S29</f>
        <v>134.4</v>
      </c>
      <c r="T29" s="20" t="n">
        <f aca="false">IFERROR(S29/R29-1,"")</f>
        <v>0.0220532319391635</v>
      </c>
      <c r="U29" s="20" t="n">
        <f aca="false">IFERROR(S29/F29-1,"")</f>
        <v>0.344</v>
      </c>
    </row>
    <row r="30" customFormat="false" ht="15" hidden="false" customHeight="false" outlineLevel="0" collapsed="false">
      <c r="A30" s="24" t="str">
        <f aca="false">'Raw Data'!A30</f>
        <v>ABS</v>
      </c>
      <c r="B30" s="11" t="s">
        <v>142</v>
      </c>
      <c r="C30" s="11" t="s">
        <v>143</v>
      </c>
      <c r="D30" s="11" t="s">
        <v>214</v>
      </c>
      <c r="E30" s="11" t="n">
        <v>26</v>
      </c>
      <c r="F30" s="25" t="n">
        <f aca="false">'Raw Data'!F30</f>
        <v>147.3</v>
      </c>
      <c r="G30" s="25" t="n">
        <f aca="false">'Raw Data'!G30</f>
        <v>146.8</v>
      </c>
      <c r="H30" s="25" t="n">
        <f aca="false">'Raw Data'!H30</f>
        <v>143.1</v>
      </c>
      <c r="I30" s="25" t="n">
        <f aca="false">'Raw Data'!I30</f>
        <v>137.6</v>
      </c>
      <c r="J30" s="25" t="n">
        <f aca="false">'Raw Data'!J30</f>
        <v>130.7</v>
      </c>
      <c r="K30" s="25" t="n">
        <f aca="false">'Raw Data'!K30</f>
        <v>124.1</v>
      </c>
      <c r="L30" s="25" t="n">
        <f aca="false">'Raw Data'!L30</f>
        <v>126.4</v>
      </c>
      <c r="M30" s="25" t="n">
        <f aca="false">'Raw Data'!M30</f>
        <v>130.6</v>
      </c>
      <c r="N30" s="25" t="n">
        <f aca="false">'Raw Data'!N30</f>
        <v>170.4</v>
      </c>
      <c r="O30" s="25" t="n">
        <f aca="false">'Raw Data'!O30</f>
        <v>197</v>
      </c>
      <c r="P30" s="25" t="n">
        <f aca="false">'Raw Data'!P30</f>
        <v>188.6</v>
      </c>
      <c r="Q30" s="25" t="n">
        <f aca="false">'Raw Data'!Q30</f>
        <v>190.2</v>
      </c>
      <c r="R30" s="25" t="n">
        <f aca="false">'Raw Data'!R30</f>
        <v>185.8</v>
      </c>
      <c r="S30" s="25" t="n">
        <f aca="false">'Raw Data'!S30</f>
        <v>171.8</v>
      </c>
      <c r="T30" s="20" t="n">
        <f aca="false">IFERROR(S30/R30-1,"")</f>
        <v>-0.0753498385360603</v>
      </c>
      <c r="U30" s="20" t="n">
        <f aca="false">IFERROR(S30/F30-1,"")</f>
        <v>0.1663272233537</v>
      </c>
    </row>
    <row r="31" customFormat="false" ht="15" hidden="false" customHeight="false" outlineLevel="0" collapsed="false">
      <c r="A31" s="24" t="str">
        <f aca="false">'Raw Data'!A31</f>
        <v>Polycarbonate (PC)</v>
      </c>
      <c r="B31" s="11" t="s">
        <v>142</v>
      </c>
      <c r="C31" s="11" t="s">
        <v>143</v>
      </c>
      <c r="D31" s="11" t="s">
        <v>214</v>
      </c>
      <c r="E31" s="11" t="n">
        <v>27</v>
      </c>
      <c r="F31" s="25" t="n">
        <f aca="false">'Raw Data'!F31</f>
        <v>214.6</v>
      </c>
      <c r="G31" s="25" t="n">
        <f aca="false">'Raw Data'!G31</f>
        <v>218.3</v>
      </c>
      <c r="H31" s="25" t="n">
        <f aca="false">'Raw Data'!H31</f>
        <v>222.7</v>
      </c>
      <c r="I31" s="25" t="n">
        <f aca="false">'Raw Data'!I31</f>
        <v>221.6</v>
      </c>
      <c r="J31" s="25" t="n">
        <f aca="false">'Raw Data'!J31</f>
        <v>221.5</v>
      </c>
      <c r="K31" s="25" t="n">
        <f aca="false">'Raw Data'!K31</f>
        <v>209.6</v>
      </c>
      <c r="L31" s="25" t="n">
        <f aca="false">'Raw Data'!L31</f>
        <v>208.9</v>
      </c>
      <c r="M31" s="25" t="n">
        <f aca="false">'Raw Data'!M31</f>
        <v>194.4</v>
      </c>
      <c r="N31" s="25" t="n">
        <f aca="false">'Raw Data'!N31</f>
        <v>227.5</v>
      </c>
      <c r="O31" s="25" t="n">
        <f aca="false">'Raw Data'!O31</f>
        <v>264</v>
      </c>
      <c r="P31" s="25" t="n">
        <f aca="false">'Raw Data'!P31</f>
        <v>265.2</v>
      </c>
      <c r="Q31" s="25" t="n">
        <f aca="false">'Raw Data'!Q31</f>
        <v>261.9</v>
      </c>
      <c r="R31" s="25" t="n">
        <f aca="false">'Raw Data'!R31</f>
        <v>255.5</v>
      </c>
      <c r="S31" s="25" t="n">
        <f aca="false">'Raw Data'!S31</f>
        <v>253</v>
      </c>
      <c r="T31" s="20" t="n">
        <f aca="false">IFERROR(S31/R31-1,"")</f>
        <v>-0.00978473581213313</v>
      </c>
      <c r="U31" s="20" t="n">
        <f aca="false">IFERROR(S31/F31-1,"")</f>
        <v>0.178937558247903</v>
      </c>
    </row>
    <row r="32" customFormat="false" ht="15" hidden="false" customHeight="false" outlineLevel="0" collapsed="false">
      <c r="A32" s="17" t="s">
        <v>146</v>
      </c>
      <c r="B32" s="18"/>
      <c r="C32" s="18"/>
      <c r="D32" s="18"/>
      <c r="E32" s="18"/>
      <c r="F32" s="18"/>
      <c r="G32" s="18"/>
      <c r="H32" s="18"/>
      <c r="I32" s="18"/>
      <c r="J32" s="18"/>
      <c r="K32" s="18"/>
      <c r="L32" s="18"/>
      <c r="M32" s="18"/>
      <c r="N32" s="18"/>
      <c r="O32" s="18"/>
      <c r="P32" s="18"/>
      <c r="Q32" s="18"/>
      <c r="R32" s="18"/>
      <c r="S32" s="18"/>
      <c r="T32" s="18"/>
      <c r="U32" s="18"/>
      <c r="V32" s="18"/>
    </row>
    <row r="33" customFormat="false" ht="15" hidden="false" customHeight="false" outlineLevel="0" collapsed="false">
      <c r="A33" s="24" t="str">
        <f aca="false">'Raw Data'!A33</f>
        <v>Urea (Prilled), CFR</v>
      </c>
      <c r="B33" s="11" t="s">
        <v>148</v>
      </c>
      <c r="C33" s="11" t="s">
        <v>143</v>
      </c>
      <c r="D33" s="11" t="s">
        <v>211</v>
      </c>
      <c r="E33" s="11" t="n">
        <v>29</v>
      </c>
      <c r="F33" s="25" t="n">
        <f aca="false">'Raw Data'!F33*'Raw Data'!F$61/1000</f>
        <v>41.221934</v>
      </c>
      <c r="G33" s="25" t="n">
        <f aca="false">'Raw Data'!G33*'Raw Data'!G$61/1000</f>
        <v>46.80234</v>
      </c>
      <c r="H33" s="25" t="n">
        <f aca="false">'Raw Data'!H33*'Raw Data'!H$61/1000</f>
        <v>41.200515</v>
      </c>
      <c r="I33" s="25" t="n">
        <f aca="false">'Raw Data'!I33*'Raw Data'!I$61/1000</f>
        <v>39.6397056</v>
      </c>
      <c r="J33" s="25" t="n">
        <f aca="false">'Raw Data'!J33*'Raw Data'!J$61/1000</f>
        <v>36.0738164</v>
      </c>
      <c r="K33" s="25" t="n">
        <f aca="false">'Raw Data'!K33*'Raw Data'!K$61/1000</f>
        <v>37.96978</v>
      </c>
      <c r="L33" s="25" t="n">
        <f aca="false">'Raw Data'!L33*'Raw Data'!L$61/1000</f>
        <v>38.6852302</v>
      </c>
      <c r="M33" s="25" t="n">
        <f aca="false">'Raw Data'!M33*'Raw Data'!M$61/1000</f>
        <v>38.884056</v>
      </c>
      <c r="N33" s="25" t="n">
        <f aca="false">'Raw Data'!N33*'Raw Data'!N$61/1000</f>
        <v>47.5524</v>
      </c>
      <c r="O33" s="25" t="n">
        <f aca="false">'Raw Data'!O33*'Raw Data'!O$61/1000</f>
        <v>63.8199484</v>
      </c>
      <c r="P33" s="25" t="n">
        <f aca="false">'Raw Data'!P33*'Raw Data'!P$61/1000</f>
        <v>91.06352</v>
      </c>
      <c r="Q33" s="25" t="n">
        <f aca="false">'Raw Data'!Q33*'Raw Data'!Q$61/1000</f>
        <v>64.7453664</v>
      </c>
      <c r="R33" s="25" t="n">
        <f aca="false">'Raw Data'!R33*'Raw Data'!R$61/1000</f>
        <v>43.082556</v>
      </c>
      <c r="S33" s="25" t="n">
        <f aca="false">'Raw Data'!S33*'Raw Data'!S$61/1000</f>
        <v>40.2977775</v>
      </c>
      <c r="T33" s="20" t="n">
        <f aca="false">IFERROR(S33/R33-1,"")</f>
        <v>-0.0646381913830741</v>
      </c>
      <c r="U33" s="20" t="n">
        <f aca="false">IFERROR(S33/F33-1,"")</f>
        <v>-0.0224190475876264</v>
      </c>
      <c r="V33" s="9" t="s">
        <v>212</v>
      </c>
    </row>
    <row r="34" customFormat="false" ht="15" hidden="false" customHeight="false" outlineLevel="0" collapsed="false">
      <c r="A34" s="17" t="s">
        <v>151</v>
      </c>
      <c r="B34" s="18"/>
      <c r="C34" s="18"/>
      <c r="D34" s="18"/>
      <c r="E34" s="18"/>
      <c r="F34" s="18"/>
      <c r="G34" s="18"/>
      <c r="H34" s="18"/>
      <c r="I34" s="18"/>
      <c r="J34" s="18"/>
      <c r="K34" s="18"/>
      <c r="L34" s="18"/>
      <c r="M34" s="18"/>
      <c r="N34" s="18"/>
      <c r="O34" s="18"/>
      <c r="P34" s="18"/>
      <c r="Q34" s="18"/>
      <c r="R34" s="18"/>
      <c r="S34" s="18"/>
      <c r="T34" s="18"/>
      <c r="U34" s="18"/>
      <c r="V34" s="18"/>
    </row>
    <row r="35" customFormat="false" ht="15" hidden="false" customHeight="false" outlineLevel="0" collapsed="false">
      <c r="A35" s="24" t="str">
        <f aca="false">'Raw Data'!A35</f>
        <v>Natural Rubber (RSS 4)</v>
      </c>
      <c r="B35" s="11" t="s">
        <v>153</v>
      </c>
      <c r="C35" s="11" t="s">
        <v>143</v>
      </c>
      <c r="D35" s="11" t="s">
        <v>214</v>
      </c>
      <c r="E35" s="11" t="n">
        <v>31</v>
      </c>
      <c r="F35" s="25" t="n">
        <f aca="false">'Raw Data'!F35</f>
        <v>207.26</v>
      </c>
      <c r="G35" s="25" t="n">
        <f aca="false">'Raw Data'!G35</f>
        <v>196.34</v>
      </c>
      <c r="H35" s="25" t="n">
        <f aca="false">'Raw Data'!H35</f>
        <v>188.41</v>
      </c>
      <c r="I35" s="25" t="n">
        <f aca="false">'Raw Data'!I35</f>
        <v>187.33</v>
      </c>
      <c r="J35" s="25" t="n">
        <f aca="false">'Raw Data'!J35</f>
        <v>186.05</v>
      </c>
      <c r="K35" s="25" t="n">
        <f aca="false">'Raw Data'!K35</f>
        <v>183.74</v>
      </c>
      <c r="L35" s="25" t="n">
        <f aca="false">'Raw Data'!L35</f>
        <v>191.68</v>
      </c>
      <c r="M35" s="25" t="n">
        <f aca="false">'Raw Data'!M35</f>
        <v>212.48</v>
      </c>
      <c r="N35" s="25" t="n">
        <f aca="false">'Raw Data'!N35</f>
        <v>217.35</v>
      </c>
      <c r="O35" s="25" t="n">
        <f aca="false">'Raw Data'!O35</f>
        <v>234.54</v>
      </c>
      <c r="P35" s="25" t="n">
        <f aca="false">'Raw Data'!P35</f>
        <v>255.96</v>
      </c>
      <c r="Q35" s="25" t="n">
        <f aca="false">'Raw Data'!Q35</f>
        <v>268.98</v>
      </c>
      <c r="R35" s="25" t="n">
        <f aca="false">'Raw Data'!R35</f>
        <v>276.14</v>
      </c>
      <c r="S35" s="25" t="n">
        <f aca="false">'Raw Data'!S35</f>
        <v>278.76</v>
      </c>
      <c r="T35" s="20" t="n">
        <f aca="false">IFERROR(S35/R35-1,"")</f>
        <v>0.00948794089954363</v>
      </c>
      <c r="U35" s="20" t="n">
        <f aca="false">IFERROR(S35/F35-1,"")</f>
        <v>0.344977323168967</v>
      </c>
    </row>
    <row r="36" customFormat="false" ht="15" hidden="false" customHeight="false" outlineLevel="0" collapsed="false">
      <c r="A36" s="24" t="str">
        <f aca="false">'Raw Data'!A36</f>
        <v>Synthetic Rubber - SBR 1502</v>
      </c>
      <c r="B36" s="11" t="s">
        <v>153</v>
      </c>
      <c r="C36" s="11" t="s">
        <v>143</v>
      </c>
      <c r="D36" s="11" t="s">
        <v>214</v>
      </c>
      <c r="E36" s="11" t="n">
        <v>32</v>
      </c>
      <c r="F36" s="25" t="n">
        <f aca="false">'Raw Data'!F36</f>
        <v>184.18</v>
      </c>
      <c r="G36" s="25" t="n">
        <f aca="false">'Raw Data'!G36</f>
        <v>174.33</v>
      </c>
      <c r="H36" s="25" t="n">
        <f aca="false">'Raw Data'!H36</f>
        <v>177.57</v>
      </c>
      <c r="I36" s="25" t="n">
        <f aca="false">'Raw Data'!I36</f>
        <v>177.44</v>
      </c>
      <c r="J36" s="25" t="n">
        <f aca="false">'Raw Data'!J36</f>
        <v>176.52</v>
      </c>
      <c r="K36" s="25" t="n">
        <f aca="false">'Raw Data'!K36</f>
        <v>161.7</v>
      </c>
      <c r="L36" s="25" t="n">
        <f aca="false">'Raw Data'!L36</f>
        <v>155.59</v>
      </c>
      <c r="M36" s="25" t="n">
        <f aca="false">'Raw Data'!M36</f>
        <v>150.2</v>
      </c>
      <c r="N36" s="25" t="n">
        <f aca="false">'Raw Data'!N36</f>
        <v>164.88</v>
      </c>
      <c r="O36" s="25" t="n">
        <f aca="false">'Raw Data'!O36</f>
        <v>264.11</v>
      </c>
      <c r="P36" s="25" t="n">
        <f aca="false">'Raw Data'!P36</f>
        <v>281.34</v>
      </c>
      <c r="Q36" s="25" t="n">
        <f aca="false">'Raw Data'!Q36</f>
        <v>235.88</v>
      </c>
      <c r="R36" s="25" t="n">
        <f aca="false">'Raw Data'!R36</f>
        <v>246.62</v>
      </c>
      <c r="S36" s="25" t="n">
        <f aca="false">'Raw Data'!S36</f>
        <v>251.5</v>
      </c>
      <c r="T36" s="20" t="n">
        <f aca="false">IFERROR(S36/R36-1,"")</f>
        <v>0.019787527370043</v>
      </c>
      <c r="U36" s="20" t="n">
        <f aca="false">IFERROR(S36/F36-1,"")</f>
        <v>0.365511999131285</v>
      </c>
    </row>
    <row r="37" customFormat="false" ht="15" hidden="false" customHeight="false" outlineLevel="0" collapsed="false">
      <c r="A37" s="24" t="str">
        <f aca="false">'Raw Data'!A37</f>
        <v>EPDM</v>
      </c>
      <c r="B37" s="11" t="s">
        <v>153</v>
      </c>
      <c r="C37" s="11" t="s">
        <v>143</v>
      </c>
      <c r="D37" s="11" t="s">
        <v>214</v>
      </c>
      <c r="E37" s="11" t="n">
        <v>33</v>
      </c>
      <c r="F37" s="25" t="n">
        <f aca="false">'Raw Data'!F37</f>
        <v>220.45</v>
      </c>
      <c r="G37" s="25" t="n">
        <f aca="false">'Raw Data'!G37</f>
        <v>219.12</v>
      </c>
      <c r="H37" s="25" t="n">
        <f aca="false">'Raw Data'!H37</f>
        <v>216.76</v>
      </c>
      <c r="I37" s="25" t="n">
        <f aca="false">'Raw Data'!I37</f>
        <v>215.11</v>
      </c>
      <c r="J37" s="25" t="n">
        <f aca="false">'Raw Data'!J37</f>
        <v>212.16</v>
      </c>
      <c r="K37" s="25" t="n">
        <f aca="false">'Raw Data'!K37</f>
        <v>211.48</v>
      </c>
      <c r="L37" s="25" t="n">
        <f aca="false">'Raw Data'!L37</f>
        <v>207.7</v>
      </c>
      <c r="M37" s="25" t="n">
        <f aca="false">'Raw Data'!M37</f>
        <v>205.19</v>
      </c>
      <c r="N37" s="25" t="n">
        <f aca="false">'Raw Data'!N37</f>
        <v>248.35</v>
      </c>
      <c r="O37" s="25" t="n">
        <f aca="false">'Raw Data'!O37</f>
        <v>276.67</v>
      </c>
      <c r="P37" s="25" t="n">
        <f aca="false">'Raw Data'!P37</f>
        <v>299.11</v>
      </c>
      <c r="Q37" s="25" t="n">
        <f aca="false">'Raw Data'!Q37</f>
        <v>299.55</v>
      </c>
      <c r="R37" s="25" t="n">
        <f aca="false">'Raw Data'!R37</f>
        <v>288.02</v>
      </c>
      <c r="S37" s="25" t="n">
        <f aca="false">'Raw Data'!S37</f>
        <v>292.85</v>
      </c>
      <c r="T37" s="20" t="n">
        <f aca="false">IFERROR(S37/R37-1,"")</f>
        <v>0.0167696687730021</v>
      </c>
      <c r="U37" s="20" t="n">
        <f aca="false">IFERROR(S37/F37-1,"")</f>
        <v>0.328419142662735</v>
      </c>
    </row>
    <row r="38" customFormat="false" ht="15" hidden="false" customHeight="false" outlineLevel="0" collapsed="false">
      <c r="A38" s="24" t="str">
        <f aca="false">'Raw Data'!A38</f>
        <v>Carbon Black (N330)</v>
      </c>
      <c r="B38" s="11" t="s">
        <v>153</v>
      </c>
      <c r="C38" s="11" t="s">
        <v>143</v>
      </c>
      <c r="D38" s="11" t="s">
        <v>214</v>
      </c>
      <c r="E38" s="11" t="n">
        <v>34</v>
      </c>
      <c r="F38" s="25" t="n">
        <f aca="false">'Raw Data'!F38</f>
        <v>113.05</v>
      </c>
      <c r="G38" s="25" t="n">
        <f aca="false">'Raw Data'!G38</f>
        <v>105.68</v>
      </c>
      <c r="H38" s="25" t="n">
        <f aca="false">'Raw Data'!H38</f>
        <v>102.9</v>
      </c>
      <c r="I38" s="25" t="n">
        <f aca="false">'Raw Data'!I38</f>
        <v>99.55</v>
      </c>
      <c r="J38" s="25" t="n">
        <f aca="false">'Raw Data'!J38</f>
        <v>96.16</v>
      </c>
      <c r="K38" s="25" t="n">
        <f aca="false">'Raw Data'!K38</f>
        <v>96.3</v>
      </c>
      <c r="L38" s="25" t="n">
        <f aca="false">'Raw Data'!L38</f>
        <v>93.5</v>
      </c>
      <c r="M38" s="25" t="n">
        <f aca="false">'Raw Data'!M38</f>
        <v>92.64</v>
      </c>
      <c r="N38" s="25" t="n">
        <f aca="false">'Raw Data'!N38</f>
        <v>92.64</v>
      </c>
      <c r="O38" s="25" t="n">
        <f aca="false">'Raw Data'!O38</f>
        <v>124.92</v>
      </c>
      <c r="P38" s="25" t="n">
        <f aca="false">'Raw Data'!P38</f>
        <v>134.57</v>
      </c>
      <c r="Q38" s="25" t="n">
        <f aca="false">'Raw Data'!Q38</f>
        <v>150.77</v>
      </c>
      <c r="R38" s="25" t="n">
        <f aca="false">'Raw Data'!R38</f>
        <v>156.79</v>
      </c>
      <c r="S38" s="25" t="n">
        <f aca="false">'Raw Data'!S38</f>
        <v>155.42</v>
      </c>
      <c r="T38" s="20" t="n">
        <f aca="false">IFERROR(S38/R38-1,"")</f>
        <v>-0.00873780215574971</v>
      </c>
      <c r="U38" s="20" t="n">
        <f aca="false">IFERROR(S38/F38-1,"")</f>
        <v>0.374789915966387</v>
      </c>
    </row>
    <row r="39" customFormat="false" ht="15" hidden="false" customHeight="false" outlineLevel="0" collapsed="false">
      <c r="A39" s="24" t="str">
        <f aca="false">'Raw Data'!A39</f>
        <v>Polybutadiene Rubber (1220)</v>
      </c>
      <c r="B39" s="11" t="s">
        <v>153</v>
      </c>
      <c r="C39" s="11" t="s">
        <v>143</v>
      </c>
      <c r="D39" s="11" t="s">
        <v>214</v>
      </c>
      <c r="E39" s="11" t="n">
        <v>35</v>
      </c>
      <c r="F39" s="25" t="n">
        <f aca="false">'Raw Data'!F39</f>
        <v>172.29</v>
      </c>
      <c r="G39" s="25" t="n">
        <f aca="false">'Raw Data'!G39</f>
        <v>169.86</v>
      </c>
      <c r="H39" s="25" t="n">
        <f aca="false">'Raw Data'!H39</f>
        <v>175.69</v>
      </c>
      <c r="I39" s="25" t="n">
        <f aca="false">'Raw Data'!I39</f>
        <v>171.66</v>
      </c>
      <c r="J39" s="25" t="n">
        <f aca="false">'Raw Data'!J39</f>
        <v>169.56</v>
      </c>
      <c r="K39" s="25" t="n">
        <f aca="false">'Raw Data'!K39</f>
        <v>168.85</v>
      </c>
      <c r="L39" s="25" t="n">
        <f aca="false">'Raw Data'!L39</f>
        <v>153.55</v>
      </c>
      <c r="M39" s="25" t="n">
        <f aca="false">'Raw Data'!M39</f>
        <v>150.95</v>
      </c>
      <c r="N39" s="25" t="n">
        <f aca="false">'Raw Data'!N39</f>
        <v>163.92</v>
      </c>
      <c r="O39" s="25" t="n">
        <f aca="false">'Raw Data'!O39</f>
        <v>272.11</v>
      </c>
      <c r="P39" s="25" t="n">
        <f aca="false">'Raw Data'!P39</f>
        <v>304.5</v>
      </c>
      <c r="Q39" s="25" t="n">
        <f aca="false">'Raw Data'!Q39</f>
        <v>282.07</v>
      </c>
      <c r="R39" s="25" t="n">
        <f aca="false">'Raw Data'!R39</f>
        <v>272.59</v>
      </c>
      <c r="S39" s="25" t="n">
        <f aca="false">'Raw Data'!S39</f>
        <v>270.61</v>
      </c>
      <c r="T39" s="20" t="n">
        <f aca="false">IFERROR(S39/R39-1,"")</f>
        <v>-0.00726365604020673</v>
      </c>
      <c r="U39" s="20" t="n">
        <f aca="false">IFERROR(S39/F39-1,"")</f>
        <v>0.570665737999884</v>
      </c>
    </row>
    <row r="40" customFormat="false" ht="15" hidden="false" customHeight="false" outlineLevel="0" collapsed="false">
      <c r="A40" s="17" t="s">
        <v>158</v>
      </c>
      <c r="B40" s="18"/>
      <c r="C40" s="18"/>
      <c r="D40" s="18"/>
      <c r="E40" s="18"/>
      <c r="F40" s="18"/>
      <c r="G40" s="18"/>
      <c r="H40" s="18"/>
      <c r="I40" s="18"/>
      <c r="J40" s="18"/>
      <c r="K40" s="18"/>
      <c r="L40" s="18"/>
      <c r="M40" s="18"/>
      <c r="N40" s="18"/>
      <c r="O40" s="18"/>
      <c r="P40" s="18"/>
      <c r="Q40" s="18"/>
      <c r="R40" s="18"/>
      <c r="S40" s="18"/>
      <c r="T40" s="18"/>
      <c r="U40" s="18"/>
      <c r="V40" s="18"/>
    </row>
    <row r="41" customFormat="false" ht="15" hidden="false" customHeight="false" outlineLevel="0" collapsed="false">
      <c r="A41" s="24" t="str">
        <f aca="false">'Raw Data'!A41</f>
        <v>Lithium Carbonate (99.5% batt grade)</v>
      </c>
      <c r="B41" s="11" t="s">
        <v>160</v>
      </c>
      <c r="C41" s="11" t="s">
        <v>143</v>
      </c>
      <c r="D41" s="11" t="s">
        <v>215</v>
      </c>
      <c r="E41" s="11" t="n">
        <v>37</v>
      </c>
      <c r="F41" s="25" t="n">
        <f aca="false">'Raw Data'!F41*'Raw Data'!F$61</f>
        <v>729.2311</v>
      </c>
      <c r="G41" s="25" t="n">
        <f aca="false">'Raw Data'!G41*'Raw Data'!G$61</f>
        <v>826.7532</v>
      </c>
      <c r="H41" s="25" t="n">
        <f aca="false">'Raw Data'!H41*'Raw Data'!H$61</f>
        <v>833.7882</v>
      </c>
      <c r="I41" s="25" t="n">
        <f aca="false">'Raw Data'!I41*'Raw Data'!I$61</f>
        <v>840.9555</v>
      </c>
      <c r="J41" s="25" t="n">
        <f aca="false">'Raw Data'!J41*'Raw Data'!J$61</f>
        <v>918.3434</v>
      </c>
      <c r="K41" s="25" t="n">
        <f aca="false">'Raw Data'!K41*'Raw Data'!K$61</f>
        <v>1043.0362</v>
      </c>
      <c r="L41" s="25" t="n">
        <f aca="false">'Raw Data'!L41*'Raw Data'!L$61</f>
        <v>1600.2768</v>
      </c>
      <c r="M41" s="25" t="n">
        <f aca="false">'Raw Data'!M41*'Raw Data'!M$61</f>
        <v>1681.2012</v>
      </c>
      <c r="N41" s="25" t="n">
        <f aca="false">'Raw Data'!N41*'Raw Data'!N$61</f>
        <v>1854.5436</v>
      </c>
      <c r="O41" s="25" t="n">
        <f aca="false">'Raw Data'!O41*'Raw Data'!O$61</f>
        <v>1902.1652</v>
      </c>
      <c r="P41" s="25" t="n">
        <f aca="false">'Raw Data'!P41*'Raw Data'!P$61</f>
        <v>2106.8656</v>
      </c>
      <c r="Q41" s="25" t="n">
        <f aca="false">'Raw Data'!Q41*'Raw Data'!Q$61</f>
        <v>1987.7712</v>
      </c>
      <c r="R41" s="25" t="n">
        <f aca="false">'Raw Data'!R41*'Raw Data'!R$61</f>
        <v>1882.8744</v>
      </c>
      <c r="S41" s="25" t="n">
        <f aca="false">'Raw Data'!S41*'Raw Data'!S$61</f>
        <v>1853.765</v>
      </c>
      <c r="T41" s="20" t="n">
        <f aca="false">IFERROR(S41/R41-1,"")</f>
        <v>-0.0154600859196981</v>
      </c>
      <c r="U41" s="20" t="n">
        <f aca="false">IFERROR(S41/F41-1,"")</f>
        <v>1.54208165285326</v>
      </c>
      <c r="V41" s="9" t="s">
        <v>212</v>
      </c>
    </row>
    <row r="42" customFormat="false" ht="15" hidden="false" customHeight="false" outlineLevel="0" collapsed="false">
      <c r="A42" s="24" t="str">
        <f aca="false">'Raw Data'!A42</f>
        <v>Lithium Hydroxide (56.5% batt grade)</v>
      </c>
      <c r="B42" s="11" t="s">
        <v>160</v>
      </c>
      <c r="C42" s="11" t="s">
        <v>143</v>
      </c>
      <c r="D42" s="11" t="s">
        <v>215</v>
      </c>
      <c r="E42" s="11" t="n">
        <v>38</v>
      </c>
      <c r="F42" s="25" t="n">
        <f aca="false">'Raw Data'!F42*'Raw Data'!F$61</f>
        <v>703.2181</v>
      </c>
      <c r="G42" s="25" t="n">
        <f aca="false">'Raw Data'!G42*'Raw Data'!G$61</f>
        <v>755.3598</v>
      </c>
      <c r="H42" s="25" t="n">
        <f aca="false">'Raw Data'!H42*'Raw Data'!H$61</f>
        <v>826.677</v>
      </c>
      <c r="I42" s="25" t="n">
        <f aca="false">'Raw Data'!I42*'Raw Data'!I$61</f>
        <v>848.0747</v>
      </c>
      <c r="J42" s="25" t="n">
        <f aca="false">'Raw Data'!J42*'Raw Data'!J$61</f>
        <v>913.8724</v>
      </c>
      <c r="K42" s="25" t="n">
        <f aca="false">'Raw Data'!K42*'Raw Data'!K$61</f>
        <v>977.7898</v>
      </c>
      <c r="L42" s="25" t="n">
        <f aca="false">'Raw Data'!L42*'Raw Data'!L$61</f>
        <v>1529.0316</v>
      </c>
      <c r="M42" s="25" t="n">
        <f aca="false">'Raw Data'!M42*'Raw Data'!M$61</f>
        <v>1608.1452</v>
      </c>
      <c r="N42" s="25" t="n">
        <f aca="false">'Raw Data'!N42*'Raw Data'!N$61</f>
        <v>1712.8188</v>
      </c>
      <c r="O42" s="25" t="n">
        <f aca="false">'Raw Data'!O42*'Raw Data'!O$61</f>
        <v>1750.632</v>
      </c>
      <c r="P42" s="25" t="n">
        <f aca="false">'Raw Data'!P42*'Raw Data'!P$61</f>
        <v>1962.6256</v>
      </c>
      <c r="Q42" s="25" t="n">
        <f aca="false">'Raw Data'!Q42*'Raw Data'!Q$61</f>
        <v>1839.7152</v>
      </c>
      <c r="R42" s="25" t="n">
        <f aca="false">'Raw Data'!R42*'Raw Data'!R$61</f>
        <v>1734.48</v>
      </c>
      <c r="S42" s="25" t="n">
        <f aca="false">'Raw Data'!S42*'Raw Data'!S$61</f>
        <v>1717.374</v>
      </c>
      <c r="T42" s="20" t="n">
        <f aca="false">IFERROR(S42/R42-1,"")</f>
        <v>-0.00986232184862335</v>
      </c>
      <c r="U42" s="20" t="n">
        <f aca="false">IFERROR(S42/F42-1,"")</f>
        <v>1.44216410243138</v>
      </c>
      <c r="V42" s="9" t="s">
        <v>212</v>
      </c>
    </row>
    <row r="43" customFormat="false" ht="15" hidden="false" customHeight="false" outlineLevel="0" collapsed="false">
      <c r="A43" s="24" t="str">
        <f aca="false">'Raw Data'!A43</f>
        <v>Cobalt Oxide (Co&gt;=72%)</v>
      </c>
      <c r="B43" s="11" t="s">
        <v>160</v>
      </c>
      <c r="C43" s="11" t="s">
        <v>143</v>
      </c>
      <c r="D43" s="11" t="s">
        <v>211</v>
      </c>
      <c r="E43" s="11" t="n">
        <v>39</v>
      </c>
      <c r="F43" s="25" t="n">
        <f aca="false">'Raw Data'!F43*'Raw Data'!F$61/1000</f>
        <v>2047.1398584</v>
      </c>
      <c r="G43" s="25" t="n">
        <f aca="false">'Raw Data'!G43*'Raw Data'!G$61/1000</f>
        <v>2156.5310754</v>
      </c>
      <c r="H43" s="25" t="n">
        <f aca="false">'Raw Data'!H43*'Raw Data'!H$61/1000</f>
        <v>2263.4780709</v>
      </c>
      <c r="I43" s="25" t="n">
        <f aca="false">'Raw Data'!I43*'Raw Data'!I$61/1000</f>
        <v>3112.3736358</v>
      </c>
      <c r="J43" s="25" t="n">
        <f aca="false">'Raw Data'!J43*'Raw Data'!J$61/1000</f>
        <v>3364.400674</v>
      </c>
      <c r="K43" s="25" t="n">
        <f aca="false">'Raw Data'!K43*'Raw Data'!K$61/1000</f>
        <v>3631.1986782</v>
      </c>
      <c r="L43" s="25" t="n">
        <f aca="false">'Raw Data'!L43*'Raw Data'!L$61/1000</f>
        <v>3963.0754478</v>
      </c>
      <c r="M43" s="25" t="n">
        <f aca="false">'Raw Data'!M43*'Raw Data'!M$61/1000</f>
        <v>4024.0678524</v>
      </c>
      <c r="N43" s="25" t="n">
        <f aca="false">'Raw Data'!N43*'Raw Data'!N$61/1000</f>
        <v>4140.8266284</v>
      </c>
      <c r="O43" s="25" t="n">
        <f aca="false">'Raw Data'!O43*'Raw Data'!O$61/1000</f>
        <v>4136.1015176</v>
      </c>
      <c r="P43" s="25" t="n">
        <f aca="false">'Raw Data'!P43*'Raw Data'!P$61/1000</f>
        <v>4176.2461088</v>
      </c>
      <c r="Q43" s="25" t="n">
        <f aca="false">'Raw Data'!Q43*'Raw Data'!Q$61/1000</f>
        <v>3979.7271312</v>
      </c>
      <c r="R43" s="25" t="n">
        <f aca="false">'Raw Data'!R43*'Raw Data'!R$61/1000</f>
        <v>3731.5246188</v>
      </c>
      <c r="S43" s="25" t="n">
        <f aca="false">'Raw Data'!S43*'Raw Data'!S$61/1000</f>
        <v>3444.0120225</v>
      </c>
      <c r="T43" s="20" t="n">
        <f aca="false">IFERROR(S43/R43-1,"")</f>
        <v>-0.0770496313628664</v>
      </c>
      <c r="U43" s="20" t="n">
        <f aca="false">IFERROR(S43/F43-1,"")</f>
        <v>0.682353068535222</v>
      </c>
      <c r="V43" s="9" t="s">
        <v>212</v>
      </c>
    </row>
    <row r="44" customFormat="false" ht="15" hidden="false" customHeight="false" outlineLevel="0" collapsed="false">
      <c r="A44" s="24" t="str">
        <f aca="false">'Raw Data'!A44</f>
        <v>Cobalt Metal (Co&gt;=99.8%)</v>
      </c>
      <c r="B44" s="11" t="s">
        <v>160</v>
      </c>
      <c r="C44" s="11" t="s">
        <v>143</v>
      </c>
      <c r="D44" s="11" t="s">
        <v>211</v>
      </c>
      <c r="E44" s="11" t="n">
        <v>40</v>
      </c>
      <c r="F44" s="25" t="n">
        <f aca="false">'Raw Data'!F44*'Raw Data'!F$61/1000</f>
        <v>2662.508589</v>
      </c>
      <c r="G44" s="25" t="n">
        <f aca="false">'Raw Data'!G44*'Raw Data'!G$61/1000</f>
        <v>2871.1578558</v>
      </c>
      <c r="H44" s="25" t="n">
        <f aca="false">'Raw Data'!H44*'Raw Data'!H$61/1000</f>
        <v>3089.4412842</v>
      </c>
      <c r="I44" s="25" t="n">
        <f aca="false">'Raw Data'!I44*'Raw Data'!I$61/1000</f>
        <v>4259.470754</v>
      </c>
      <c r="J44" s="25" t="n">
        <f aca="false">'Raw Data'!J44*'Raw Data'!J$61/1000</f>
        <v>4378.6452356</v>
      </c>
      <c r="K44" s="25" t="n">
        <f aca="false">'Raw Data'!K44*'Raw Data'!K$61/1000</f>
        <v>4742.0231692</v>
      </c>
      <c r="L44" s="25" t="n">
        <f aca="false">'Raw Data'!L44*'Raw Data'!L$61/1000</f>
        <v>5211.942606</v>
      </c>
      <c r="M44" s="25" t="n">
        <f aca="false">'Raw Data'!M44*'Raw Data'!M$61/1000</f>
        <v>4981.250304</v>
      </c>
      <c r="N44" s="25" t="n">
        <f aca="false">'Raw Data'!N44*'Raw Data'!N$61/1000</f>
        <v>5140.176678</v>
      </c>
      <c r="O44" s="25" t="n">
        <f aca="false">'Raw Data'!O44*'Raw Data'!O$61/1000</f>
        <v>5050.6806168</v>
      </c>
      <c r="P44" s="25" t="n">
        <f aca="false">'Raw Data'!P44*'Raw Data'!P$61/1000</f>
        <v>5316.6017792</v>
      </c>
      <c r="Q44" s="25" t="n">
        <f aca="false">'Raw Data'!Q44*'Raw Data'!Q$61/1000</f>
        <v>4955.8316832</v>
      </c>
      <c r="R44" s="25" t="n">
        <f aca="false">'Raw Data'!R44*'Raw Data'!R$61/1000</f>
        <v>4618.8980772</v>
      </c>
      <c r="S44" s="25" t="n">
        <f aca="false">'Raw Data'!S44*'Raw Data'!S$61/1000</f>
        <v>4048.540157</v>
      </c>
      <c r="T44" s="20" t="n">
        <f aca="false">IFERROR(S44/R44-1,"")</f>
        <v>-0.123483547518709</v>
      </c>
      <c r="U44" s="20" t="n">
        <f aca="false">IFERROR(S44/F44-1,"")</f>
        <v>0.520573557481207</v>
      </c>
      <c r="V44" s="9" t="s">
        <v>212</v>
      </c>
    </row>
    <row r="45" customFormat="false" ht="15" hidden="false" customHeight="false" outlineLevel="0" collapsed="false">
      <c r="A45" s="17" t="s">
        <v>165</v>
      </c>
      <c r="B45" s="18"/>
      <c r="C45" s="18"/>
      <c r="D45" s="18"/>
      <c r="E45" s="18"/>
      <c r="F45" s="18"/>
      <c r="G45" s="18"/>
      <c r="H45" s="18"/>
      <c r="I45" s="18"/>
      <c r="J45" s="18"/>
      <c r="K45" s="18"/>
      <c r="L45" s="18"/>
      <c r="M45" s="18"/>
      <c r="N45" s="18"/>
      <c r="O45" s="18"/>
      <c r="P45" s="18"/>
      <c r="Q45" s="18"/>
      <c r="R45" s="18"/>
      <c r="S45" s="18"/>
      <c r="T45" s="18"/>
      <c r="U45" s="18"/>
      <c r="V45" s="18"/>
    </row>
    <row r="46" customFormat="false" ht="15" hidden="false" customHeight="false" outlineLevel="0" collapsed="false">
      <c r="A46" s="24" t="str">
        <f aca="false">'Raw Data'!A46</f>
        <v>NdFeB Magnet (GD - scrap)</v>
      </c>
      <c r="B46" s="11" t="s">
        <v>167</v>
      </c>
      <c r="C46" s="11" t="s">
        <v>143</v>
      </c>
      <c r="D46" s="11" t="s">
        <v>215</v>
      </c>
      <c r="E46" s="11" t="n">
        <v>42</v>
      </c>
      <c r="F46" s="25" t="n">
        <f aca="false">'Raw Data'!F46*'Raw Data'!F$61</f>
        <v>1062.1975</v>
      </c>
      <c r="G46" s="25" t="n">
        <f aca="false">'Raw Data'!G46*'Raw Data'!G$61</f>
        <v>1078.8336</v>
      </c>
      <c r="H46" s="25" t="n">
        <f aca="false">'Raw Data'!H46*'Raw Data'!H$61</f>
        <v>1096.0137</v>
      </c>
      <c r="I46" s="25" t="n">
        <f aca="false">'Raw Data'!I46*'Raw Data'!I$61</f>
        <v>1098.1366</v>
      </c>
      <c r="J46" s="25" t="n">
        <f aca="false">'Raw Data'!J46*'Raw Data'!J$61</f>
        <v>1105.2312</v>
      </c>
      <c r="K46" s="25" t="n">
        <f aca="false">'Raw Data'!K46*'Raw Data'!K$61</f>
        <v>1130.0314</v>
      </c>
      <c r="L46" s="25" t="n">
        <f aca="false">'Raw Data'!L46*'Raw Data'!L$61</f>
        <v>1041.276</v>
      </c>
      <c r="M46" s="25" t="n">
        <f aca="false">'Raw Data'!M46*'Raw Data'!M$61</f>
        <v>1050.18</v>
      </c>
      <c r="N46" s="25" t="n">
        <f aca="false">'Raw Data'!N46*'Raw Data'!N$61</f>
        <v>1074.1248</v>
      </c>
      <c r="O46" s="25" t="n">
        <f aca="false">'Raw Data'!O46*'Raw Data'!O$61</f>
        <v>1092.7332</v>
      </c>
      <c r="P46" s="25" t="n">
        <f aca="false">'Raw Data'!P46*'Raw Data'!P$61</f>
        <v>1124.1104</v>
      </c>
      <c r="Q46" s="25" t="n">
        <f aca="false">'Raw Data'!Q46*'Raw Data'!Q$61</f>
        <v>1119.4944</v>
      </c>
      <c r="R46" s="25" t="n">
        <f aca="false">'Raw Data'!R46*'Raw Data'!R$61</f>
        <v>1129.3392</v>
      </c>
      <c r="S46" s="25" t="n">
        <f aca="false">'Raw Data'!S46*'Raw Data'!S$61</f>
        <v>1132.4295</v>
      </c>
      <c r="T46" s="20" t="n">
        <f aca="false">IFERROR(S46/R46-1,"")</f>
        <v>0.00273637893734668</v>
      </c>
      <c r="U46" s="20" t="n">
        <f aca="false">IFERROR(S46/F46-1,"")</f>
        <v>0.0661195305016251</v>
      </c>
      <c r="V46" s="9" t="s">
        <v>212</v>
      </c>
    </row>
    <row r="47" customFormat="false" ht="15" hidden="false" customHeight="false" outlineLevel="0" collapsed="false">
      <c r="A47" s="17" t="s">
        <v>169</v>
      </c>
      <c r="B47" s="18"/>
      <c r="C47" s="18"/>
      <c r="D47" s="18"/>
      <c r="E47" s="18"/>
      <c r="F47" s="18"/>
      <c r="G47" s="18"/>
      <c r="H47" s="18"/>
      <c r="I47" s="18"/>
      <c r="J47" s="18"/>
      <c r="K47" s="18"/>
      <c r="L47" s="18"/>
      <c r="M47" s="18"/>
      <c r="N47" s="18"/>
      <c r="O47" s="18"/>
      <c r="P47" s="18"/>
      <c r="Q47" s="18"/>
      <c r="R47" s="18"/>
      <c r="S47" s="18"/>
      <c r="T47" s="18"/>
      <c r="U47" s="18"/>
      <c r="V47" s="18"/>
    </row>
    <row r="48" customFormat="false" ht="15" hidden="false" customHeight="false" outlineLevel="0" collapsed="false">
      <c r="A48" s="24" t="str">
        <f aca="false">'Raw Data'!A48</f>
        <v>Brent Crude (Europe spot FOB)</v>
      </c>
      <c r="B48" s="11" t="s">
        <v>171</v>
      </c>
      <c r="C48" s="11" t="s">
        <v>216</v>
      </c>
      <c r="D48" s="11" t="s">
        <v>215</v>
      </c>
      <c r="E48" s="11" t="n">
        <v>44</v>
      </c>
      <c r="F48" s="26" t="n">
        <f aca="false">'Raw Data'!F48*'Raw Data'!F$61</f>
        <v>6127.7957</v>
      </c>
      <c r="G48" s="26" t="n">
        <f aca="false">'Raw Data'!G48*'Raw Data'!G$61</f>
        <v>5982.0618</v>
      </c>
      <c r="H48" s="26" t="n">
        <f aca="false">'Raw Data'!H48*'Raw Data'!H$61</f>
        <v>6040.9644</v>
      </c>
      <c r="I48" s="26" t="n">
        <f aca="false">'Raw Data'!I48*'Raw Data'!I$61</f>
        <v>5737.1853</v>
      </c>
      <c r="J48" s="26" t="n">
        <f aca="false">'Raw Data'!J48*'Raw Data'!J$61</f>
        <v>5771.1668</v>
      </c>
      <c r="K48" s="26" t="n">
        <f aca="false">'Raw Data'!K48*'Raw Data'!K$61</f>
        <v>5667.3748</v>
      </c>
      <c r="L48" s="26" t="n">
        <f aca="false">'Raw Data'!L48*'Raw Data'!L$61</f>
        <v>6083.244</v>
      </c>
      <c r="M48" s="26" t="n">
        <f aca="false">'Raw Data'!M48*'Raw Data'!M$61</f>
        <v>6473.6748</v>
      </c>
      <c r="N48" s="26" t="n">
        <f aca="false">'Raw Data'!N48*'Raw Data'!N$61</f>
        <v>9615.8412</v>
      </c>
      <c r="O48" s="26" t="n">
        <f aca="false">'Raw Data'!O48*'Raw Data'!O$61</f>
        <v>11039.3348</v>
      </c>
      <c r="P48" s="26" t="n">
        <f aca="false">'Raw Data'!P48*'Raw Data'!P$61</f>
        <v>10302.5824</v>
      </c>
      <c r="Q48" s="26" t="n">
        <f aca="false">'Raw Data'!Q48*'Raw Data'!Q$61</f>
        <v>8225.2272</v>
      </c>
      <c r="R48" s="26" t="n">
        <f aca="false">'Raw Data'!R48*'Raw Data'!R$61</f>
        <v>8071.1136</v>
      </c>
      <c r="S48" s="26" t="n">
        <f aca="false">'Raw Data'!S48*'Raw Data'!S$61</f>
        <v>8748.234</v>
      </c>
      <c r="T48" s="20" t="n">
        <f aca="false">IFERROR(S48/R48-1,"")</f>
        <v>0.0838942968167367</v>
      </c>
      <c r="U48" s="20" t="n">
        <f aca="false">IFERROR(S48/F48-1,"")</f>
        <v>0.427631472765974</v>
      </c>
      <c r="V48" s="9" t="s">
        <v>212</v>
      </c>
    </row>
    <row r="49" customFormat="false" ht="15" hidden="false" customHeight="false" outlineLevel="0" collapsed="false">
      <c r="A49" s="24" t="str">
        <f aca="false">'Raw Data'!A49</f>
        <v>CNG - Delhi (IGL)</v>
      </c>
      <c r="B49" s="11" t="s">
        <v>171</v>
      </c>
      <c r="C49" s="11" t="s">
        <v>143</v>
      </c>
      <c r="D49" s="11" t="s">
        <v>214</v>
      </c>
      <c r="E49" s="11" t="n">
        <v>45</v>
      </c>
      <c r="F49" s="25" t="n">
        <f aca="false">'Raw Data'!F49</f>
        <v>77.1</v>
      </c>
      <c r="G49" s="25" t="n">
        <f aca="false">'Raw Data'!G49</f>
        <v>77.1</v>
      </c>
      <c r="H49" s="25" t="n">
        <f aca="false">'Raw Data'!H49</f>
        <v>77.1</v>
      </c>
      <c r="I49" s="25" t="n">
        <f aca="false">'Raw Data'!I49</f>
        <v>77.1</v>
      </c>
      <c r="J49" s="25" t="n">
        <f aca="false">'Raw Data'!J49</f>
        <v>77.1</v>
      </c>
      <c r="K49" s="25" t="n">
        <f aca="false">'Raw Data'!K49</f>
        <v>77.1</v>
      </c>
      <c r="L49" s="25" t="n">
        <f aca="false">'Raw Data'!L49</f>
        <v>77.1</v>
      </c>
      <c r="M49" s="25" t="n">
        <f aca="false">'Raw Data'!M49</f>
        <v>77.1</v>
      </c>
      <c r="N49" s="25" t="n">
        <f aca="false">'Raw Data'!N49</f>
        <v>77.1</v>
      </c>
      <c r="O49" s="25" t="n">
        <f aca="false">'Raw Data'!O49</f>
        <v>77.1</v>
      </c>
      <c r="P49" s="25" t="n">
        <f aca="false">'Raw Data'!P49</f>
        <v>79.3</v>
      </c>
      <c r="Q49" s="25" t="n">
        <f aca="false">'Raw Data'!Q49</f>
        <v>83.1</v>
      </c>
      <c r="R49" s="25" t="n">
        <f aca="false">'Raw Data'!R49</f>
        <v>83.1</v>
      </c>
      <c r="S49" s="25" t="n">
        <f aca="false">'Raw Data'!S49</f>
        <v>83.5</v>
      </c>
      <c r="T49" s="20" t="n">
        <f aca="false">IFERROR(S49/R49-1,"")</f>
        <v>0.00481347773766561</v>
      </c>
      <c r="U49" s="20" t="n">
        <f aca="false">IFERROR(S49/F49-1,"")</f>
        <v>0.0830090791180287</v>
      </c>
    </row>
    <row r="50" customFormat="false" ht="15" hidden="false" customHeight="false" outlineLevel="0" collapsed="false">
      <c r="A50" s="24" t="str">
        <f aca="false">'Raw Data'!A50</f>
        <v>CNG - Mumbai (MGL)</v>
      </c>
      <c r="B50" s="11" t="s">
        <v>171</v>
      </c>
      <c r="C50" s="11" t="s">
        <v>143</v>
      </c>
      <c r="D50" s="11" t="s">
        <v>214</v>
      </c>
      <c r="E50" s="11" t="n">
        <v>45</v>
      </c>
      <c r="F50" s="25" t="n">
        <f aca="false">'Raw Data'!F50</f>
        <v>80</v>
      </c>
      <c r="G50" s="25" t="n">
        <f aca="false">'Raw Data'!G50</f>
        <v>80</v>
      </c>
      <c r="H50" s="25" t="n">
        <f aca="false">'Raw Data'!H50</f>
        <v>80.5</v>
      </c>
      <c r="I50" s="25" t="n">
        <f aca="false">'Raw Data'!I50</f>
        <v>80.5</v>
      </c>
      <c r="J50" s="25" t="n">
        <f aca="false">'Raw Data'!J50</f>
        <v>80.5</v>
      </c>
      <c r="K50" s="25" t="n">
        <f aca="false">'Raw Data'!K50</f>
        <v>80.5</v>
      </c>
      <c r="L50" s="25" t="n">
        <f aca="false">'Raw Data'!L50</f>
        <v>80.5</v>
      </c>
      <c r="M50" s="25" t="n">
        <f aca="false">'Raw Data'!M50</f>
        <v>81</v>
      </c>
      <c r="N50" s="25" t="n">
        <f aca="false">'Raw Data'!N50</f>
        <v>81</v>
      </c>
      <c r="O50" s="25" t="n">
        <f aca="false">'Raw Data'!O50</f>
        <v>81.6</v>
      </c>
      <c r="P50" s="25" t="n">
        <f aca="false">'Raw Data'!P50</f>
        <v>83.3</v>
      </c>
      <c r="Q50" s="25" t="n">
        <f aca="false">'Raw Data'!Q50</f>
        <v>86</v>
      </c>
      <c r="R50" s="25" t="n">
        <f aca="false">'Raw Data'!R50</f>
        <v>86</v>
      </c>
      <c r="S50" s="25" t="n">
        <f aca="false">'Raw Data'!S50</f>
        <v>86</v>
      </c>
      <c r="T50" s="20" t="n">
        <f aca="false">IFERROR(S50/R50-1,"")</f>
        <v>0</v>
      </c>
      <c r="U50" s="20" t="n">
        <f aca="false">IFERROR(S50/F50-1,"")</f>
        <v>0.075</v>
      </c>
    </row>
    <row r="51" customFormat="false" ht="15" hidden="false" customHeight="false" outlineLevel="0" collapsed="false">
      <c r="A51" s="24" t="str">
        <f aca="false">'Raw Data'!A51</f>
        <v>Petrol - Delhi</v>
      </c>
      <c r="B51" s="11" t="s">
        <v>171</v>
      </c>
      <c r="C51" s="11" t="s">
        <v>176</v>
      </c>
      <c r="D51" s="11" t="s">
        <v>214</v>
      </c>
      <c r="E51" s="11" t="n">
        <v>46</v>
      </c>
      <c r="F51" s="25" t="n">
        <f aca="false">'Raw Data'!F51</f>
        <v>94.81</v>
      </c>
      <c r="G51" s="25" t="n">
        <f aca="false">'Raw Data'!G51</f>
        <v>94.81</v>
      </c>
      <c r="H51" s="25" t="n">
        <f aca="false">'Raw Data'!H51</f>
        <v>94.81</v>
      </c>
      <c r="I51" s="25" t="n">
        <f aca="false">'Raw Data'!I51</f>
        <v>94.81</v>
      </c>
      <c r="J51" s="25" t="n">
        <f aca="false">'Raw Data'!J51</f>
        <v>94.81</v>
      </c>
      <c r="K51" s="25" t="n">
        <f aca="false">'Raw Data'!K51</f>
        <v>94.81</v>
      </c>
      <c r="L51" s="25" t="n">
        <f aca="false">'Raw Data'!L51</f>
        <v>94.81</v>
      </c>
      <c r="M51" s="25" t="n">
        <f aca="false">'Raw Data'!M51</f>
        <v>94.81</v>
      </c>
      <c r="N51" s="25" t="n">
        <f aca="false">'Raw Data'!N51</f>
        <v>94.81</v>
      </c>
      <c r="O51" s="25" t="n">
        <f aca="false">'Raw Data'!O51</f>
        <v>94.81</v>
      </c>
      <c r="P51" s="25" t="n">
        <f aca="false">'Raw Data'!P51</f>
        <v>97.22</v>
      </c>
      <c r="Q51" s="25" t="n">
        <f aca="false">'Raw Data'!Q51</f>
        <v>102.12</v>
      </c>
      <c r="R51" s="25" t="n">
        <f aca="false">'Raw Data'!R51</f>
        <v>102.12</v>
      </c>
      <c r="S51" s="25" t="n">
        <f aca="false">'Raw Data'!S51</f>
        <v>102.12</v>
      </c>
      <c r="T51" s="20" t="n">
        <f aca="false">IFERROR(S51/R51-1,"")</f>
        <v>0</v>
      </c>
      <c r="U51" s="20" t="n">
        <f aca="false">IFERROR(S51/F51-1,"")</f>
        <v>0.077101571564181</v>
      </c>
    </row>
    <row r="52" customFormat="false" ht="15" hidden="false" customHeight="false" outlineLevel="0" collapsed="false">
      <c r="A52" s="24" t="str">
        <f aca="false">'Raw Data'!A52</f>
        <v>Diesel - Delhi</v>
      </c>
      <c r="B52" s="11" t="s">
        <v>171</v>
      </c>
      <c r="C52" s="11" t="s">
        <v>176</v>
      </c>
      <c r="D52" s="11" t="s">
        <v>214</v>
      </c>
      <c r="E52" s="11" t="n">
        <v>46</v>
      </c>
      <c r="F52" s="25" t="n">
        <f aca="false">'Raw Data'!F52</f>
        <v>87.71</v>
      </c>
      <c r="G52" s="25" t="n">
        <f aca="false">'Raw Data'!G52</f>
        <v>87.71</v>
      </c>
      <c r="H52" s="25" t="n">
        <f aca="false">'Raw Data'!H52</f>
        <v>87.71</v>
      </c>
      <c r="I52" s="25" t="n">
        <f aca="false">'Raw Data'!I52</f>
        <v>87.71</v>
      </c>
      <c r="J52" s="25" t="n">
        <f aca="false">'Raw Data'!J52</f>
        <v>87.71</v>
      </c>
      <c r="K52" s="25" t="n">
        <f aca="false">'Raw Data'!K52</f>
        <v>87.71</v>
      </c>
      <c r="L52" s="25" t="n">
        <f aca="false">'Raw Data'!L52</f>
        <v>87.71</v>
      </c>
      <c r="M52" s="25" t="n">
        <f aca="false">'Raw Data'!M52</f>
        <v>87.71</v>
      </c>
      <c r="N52" s="25" t="n">
        <f aca="false">'Raw Data'!N52</f>
        <v>87.71</v>
      </c>
      <c r="O52" s="25" t="n">
        <f aca="false">'Raw Data'!O52</f>
        <v>87.71</v>
      </c>
      <c r="P52" s="25" t="n">
        <f aca="false">'Raw Data'!P52</f>
        <v>90.16</v>
      </c>
      <c r="Q52" s="25" t="n">
        <f aca="false">'Raw Data'!Q52</f>
        <v>95.2</v>
      </c>
      <c r="R52" s="25" t="n">
        <f aca="false">'Raw Data'!R52</f>
        <v>95.2</v>
      </c>
      <c r="S52" s="25" t="n">
        <f aca="false">'Raw Data'!S52</f>
        <v>95.2</v>
      </c>
      <c r="T52" s="20" t="n">
        <f aca="false">IFERROR(S52/R52-1,"")</f>
        <v>0</v>
      </c>
      <c r="U52" s="20" t="n">
        <f aca="false">IFERROR(S52/F52-1,"")</f>
        <v>0.0853950518754989</v>
      </c>
    </row>
    <row r="53" customFormat="false" ht="15" hidden="false" customHeight="false" outlineLevel="0" collapsed="false">
      <c r="A53" s="24" t="str">
        <f aca="false">'Raw Data'!A53</f>
        <v>Petrol - Mumbai</v>
      </c>
      <c r="B53" s="11" t="s">
        <v>171</v>
      </c>
      <c r="C53" s="11" t="s">
        <v>176</v>
      </c>
      <c r="D53" s="11" t="s">
        <v>214</v>
      </c>
      <c r="E53" s="11" t="n">
        <v>46</v>
      </c>
      <c r="F53" s="25" t="n">
        <f aca="false">'Raw Data'!F53</f>
        <v>103.49</v>
      </c>
      <c r="G53" s="25" t="n">
        <f aca="false">'Raw Data'!G53</f>
        <v>103.49</v>
      </c>
      <c r="H53" s="25" t="n">
        <f aca="false">'Raw Data'!H53</f>
        <v>103.49</v>
      </c>
      <c r="I53" s="25" t="n">
        <f aca="false">'Raw Data'!I53</f>
        <v>103.49</v>
      </c>
      <c r="J53" s="25" t="n">
        <f aca="false">'Raw Data'!J53</f>
        <v>103.49</v>
      </c>
      <c r="K53" s="25" t="n">
        <f aca="false">'Raw Data'!K53</f>
        <v>103.49</v>
      </c>
      <c r="L53" s="25" t="n">
        <f aca="false">'Raw Data'!L53</f>
        <v>103.49</v>
      </c>
      <c r="M53" s="25" t="n">
        <f aca="false">'Raw Data'!M53</f>
        <v>103.49</v>
      </c>
      <c r="N53" s="25" t="n">
        <f aca="false">'Raw Data'!N53</f>
        <v>103.49</v>
      </c>
      <c r="O53" s="25" t="n">
        <f aca="false">'Raw Data'!O53</f>
        <v>103.49</v>
      </c>
      <c r="P53" s="25" t="n">
        <f aca="false">'Raw Data'!P53</f>
        <v>106.05</v>
      </c>
      <c r="Q53" s="25" t="n">
        <f aca="false">'Raw Data'!Q53</f>
        <v>111.21</v>
      </c>
      <c r="R53" s="25" t="n">
        <f aca="false">'Raw Data'!R53</f>
        <v>111.21</v>
      </c>
      <c r="S53" s="25" t="n">
        <f aca="false">'Raw Data'!S53</f>
        <v>111.21</v>
      </c>
      <c r="T53" s="20" t="n">
        <f aca="false">IFERROR(S53/R53-1,"")</f>
        <v>0</v>
      </c>
      <c r="U53" s="20" t="n">
        <f aca="false">IFERROR(S53/F53-1,"")</f>
        <v>0.0745965793796501</v>
      </c>
    </row>
    <row r="54" customFormat="false" ht="15" hidden="false" customHeight="false" outlineLevel="0" collapsed="false">
      <c r="A54" s="24" t="str">
        <f aca="false">'Raw Data'!A54</f>
        <v>Diesel - Mumbai</v>
      </c>
      <c r="B54" s="11" t="s">
        <v>171</v>
      </c>
      <c r="C54" s="11" t="s">
        <v>176</v>
      </c>
      <c r="D54" s="11" t="s">
        <v>214</v>
      </c>
      <c r="E54" s="11" t="n">
        <v>46</v>
      </c>
      <c r="F54" s="25" t="n">
        <f aca="false">'Raw Data'!F54</f>
        <v>90.01</v>
      </c>
      <c r="G54" s="25" t="n">
        <f aca="false">'Raw Data'!G54</f>
        <v>90.01</v>
      </c>
      <c r="H54" s="25" t="n">
        <f aca="false">'Raw Data'!H54</f>
        <v>90.01</v>
      </c>
      <c r="I54" s="25" t="n">
        <f aca="false">'Raw Data'!I54</f>
        <v>90.01</v>
      </c>
      <c r="J54" s="25" t="n">
        <f aca="false">'Raw Data'!J54</f>
        <v>90.01</v>
      </c>
      <c r="K54" s="25" t="n">
        <f aca="false">'Raw Data'!K54</f>
        <v>90.01</v>
      </c>
      <c r="L54" s="25" t="n">
        <f aca="false">'Raw Data'!L54</f>
        <v>90.01</v>
      </c>
      <c r="M54" s="25" t="n">
        <f aca="false">'Raw Data'!M54</f>
        <v>90.01</v>
      </c>
      <c r="N54" s="25" t="n">
        <f aca="false">'Raw Data'!N54</f>
        <v>90.01</v>
      </c>
      <c r="O54" s="25" t="n">
        <f aca="false">'Raw Data'!O54</f>
        <v>90.01</v>
      </c>
      <c r="P54" s="25" t="n">
        <f aca="false">'Raw Data'!P54</f>
        <v>92.58</v>
      </c>
      <c r="Q54" s="25" t="n">
        <f aca="false">'Raw Data'!Q54</f>
        <v>97.83</v>
      </c>
      <c r="R54" s="25" t="n">
        <f aca="false">'Raw Data'!R54</f>
        <v>97.83</v>
      </c>
      <c r="S54" s="25" t="n">
        <f aca="false">'Raw Data'!S54</f>
        <v>97.83</v>
      </c>
      <c r="T54" s="20" t="n">
        <f aca="false">IFERROR(S54/R54-1,"")</f>
        <v>0</v>
      </c>
      <c r="U54" s="20" t="n">
        <f aca="false">IFERROR(S54/F54-1,"")</f>
        <v>0.0868792356404844</v>
      </c>
    </row>
    <row r="55" customFormat="false" ht="15" hidden="false" customHeight="false" outlineLevel="0" collapsed="false">
      <c r="A55" s="24" t="str">
        <f aca="false">'Raw Data'!A55</f>
        <v>Ethanol - Sugarcane Juice</v>
      </c>
      <c r="B55" s="11" t="s">
        <v>171</v>
      </c>
      <c r="C55" s="11" t="s">
        <v>176</v>
      </c>
      <c r="D55" s="11" t="s">
        <v>214</v>
      </c>
      <c r="E55" s="11" t="n">
        <v>47</v>
      </c>
      <c r="F55" s="25" t="n">
        <f aca="false">'Raw Data'!F55</f>
        <v>58</v>
      </c>
      <c r="G55" s="25" t="n">
        <f aca="false">'Raw Data'!G55</f>
        <v>58</v>
      </c>
      <c r="H55" s="25" t="n">
        <f aca="false">'Raw Data'!H55</f>
        <v>58</v>
      </c>
      <c r="I55" s="25" t="n">
        <f aca="false">'Raw Data'!I55</f>
        <v>58</v>
      </c>
      <c r="J55" s="25" t="n">
        <f aca="false">'Raw Data'!J55</f>
        <v>58</v>
      </c>
      <c r="K55" s="25" t="n">
        <f aca="false">'Raw Data'!K55</f>
        <v>58</v>
      </c>
      <c r="L55" s="25" t="n">
        <f aca="false">'Raw Data'!L55</f>
        <v>58</v>
      </c>
      <c r="M55" s="25" t="n">
        <f aca="false">'Raw Data'!M55</f>
        <v>58</v>
      </c>
      <c r="N55" s="25" t="n">
        <f aca="false">'Raw Data'!N55</f>
        <v>58</v>
      </c>
      <c r="O55" s="25" t="n">
        <f aca="false">'Raw Data'!O55</f>
        <v>58</v>
      </c>
      <c r="P55" s="25" t="n">
        <f aca="false">'Raw Data'!P55</f>
        <v>58</v>
      </c>
      <c r="Q55" s="25" t="n">
        <f aca="false">'Raw Data'!Q55</f>
        <v>58</v>
      </c>
      <c r="R55" s="25" t="n">
        <f aca="false">'Raw Data'!R55</f>
        <v>58</v>
      </c>
      <c r="S55" s="25" t="n">
        <f aca="false">'Raw Data'!S55</f>
        <v>58</v>
      </c>
      <c r="T55" s="20" t="n">
        <f aca="false">IFERROR(S55/R55-1,"")</f>
        <v>0</v>
      </c>
      <c r="U55" s="20" t="n">
        <f aca="false">IFERROR(S55/F55-1,"")</f>
        <v>0</v>
      </c>
    </row>
    <row r="56" customFormat="false" ht="15" hidden="false" customHeight="false" outlineLevel="0" collapsed="false">
      <c r="A56" s="24" t="str">
        <f aca="false">'Raw Data'!A56</f>
        <v>Ethanol - B-Heavy Molasses</v>
      </c>
      <c r="B56" s="11" t="s">
        <v>171</v>
      </c>
      <c r="C56" s="11" t="s">
        <v>176</v>
      </c>
      <c r="D56" s="11" t="s">
        <v>214</v>
      </c>
      <c r="E56" s="11" t="n">
        <v>47</v>
      </c>
      <c r="F56" s="25" t="n">
        <f aca="false">'Raw Data'!F56</f>
        <v>65.6</v>
      </c>
      <c r="G56" s="25" t="n">
        <f aca="false">'Raw Data'!G56</f>
        <v>65.6</v>
      </c>
      <c r="H56" s="25" t="n">
        <f aca="false">'Raw Data'!H56</f>
        <v>65.6</v>
      </c>
      <c r="I56" s="25" t="n">
        <f aca="false">'Raw Data'!I56</f>
        <v>65.6</v>
      </c>
      <c r="J56" s="25" t="n">
        <f aca="false">'Raw Data'!J56</f>
        <v>65.6</v>
      </c>
      <c r="K56" s="25" t="n">
        <f aca="false">'Raw Data'!K56</f>
        <v>65.6</v>
      </c>
      <c r="L56" s="25" t="n">
        <f aca="false">'Raw Data'!L56</f>
        <v>65.6</v>
      </c>
      <c r="M56" s="25" t="n">
        <f aca="false">'Raw Data'!M56</f>
        <v>65.6</v>
      </c>
      <c r="N56" s="25" t="n">
        <f aca="false">'Raw Data'!N56</f>
        <v>65.6</v>
      </c>
      <c r="O56" s="25" t="n">
        <f aca="false">'Raw Data'!O56</f>
        <v>65.6</v>
      </c>
      <c r="P56" s="25" t="n">
        <f aca="false">'Raw Data'!P56</f>
        <v>65.6</v>
      </c>
      <c r="Q56" s="25" t="n">
        <f aca="false">'Raw Data'!Q56</f>
        <v>65.6</v>
      </c>
      <c r="R56" s="25" t="n">
        <f aca="false">'Raw Data'!R56</f>
        <v>65.6</v>
      </c>
      <c r="S56" s="25" t="n">
        <f aca="false">'Raw Data'!S56</f>
        <v>65.6</v>
      </c>
      <c r="T56" s="20" t="n">
        <f aca="false">IFERROR(S56/R56-1,"")</f>
        <v>0</v>
      </c>
      <c r="U56" s="20" t="n">
        <f aca="false">IFERROR(S56/F56-1,"")</f>
        <v>0</v>
      </c>
    </row>
    <row r="57" customFormat="false" ht="15" hidden="false" customHeight="false" outlineLevel="0" collapsed="false">
      <c r="A57" s="24" t="str">
        <f aca="false">'Raw Data'!A57</f>
        <v>Ethanol - C-Heavy Molasses</v>
      </c>
      <c r="B57" s="11" t="s">
        <v>171</v>
      </c>
      <c r="C57" s="11" t="s">
        <v>176</v>
      </c>
      <c r="D57" s="11" t="s">
        <v>214</v>
      </c>
      <c r="E57" s="11" t="n">
        <v>47</v>
      </c>
      <c r="F57" s="25" t="n">
        <f aca="false">'Raw Data'!F57</f>
        <v>60.7</v>
      </c>
      <c r="G57" s="25" t="n">
        <f aca="false">'Raw Data'!G57</f>
        <v>60.7</v>
      </c>
      <c r="H57" s="25" t="n">
        <f aca="false">'Raw Data'!H57</f>
        <v>60.7</v>
      </c>
      <c r="I57" s="25" t="n">
        <f aca="false">'Raw Data'!I57</f>
        <v>60.7</v>
      </c>
      <c r="J57" s="25" t="n">
        <f aca="false">'Raw Data'!J57</f>
        <v>60.7</v>
      </c>
      <c r="K57" s="25" t="n">
        <f aca="false">'Raw Data'!K57</f>
        <v>60.7</v>
      </c>
      <c r="L57" s="25" t="n">
        <f aca="false">'Raw Data'!L57</f>
        <v>60.7</v>
      </c>
      <c r="M57" s="25" t="n">
        <f aca="false">'Raw Data'!M57</f>
        <v>60.7</v>
      </c>
      <c r="N57" s="25" t="n">
        <f aca="false">'Raw Data'!N57</f>
        <v>60.7</v>
      </c>
      <c r="O57" s="25" t="n">
        <f aca="false">'Raw Data'!O57</f>
        <v>60.7</v>
      </c>
      <c r="P57" s="25" t="n">
        <f aca="false">'Raw Data'!P57</f>
        <v>60.7</v>
      </c>
      <c r="Q57" s="25" t="n">
        <f aca="false">'Raw Data'!Q57</f>
        <v>60.7</v>
      </c>
      <c r="R57" s="25" t="n">
        <f aca="false">'Raw Data'!R57</f>
        <v>60.7</v>
      </c>
      <c r="S57" s="25" t="n">
        <f aca="false">'Raw Data'!S57</f>
        <v>60.7</v>
      </c>
      <c r="T57" s="20" t="n">
        <f aca="false">IFERROR(S57/R57-1,"")</f>
        <v>0</v>
      </c>
      <c r="U57" s="20" t="n">
        <f aca="false">IFERROR(S57/F57-1,"")</f>
        <v>0</v>
      </c>
    </row>
    <row r="58" customFormat="false" ht="15" hidden="false" customHeight="false" outlineLevel="0" collapsed="false">
      <c r="A58" s="17" t="s">
        <v>183</v>
      </c>
      <c r="B58" s="18"/>
      <c r="C58" s="18"/>
      <c r="D58" s="18"/>
      <c r="E58" s="18"/>
      <c r="F58" s="18"/>
      <c r="G58" s="18"/>
      <c r="H58" s="18"/>
      <c r="I58" s="18"/>
      <c r="J58" s="18"/>
      <c r="K58" s="18"/>
      <c r="L58" s="18"/>
      <c r="M58" s="18"/>
      <c r="N58" s="18"/>
      <c r="O58" s="18"/>
      <c r="P58" s="18"/>
      <c r="Q58" s="18"/>
      <c r="R58" s="18"/>
      <c r="S58" s="18"/>
      <c r="T58" s="18"/>
      <c r="U58" s="18"/>
      <c r="V58" s="18"/>
    </row>
    <row r="59" customFormat="false" ht="15" hidden="false" customHeight="false" outlineLevel="0" collapsed="false">
      <c r="A59" s="24" t="str">
        <f aca="false">'Raw Data'!A59</f>
        <v>Baltic Dry Index (Dry Bulk)</v>
      </c>
      <c r="B59" s="11" t="s">
        <v>185</v>
      </c>
      <c r="C59" s="11" t="s">
        <v>186</v>
      </c>
      <c r="D59" s="11" t="s">
        <v>214</v>
      </c>
      <c r="E59" s="11" t="n">
        <v>56</v>
      </c>
      <c r="F59" s="26" t="n">
        <f aca="false">'Raw Data'!F59</f>
        <v>1819</v>
      </c>
      <c r="G59" s="26" t="n">
        <f aca="false">'Raw Data'!G59</f>
        <v>2000</v>
      </c>
      <c r="H59" s="26" t="n">
        <f aca="false">'Raw Data'!H59</f>
        <v>2124</v>
      </c>
      <c r="I59" s="26" t="n">
        <f aca="false">'Raw Data'!I59</f>
        <v>1997</v>
      </c>
      <c r="J59" s="26" t="n">
        <f aca="false">'Raw Data'!J59</f>
        <v>2184</v>
      </c>
      <c r="K59" s="26" t="n">
        <f aca="false">'Raw Data'!K59</f>
        <v>2339</v>
      </c>
      <c r="L59" s="26" t="n">
        <f aca="false">'Raw Data'!L59</f>
        <v>1777</v>
      </c>
      <c r="M59" s="26" t="n">
        <f aca="false">'Raw Data'!M59</f>
        <v>2041</v>
      </c>
      <c r="N59" s="26" t="n">
        <f aca="false">'Raw Data'!N59</f>
        <v>2047</v>
      </c>
      <c r="O59" s="26" t="n">
        <f aca="false">'Raw Data'!O59</f>
        <v>2443</v>
      </c>
      <c r="P59" s="26" t="n">
        <f aca="false">'Raw Data'!P59</f>
        <v>3049</v>
      </c>
      <c r="Q59" s="26" t="n">
        <f aca="false">'Raw Data'!Q59</f>
        <v>2775</v>
      </c>
      <c r="R59" s="26" t="n">
        <f aca="false">'Raw Data'!R59</f>
        <v>2770</v>
      </c>
      <c r="S59" s="26" t="n">
        <f aca="false">'Raw Data'!S59</f>
        <v>2770</v>
      </c>
      <c r="T59" s="20" t="n">
        <f aca="false">IFERROR(S59/R59-1,"")</f>
        <v>0</v>
      </c>
      <c r="U59" s="20" t="n">
        <f aca="false">IFERROR(S59/F59-1,"")</f>
        <v>0.522814733369984</v>
      </c>
    </row>
    <row r="60" customFormat="false" ht="15" hidden="false" customHeight="false" outlineLevel="0" collapsed="false">
      <c r="A60" s="17" t="s">
        <v>189</v>
      </c>
      <c r="B60" s="18"/>
      <c r="C60" s="18"/>
      <c r="D60" s="18"/>
      <c r="E60" s="18"/>
      <c r="F60" s="18"/>
      <c r="G60" s="18"/>
      <c r="H60" s="18"/>
      <c r="I60" s="18"/>
      <c r="J60" s="18"/>
      <c r="K60" s="18"/>
      <c r="L60" s="18"/>
      <c r="M60" s="18"/>
      <c r="N60" s="18"/>
      <c r="O60" s="18"/>
      <c r="P60" s="18"/>
      <c r="Q60" s="18"/>
      <c r="R60" s="18"/>
      <c r="S60" s="18"/>
      <c r="T60" s="18"/>
      <c r="U60" s="18"/>
      <c r="V60" s="18"/>
    </row>
    <row r="61" customFormat="false" ht="15" hidden="false" customHeight="false" outlineLevel="0" collapsed="false">
      <c r="A61" s="24" t="str">
        <f aca="false">'Raw Data'!A61</f>
        <v>USD / INR (selling)</v>
      </c>
      <c r="B61" s="11" t="s">
        <v>191</v>
      </c>
      <c r="C61" s="11" t="s">
        <v>50</v>
      </c>
      <c r="D61" s="11" t="s">
        <v>214</v>
      </c>
      <c r="E61" s="11" t="n">
        <v>49</v>
      </c>
      <c r="F61" s="25" t="n">
        <f aca="false">'Raw Data'!F61</f>
        <v>86.71</v>
      </c>
      <c r="G61" s="25" t="n">
        <f aca="false">'Raw Data'!G61</f>
        <v>88.14</v>
      </c>
      <c r="H61" s="25" t="n">
        <f aca="false">'Raw Data'!H61</f>
        <v>88.89</v>
      </c>
      <c r="I61" s="25" t="n">
        <f aca="false">'Raw Data'!I61</f>
        <v>88.99</v>
      </c>
      <c r="J61" s="25" t="n">
        <f aca="false">'Raw Data'!J61</f>
        <v>89.42</v>
      </c>
      <c r="K61" s="25" t="n">
        <f aca="false">'Raw Data'!K61</f>
        <v>90.62</v>
      </c>
      <c r="L61" s="25" t="n">
        <f aca="false">'Raw Data'!L61</f>
        <v>91.34</v>
      </c>
      <c r="M61" s="25" t="n">
        <f aca="false">'Raw Data'!M61</f>
        <v>91.32</v>
      </c>
      <c r="N61" s="25" t="n">
        <f aca="false">'Raw Data'!N61</f>
        <v>93.24</v>
      </c>
      <c r="O61" s="25" t="n">
        <f aca="false">'Raw Data'!O61</f>
        <v>94.12</v>
      </c>
      <c r="P61" s="25" t="n">
        <f aca="false">'Raw Data'!P61</f>
        <v>96.16</v>
      </c>
      <c r="Q61" s="25" t="n">
        <f aca="false">'Raw Data'!Q61</f>
        <v>95.52</v>
      </c>
      <c r="R61" s="25" t="n">
        <f aca="false">'Raw Data'!R61</f>
        <v>96.36</v>
      </c>
      <c r="S61" s="25" t="n">
        <f aca="false">'Raw Data'!S61</f>
        <v>96.05</v>
      </c>
      <c r="T61" s="20" t="n">
        <f aca="false">IFERROR(S61/R61-1,"")</f>
        <v>-0.003217102532171</v>
      </c>
      <c r="U61" s="20" t="n">
        <f aca="false">IFERROR(S61/F61-1,"")</f>
        <v>0.107715373082689</v>
      </c>
    </row>
    <row r="62" customFormat="false" ht="15" hidden="false" customHeight="false" outlineLevel="0" collapsed="false">
      <c r="A62" s="24" t="str">
        <f aca="false">'Raw Data'!A62</f>
        <v>GBP / INR (selling)</v>
      </c>
      <c r="B62" s="11" t="s">
        <v>191</v>
      </c>
      <c r="C62" s="11" t="s">
        <v>50</v>
      </c>
      <c r="D62" s="11" t="s">
        <v>214</v>
      </c>
      <c r="E62" s="11" t="n">
        <v>50</v>
      </c>
      <c r="F62" s="25" t="n">
        <f aca="false">'Raw Data'!F62</f>
        <v>117.97</v>
      </c>
      <c r="G62" s="25" t="n">
        <f aca="false">'Raw Data'!G62</f>
        <v>119.21</v>
      </c>
      <c r="H62" s="25" t="n">
        <f aca="false">'Raw Data'!H62</f>
        <v>120.76</v>
      </c>
      <c r="I62" s="25" t="n">
        <f aca="false">'Raw Data'!I62</f>
        <v>119.78</v>
      </c>
      <c r="J62" s="25" t="n">
        <f aca="false">'Raw Data'!J62</f>
        <v>118.36</v>
      </c>
      <c r="K62" s="25" t="n">
        <f aca="false">'Raw Data'!K62</f>
        <v>122.04</v>
      </c>
      <c r="L62" s="25" t="n">
        <f aca="false">'Raw Data'!L62</f>
        <v>124.29</v>
      </c>
      <c r="M62" s="25" t="n">
        <f aca="false">'Raw Data'!M62</f>
        <v>124.91</v>
      </c>
      <c r="N62" s="25" t="n">
        <f aca="false">'Raw Data'!N62</f>
        <v>125.4</v>
      </c>
      <c r="O62" s="25" t="n">
        <f aca="false">'Raw Data'!O62</f>
        <v>127.34</v>
      </c>
      <c r="P62" s="25" t="n">
        <f aca="false">'Raw Data'!P62</f>
        <v>130.48</v>
      </c>
      <c r="Q62" s="25" t="n">
        <f aca="false">'Raw Data'!Q62</f>
        <v>128.3</v>
      </c>
      <c r="R62" s="25" t="n">
        <f aca="false">'Raw Data'!R62</f>
        <v>129.8</v>
      </c>
      <c r="S62" s="25" t="n">
        <f aca="false">'Raw Data'!S62</f>
        <v>130.83</v>
      </c>
      <c r="T62" s="20" t="n">
        <f aca="false">IFERROR(S62/R62-1,"")</f>
        <v>0.00793528505392915</v>
      </c>
      <c r="U62" s="20" t="n">
        <f aca="false">IFERROR(S62/F62-1,"")</f>
        <v>0.109010765448843</v>
      </c>
    </row>
    <row r="63" customFormat="false" ht="15" hidden="false" customHeight="false" outlineLevel="0" collapsed="false">
      <c r="A63" s="24" t="str">
        <f aca="false">'Raw Data'!A63</f>
        <v>EUR / INR (selling)</v>
      </c>
      <c r="B63" s="11" t="s">
        <v>191</v>
      </c>
      <c r="C63" s="11" t="s">
        <v>50</v>
      </c>
      <c r="D63" s="11" t="s">
        <v>214</v>
      </c>
      <c r="E63" s="11" t="n">
        <v>51</v>
      </c>
      <c r="F63" s="25" t="n">
        <f aca="false">'Raw Data'!F63</f>
        <v>102.16</v>
      </c>
      <c r="G63" s="25" t="n">
        <f aca="false">'Raw Data'!G63</f>
        <v>103.37</v>
      </c>
      <c r="H63" s="25" t="n">
        <f aca="false">'Raw Data'!H63</f>
        <v>105.15</v>
      </c>
      <c r="I63" s="25" t="n">
        <f aca="false">'Raw Data'!I63</f>
        <v>104.48</v>
      </c>
      <c r="J63" s="25" t="n">
        <f aca="false">'Raw Data'!J63</f>
        <v>104.24</v>
      </c>
      <c r="K63" s="25" t="n">
        <f aca="false">'Raw Data'!K63</f>
        <v>106.89</v>
      </c>
      <c r="L63" s="25" t="n">
        <f aca="false">'Raw Data'!L63</f>
        <v>108.03</v>
      </c>
      <c r="M63" s="25" t="n">
        <f aca="false">'Raw Data'!M63</f>
        <v>108.84</v>
      </c>
      <c r="N63" s="25" t="n">
        <f aca="false">'Raw Data'!N63</f>
        <v>108.74</v>
      </c>
      <c r="O63" s="25" t="n">
        <f aca="false">'Raw Data'!O63</f>
        <v>110.86</v>
      </c>
      <c r="P63" s="25" t="n">
        <f aca="false">'Raw Data'!P63</f>
        <v>113.12</v>
      </c>
      <c r="Q63" s="25" t="n">
        <f aca="false">'Raw Data'!Q63</f>
        <v>111</v>
      </c>
      <c r="R63" s="25" t="n">
        <f aca="false">'Raw Data'!R63</f>
        <v>110.96</v>
      </c>
      <c r="S63" s="25" t="n">
        <f aca="false">'Raw Data'!S63</f>
        <v>112.12</v>
      </c>
      <c r="T63" s="20" t="n">
        <f aca="false">IFERROR(S63/R63-1,"")</f>
        <v>0.0104542177361213</v>
      </c>
      <c r="U63" s="20" t="n">
        <f aca="false">IFERROR(S63/F63-1,"")</f>
        <v>0.0974941268598277</v>
      </c>
    </row>
    <row r="64" customFormat="false" ht="15" hidden="false" customHeight="false" outlineLevel="0" collapsed="false">
      <c r="A64" s="24" t="str">
        <f aca="false">'Raw Data'!A64</f>
        <v>JPY 100 / INR (selling)</v>
      </c>
      <c r="B64" s="11" t="s">
        <v>191</v>
      </c>
      <c r="C64" s="11" t="s">
        <v>50</v>
      </c>
      <c r="D64" s="11" t="s">
        <v>214</v>
      </c>
      <c r="E64" s="11" t="n">
        <v>52</v>
      </c>
      <c r="F64" s="25" t="n">
        <f aca="false">'Raw Data'!F64</f>
        <v>59.47</v>
      </c>
      <c r="G64" s="25" t="n">
        <f aca="false">'Raw Data'!G64</f>
        <v>60.12</v>
      </c>
      <c r="H64" s="25" t="n">
        <f aca="false">'Raw Data'!H64</f>
        <v>60.47</v>
      </c>
      <c r="I64" s="25" t="n">
        <f aca="false">'Raw Data'!I64</f>
        <v>59.22</v>
      </c>
      <c r="J64" s="25" t="n">
        <f aca="false">'Raw Data'!J64</f>
        <v>58.02</v>
      </c>
      <c r="K64" s="25" t="n">
        <f aca="false">'Raw Data'!K64</f>
        <v>58.5</v>
      </c>
      <c r="L64" s="25" t="n">
        <f aca="false">'Raw Data'!L64</f>
        <v>58.64</v>
      </c>
      <c r="M64" s="25" t="n">
        <f aca="false">'Raw Data'!M64</f>
        <v>59.3</v>
      </c>
      <c r="N64" s="25" t="n">
        <f aca="false">'Raw Data'!N64</f>
        <v>59.11</v>
      </c>
      <c r="O64" s="25" t="n">
        <f aca="false">'Raw Data'!O64</f>
        <v>59.46</v>
      </c>
      <c r="P64" s="25" t="n">
        <f aca="false">'Raw Data'!P64</f>
        <v>61.14</v>
      </c>
      <c r="Q64" s="25" t="n">
        <f aca="false">'Raw Data'!Q64</f>
        <v>59.85</v>
      </c>
      <c r="R64" s="25" t="n">
        <f aca="false">'Raw Data'!R64</f>
        <v>59.69</v>
      </c>
      <c r="S64" s="25" t="n">
        <f aca="false">'Raw Data'!S64</f>
        <v>60.88</v>
      </c>
      <c r="T64" s="20" t="n">
        <f aca="false">IFERROR(S64/R64-1,"")</f>
        <v>0.0199363377450159</v>
      </c>
      <c r="U64" s="20" t="n">
        <f aca="false">IFERROR(S64/F64-1,"")</f>
        <v>0.0237094333277283</v>
      </c>
    </row>
    <row r="65" customFormat="false" ht="15" hidden="false" customHeight="false" outlineLevel="0" collapsed="false">
      <c r="A65" s="24" t="str">
        <f aca="false">'Raw Data'!A65</f>
        <v>CNY / INR</v>
      </c>
      <c r="B65" s="11" t="s">
        <v>191</v>
      </c>
      <c r="C65" s="11" t="s">
        <v>50</v>
      </c>
      <c r="D65" s="11" t="s">
        <v>214</v>
      </c>
      <c r="E65" s="11" t="n">
        <v>53</v>
      </c>
      <c r="F65" s="25" t="n">
        <f aca="false">'Raw Data'!F65</f>
        <v>12.02</v>
      </c>
      <c r="G65" s="25" t="n">
        <f aca="false">'Raw Data'!G65</f>
        <v>12.23</v>
      </c>
      <c r="H65" s="25" t="n">
        <f aca="false">'Raw Data'!H65</f>
        <v>12.41</v>
      </c>
      <c r="I65" s="25" t="n">
        <f aca="false">'Raw Data'!I65</f>
        <v>12.41</v>
      </c>
      <c r="J65" s="25" t="n">
        <f aca="false">'Raw Data'!J65</f>
        <v>12.75</v>
      </c>
      <c r="K65" s="25" t="n">
        <f aca="false">'Raw Data'!K65</f>
        <v>12.86</v>
      </c>
      <c r="L65" s="25" t="n">
        <f aca="false">'Raw Data'!L65</f>
        <v>13.24</v>
      </c>
      <c r="M65" s="25" t="n">
        <f aca="false">'Raw Data'!M65</f>
        <v>13.15</v>
      </c>
      <c r="N65" s="25" t="n">
        <f aca="false">'Raw Data'!N65</f>
        <v>13.5</v>
      </c>
      <c r="O65" s="25" t="n">
        <f aca="false">'Raw Data'!O65</f>
        <v>13.72</v>
      </c>
      <c r="P65" s="25" t="n">
        <f aca="false">'Raw Data'!P65</f>
        <v>14.09</v>
      </c>
      <c r="Q65" s="25" t="n">
        <f aca="false">'Raw Data'!Q65</f>
        <v>14.04</v>
      </c>
      <c r="R65" s="25" t="n">
        <f aca="false">'Raw Data'!R65</f>
        <v>14.17</v>
      </c>
      <c r="S65" s="25" t="n">
        <f aca="false">'Raw Data'!S65</f>
        <v>14.17</v>
      </c>
      <c r="T65" s="20" t="n">
        <f aca="false">IFERROR(S65/R65-1,"")</f>
        <v>0</v>
      </c>
      <c r="U65" s="20" t="n">
        <f aca="false">IFERROR(S65/F65-1,"")</f>
        <v>0.178868552412646</v>
      </c>
    </row>
    <row r="66" customFormat="false" ht="15" hidden="false" customHeight="false" outlineLevel="0" collapsed="false">
      <c r="A66" s="17" t="s">
        <v>196</v>
      </c>
      <c r="B66" s="18"/>
      <c r="C66" s="18"/>
      <c r="D66" s="18"/>
      <c r="E66" s="18"/>
      <c r="F66" s="18"/>
      <c r="G66" s="18"/>
      <c r="H66" s="18"/>
      <c r="I66" s="18"/>
      <c r="J66" s="18"/>
      <c r="K66" s="18"/>
      <c r="L66" s="18"/>
      <c r="M66" s="18"/>
      <c r="N66" s="18"/>
      <c r="O66" s="18"/>
      <c r="P66" s="18"/>
      <c r="Q66" s="18"/>
      <c r="R66" s="18"/>
      <c r="S66" s="18"/>
      <c r="T66" s="18"/>
      <c r="U66" s="18"/>
      <c r="V66" s="18"/>
    </row>
    <row r="67" customFormat="false" ht="15" hidden="false" customHeight="false" outlineLevel="0" collapsed="false">
      <c r="A67" s="24" t="str">
        <f aca="false">'Raw Data'!A67</f>
        <v>Cash Reserve Ratio (%)</v>
      </c>
      <c r="B67" s="11" t="s">
        <v>198</v>
      </c>
      <c r="C67" s="11" t="s">
        <v>199</v>
      </c>
      <c r="D67" s="11" t="s">
        <v>217</v>
      </c>
      <c r="E67" s="11" t="n">
        <v>55</v>
      </c>
      <c r="F67" s="25" t="n">
        <f aca="false">'Raw Data'!F67</f>
        <v>4</v>
      </c>
      <c r="G67" s="25" t="n">
        <f aca="false">'Raw Data'!G67</f>
        <v>4</v>
      </c>
      <c r="H67" s="25" t="n">
        <f aca="false">'Raw Data'!H67</f>
        <v>3.5</v>
      </c>
      <c r="I67" s="25" t="n">
        <f aca="false">'Raw Data'!I67</f>
        <v>3.25</v>
      </c>
      <c r="J67" s="25" t="n">
        <f aca="false">'Raw Data'!J67</f>
        <v>3</v>
      </c>
      <c r="K67" s="25" t="n">
        <f aca="false">'Raw Data'!K67</f>
        <v>3</v>
      </c>
      <c r="L67" s="25" t="n">
        <f aca="false">'Raw Data'!L67</f>
        <v>3</v>
      </c>
      <c r="M67" s="25" t="n">
        <f aca="false">'Raw Data'!M67</f>
        <v>3</v>
      </c>
      <c r="N67" s="25" t="n">
        <f aca="false">'Raw Data'!N67</f>
        <v>3</v>
      </c>
      <c r="O67" s="25" t="n">
        <f aca="false">'Raw Data'!O67</f>
        <v>3</v>
      </c>
      <c r="P67" s="25" t="n">
        <f aca="false">'Raw Data'!P67</f>
        <v>3</v>
      </c>
      <c r="Q67" s="25" t="n">
        <f aca="false">'Raw Data'!Q67</f>
        <v>3</v>
      </c>
      <c r="R67" s="25" t="n">
        <f aca="false">'Raw Data'!R67</f>
        <v>3</v>
      </c>
      <c r="S67" s="25" t="n">
        <f aca="false">'Raw Data'!S67</f>
        <v>3</v>
      </c>
      <c r="T67" s="20" t="n">
        <f aca="false">IFERROR(S67/R67-1,"")</f>
        <v>0</v>
      </c>
      <c r="U67" s="20" t="n">
        <f aca="false">IFERROR(S67/F67-1,"")</f>
        <v>-0.25</v>
      </c>
    </row>
    <row r="68" customFormat="false" ht="15" hidden="false" customHeight="false" outlineLevel="0" collapsed="false">
      <c r="A68" s="24" t="str">
        <f aca="false">'Raw Data'!A68</f>
        <v>Bank Rate (% p.a.)</v>
      </c>
      <c r="B68" s="11" t="s">
        <v>198</v>
      </c>
      <c r="C68" s="11" t="s">
        <v>199</v>
      </c>
      <c r="D68" s="11" t="s">
        <v>217</v>
      </c>
      <c r="E68" s="11" t="n">
        <v>55</v>
      </c>
      <c r="F68" s="25" t="n">
        <f aca="false">'Raw Data'!F68</f>
        <v>5.75</v>
      </c>
      <c r="G68" s="25" t="n">
        <f aca="false">'Raw Data'!G68</f>
        <v>5.75</v>
      </c>
      <c r="H68" s="25" t="n">
        <f aca="false">'Raw Data'!H68</f>
        <v>5.75</v>
      </c>
      <c r="I68" s="25" t="n">
        <f aca="false">'Raw Data'!I68</f>
        <v>5.75</v>
      </c>
      <c r="J68" s="25" t="n">
        <f aca="false">'Raw Data'!J68</f>
        <v>5.5</v>
      </c>
      <c r="K68" s="25" t="n">
        <f aca="false">'Raw Data'!K68</f>
        <v>5.5</v>
      </c>
      <c r="L68" s="25" t="n">
        <f aca="false">'Raw Data'!L68</f>
        <v>5.5</v>
      </c>
      <c r="M68" s="25" t="n">
        <f aca="false">'Raw Data'!M68</f>
        <v>5.5</v>
      </c>
      <c r="N68" s="25" t="n">
        <f aca="false">'Raw Data'!N68</f>
        <v>5.5</v>
      </c>
      <c r="O68" s="25" t="n">
        <f aca="false">'Raw Data'!O68</f>
        <v>5.5</v>
      </c>
      <c r="P68" s="25" t="n">
        <f aca="false">'Raw Data'!P68</f>
        <v>5.5</v>
      </c>
      <c r="Q68" s="25" t="n">
        <f aca="false">'Raw Data'!Q68</f>
        <v>5.5</v>
      </c>
      <c r="R68" s="25" t="n">
        <f aca="false">'Raw Data'!R68</f>
        <v>5.5</v>
      </c>
      <c r="S68" s="25" t="n">
        <f aca="false">'Raw Data'!S68</f>
        <v>5.5</v>
      </c>
      <c r="T68" s="20" t="n">
        <f aca="false">IFERROR(S68/R68-1,"")</f>
        <v>0</v>
      </c>
      <c r="U68" s="20" t="n">
        <f aca="false">IFERROR(S68/F68-1,"")</f>
        <v>-0.0434782608695652</v>
      </c>
    </row>
    <row r="69" customFormat="false" ht="15" hidden="false" customHeight="false" outlineLevel="0" collapsed="false">
      <c r="A69" s="24" t="str">
        <f aca="false">'Raw Data'!A69</f>
        <v>Base Rate - low (% p.a.)</v>
      </c>
      <c r="B69" s="11" t="s">
        <v>198</v>
      </c>
      <c r="C69" s="11" t="s">
        <v>199</v>
      </c>
      <c r="D69" s="11" t="s">
        <v>217</v>
      </c>
      <c r="E69" s="11" t="n">
        <v>55</v>
      </c>
      <c r="F69" s="25" t="n">
        <f aca="false">'Raw Data'!F69</f>
        <v>8.5</v>
      </c>
      <c r="G69" s="25" t="n">
        <f aca="false">'Raw Data'!G69</f>
        <v>8.5</v>
      </c>
      <c r="H69" s="25" t="n">
        <f aca="false">'Raw Data'!H69</f>
        <v>8.5</v>
      </c>
      <c r="I69" s="25" t="n">
        <f aca="false">'Raw Data'!I69</f>
        <v>8.35</v>
      </c>
      <c r="J69" s="25" t="n">
        <f aca="false">'Raw Data'!J69</f>
        <v>8.35</v>
      </c>
      <c r="K69" s="25" t="n">
        <f aca="false">'Raw Data'!K69</f>
        <v>8.35</v>
      </c>
      <c r="L69" s="25" t="n">
        <f aca="false">'Raw Data'!L69</f>
        <v>8.35</v>
      </c>
      <c r="M69" s="25" t="n">
        <f aca="false">'Raw Data'!M69</f>
        <v>8.35</v>
      </c>
      <c r="N69" s="25" t="n">
        <f aca="false">'Raw Data'!N69</f>
        <v>8.35</v>
      </c>
      <c r="O69" s="25" t="n">
        <f aca="false">'Raw Data'!O69</f>
        <v>8.35</v>
      </c>
      <c r="P69" s="25" t="n">
        <f aca="false">'Raw Data'!P69</f>
        <v>8.35</v>
      </c>
      <c r="Q69" s="25" t="n">
        <f aca="false">'Raw Data'!Q69</f>
        <v>8.35</v>
      </c>
      <c r="R69" s="25" t="n">
        <f aca="false">'Raw Data'!R69</f>
        <v>8.4</v>
      </c>
      <c r="S69" s="25" t="n">
        <f aca="false">'Raw Data'!S69</f>
        <v>8.4</v>
      </c>
      <c r="T69" s="20" t="n">
        <f aca="false">IFERROR(S69/R69-1,"")</f>
        <v>0</v>
      </c>
      <c r="U69" s="20" t="n">
        <f aca="false">IFERROR(S69/F69-1,"")</f>
        <v>-0.0117647058823529</v>
      </c>
    </row>
    <row r="70" customFormat="false" ht="15" hidden="false" customHeight="false" outlineLevel="0" collapsed="false">
      <c r="A70" s="24" t="str">
        <f aca="false">'Raw Data'!A70</f>
        <v>Base Rate - high (% p.a.)</v>
      </c>
      <c r="B70" s="11" t="s">
        <v>198</v>
      </c>
      <c r="C70" s="11" t="s">
        <v>199</v>
      </c>
      <c r="D70" s="11" t="s">
        <v>217</v>
      </c>
      <c r="E70" s="11" t="n">
        <v>55</v>
      </c>
      <c r="F70" s="25" t="n">
        <f aca="false">'Raw Data'!F70</f>
        <v>10.3</v>
      </c>
      <c r="G70" s="25" t="n">
        <f aca="false">'Raw Data'!G70</f>
        <v>10.3</v>
      </c>
      <c r="H70" s="25" t="n">
        <f aca="false">'Raw Data'!H70</f>
        <v>10.3</v>
      </c>
      <c r="I70" s="25" t="n">
        <f aca="false">'Raw Data'!I70</f>
        <v>10</v>
      </c>
      <c r="J70" s="25" t="n">
        <f aca="false">'Raw Data'!J70</f>
        <v>10</v>
      </c>
      <c r="K70" s="25" t="n">
        <f aca="false">'Raw Data'!K70</f>
        <v>10</v>
      </c>
      <c r="L70" s="25" t="n">
        <f aca="false">'Raw Data'!L70</f>
        <v>10</v>
      </c>
      <c r="M70" s="25" t="n">
        <f aca="false">'Raw Data'!M70</f>
        <v>10</v>
      </c>
      <c r="N70" s="25" t="n">
        <f aca="false">'Raw Data'!N70</f>
        <v>10</v>
      </c>
      <c r="O70" s="25" t="n">
        <f aca="false">'Raw Data'!O70</f>
        <v>9.9</v>
      </c>
      <c r="P70" s="25" t="n">
        <f aca="false">'Raw Data'!P70</f>
        <v>9.9</v>
      </c>
      <c r="Q70" s="25" t="n">
        <f aca="false">'Raw Data'!Q70</f>
        <v>9.9</v>
      </c>
      <c r="R70" s="25" t="n">
        <f aca="false">'Raw Data'!R70</f>
        <v>10</v>
      </c>
      <c r="S70" s="25" t="n">
        <f aca="false">'Raw Data'!S70</f>
        <v>10</v>
      </c>
      <c r="T70" s="20" t="n">
        <f aca="false">IFERROR(S70/R70-1,"")</f>
        <v>0</v>
      </c>
      <c r="U70" s="20" t="n">
        <f aca="false">IFERROR(S70/F70-1,"")</f>
        <v>-0.0291262135922331</v>
      </c>
    </row>
    <row r="72" customFormat="false" ht="15" hidden="false" customHeight="false" outlineLevel="0" collapsed="false">
      <c r="A72" s="9" t="s">
        <v>218</v>
      </c>
    </row>
  </sheetData>
  <mergeCells count="1">
    <mergeCell ref="A1:U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5" topLeftCell="F6" activePane="bottomRight" state="frozen"/>
      <selection pane="topLeft" activeCell="A1" activeCellId="0" sqref="A1"/>
      <selection pane="topRight" activeCell="F1" activeCellId="0" sqref="F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2"/>
    <col collapsed="false" customWidth="true" hidden="false" outlineLevel="0" max="3" min="3" style="0" width="14"/>
    <col collapsed="false" customWidth="true" hidden="false" outlineLevel="0" max="4" min="4" style="0" width="18"/>
    <col collapsed="false" customWidth="true" hidden="false" outlineLevel="0" max="5" min="5" style="0" width="8"/>
    <col collapsed="false" customWidth="true" hidden="false" outlineLevel="0" max="19" min="6" style="0" width="10.51"/>
    <col collapsed="false" customWidth="true" hidden="false" outlineLevel="0" max="21" min="20" style="0" width="9"/>
    <col collapsed="false" customWidth="true" hidden="false" outlineLevel="0" max="22" min="22" style="0" width="46"/>
  </cols>
  <sheetData>
    <row r="1" customFormat="false" ht="24" hidden="false" customHeight="true" outlineLevel="0" collapsed="false">
      <c r="A1" s="1" t="s">
        <v>219</v>
      </c>
      <c r="B1" s="1"/>
      <c r="C1" s="1"/>
      <c r="D1" s="1"/>
      <c r="E1" s="1"/>
      <c r="F1" s="1"/>
      <c r="G1" s="1"/>
      <c r="H1" s="1"/>
      <c r="I1" s="1"/>
      <c r="J1" s="1"/>
      <c r="K1" s="1"/>
      <c r="L1" s="1"/>
      <c r="M1" s="1"/>
      <c r="N1" s="1"/>
      <c r="O1" s="1"/>
      <c r="P1" s="1"/>
      <c r="Q1" s="1"/>
      <c r="R1" s="1"/>
      <c r="S1" s="1"/>
      <c r="T1" s="1"/>
      <c r="U1" s="1"/>
    </row>
    <row r="2" customFormat="false" ht="15" hidden="false" customHeight="false" outlineLevel="0" collapsed="false">
      <c r="A2" s="2" t="s">
        <v>220</v>
      </c>
    </row>
    <row r="5" customFormat="false" ht="25.5" hidden="false" customHeight="true" outlineLevel="0" collapsed="false">
      <c r="A5" s="15" t="s">
        <v>89</v>
      </c>
      <c r="B5" s="16" t="s">
        <v>90</v>
      </c>
      <c r="C5" s="16" t="s">
        <v>221</v>
      </c>
      <c r="D5" s="16" t="s">
        <v>222</v>
      </c>
      <c r="E5" s="16" t="s">
        <v>223</v>
      </c>
      <c r="F5" s="16" t="s">
        <v>53</v>
      </c>
      <c r="G5" s="16" t="s">
        <v>94</v>
      </c>
      <c r="H5" s="16" t="s">
        <v>95</v>
      </c>
      <c r="I5" s="16" t="s">
        <v>96</v>
      </c>
      <c r="J5" s="16" t="s">
        <v>97</v>
      </c>
      <c r="K5" s="16" t="s">
        <v>98</v>
      </c>
      <c r="L5" s="16" t="s">
        <v>99</v>
      </c>
      <c r="M5" s="16" t="s">
        <v>100</v>
      </c>
      <c r="N5" s="16" t="s">
        <v>101</v>
      </c>
      <c r="O5" s="16" t="s">
        <v>102</v>
      </c>
      <c r="P5" s="16" t="s">
        <v>103</v>
      </c>
      <c r="Q5" s="16" t="s">
        <v>104</v>
      </c>
      <c r="R5" s="16" t="s">
        <v>105</v>
      </c>
      <c r="S5" s="16" t="s">
        <v>59</v>
      </c>
      <c r="T5" s="16" t="s">
        <v>106</v>
      </c>
      <c r="U5" s="16" t="s">
        <v>107</v>
      </c>
      <c r="V5" s="15" t="s">
        <v>108</v>
      </c>
    </row>
    <row r="6" customFormat="false" ht="15" hidden="false" customHeight="false" outlineLevel="0" collapsed="false">
      <c r="A6" s="17" t="s">
        <v>109</v>
      </c>
      <c r="B6" s="18"/>
      <c r="C6" s="18"/>
      <c r="D6" s="18"/>
      <c r="E6" s="18"/>
      <c r="F6" s="18"/>
      <c r="G6" s="18"/>
      <c r="H6" s="18"/>
      <c r="I6" s="18"/>
      <c r="J6" s="18"/>
      <c r="K6" s="18"/>
      <c r="L6" s="18"/>
      <c r="M6" s="18"/>
      <c r="N6" s="18"/>
      <c r="O6" s="18"/>
      <c r="P6" s="18"/>
      <c r="Q6" s="18"/>
      <c r="R6" s="18"/>
      <c r="S6" s="18"/>
      <c r="T6" s="18"/>
      <c r="U6" s="18"/>
      <c r="V6" s="18"/>
    </row>
    <row r="7" customFormat="false" ht="15" hidden="false" customHeight="false" outlineLevel="0" collapsed="false">
      <c r="A7" s="24" t="str">
        <f aca="false">'Raw Data'!A7</f>
        <v>HR Steel (HRC 1.8mm, IS2062)</v>
      </c>
      <c r="B7" s="11" t="s">
        <v>111</v>
      </c>
      <c r="C7" s="24" t="str">
        <f aca="false">Assumptions!$C$5</f>
        <v>INR</v>
      </c>
      <c r="D7" s="24" t="str">
        <f aca="false">Assumptions!$C$6</f>
        <v>Jul-25</v>
      </c>
      <c r="E7" s="11" t="n">
        <v>100</v>
      </c>
      <c r="F7" s="27" t="n">
        <f aca="false">IF(Assumptions!$C$5="INR",'INR Normalised'!F7,'Raw Data'!F7)/IF(Assumptions!$C$5="INR",INDEX('INR Normalised'!$F7:$S7,Assumptions!$C$7),INDEX('Raw Data'!$F7:$S7,Assumptions!$C$7))*100</f>
        <v>100</v>
      </c>
      <c r="G7" s="27" t="n">
        <f aca="false">IF(Assumptions!$C$5="INR",'INR Normalised'!G7,'Raw Data'!G7)/IF(Assumptions!$C$5="INR",INDEX('INR Normalised'!$F7:$S7,Assumptions!$C$7),INDEX('Raw Data'!$F7:$S7,Assumptions!$C$7))*100</f>
        <v>100.956820412169</v>
      </c>
      <c r="H7" s="27" t="n">
        <f aca="false">IF(Assumptions!$C$5="INR",'INR Normalised'!H7,'Raw Data'!H7)/IF(Assumptions!$C$5="INR",INDEX('INR Normalised'!$F7:$S7,Assumptions!$C$7),INDEX('Raw Data'!$F7:$S7,Assumptions!$C$7))*100</f>
        <v>99.730127576055</v>
      </c>
      <c r="I7" s="27" t="n">
        <f aca="false">IF(Assumptions!$C$5="INR",'INR Normalised'!I7,'Raw Data'!I7)/IF(Assumptions!$C$5="INR",INDEX('INR Normalised'!$F7:$S7,Assumptions!$C$7),INDEX('Raw Data'!$F7:$S7,Assumptions!$C$7))*100</f>
        <v>97.7674190382728</v>
      </c>
      <c r="J7" s="27" t="n">
        <f aca="false">IF(Assumptions!$C$5="INR",'INR Normalised'!J7,'Raw Data'!J7)/IF(Assumptions!$C$5="INR",INDEX('INR Normalised'!$F7:$S7,Assumptions!$C$7),INDEX('Raw Data'!$F7:$S7,Assumptions!$C$7))*100</f>
        <v>94.5780176643768</v>
      </c>
      <c r="K7" s="27" t="n">
        <f aca="false">IF(Assumptions!$C$5="INR",'INR Normalised'!K7,'Raw Data'!K7)/IF(Assumptions!$C$5="INR",INDEX('INR Normalised'!$F7:$S7,Assumptions!$C$7),INDEX('Raw Data'!$F7:$S7,Assumptions!$C$7))*100</f>
        <v>96.3297350343474</v>
      </c>
      <c r="L7" s="27" t="n">
        <f aca="false">IF(Assumptions!$C$5="INR",'INR Normalised'!L7,'Raw Data'!L7)/IF(Assumptions!$C$5="INR",INDEX('INR Normalised'!$F7:$S7,Assumptions!$C$7),INDEX('Raw Data'!$F7:$S7,Assumptions!$C$7))*100</f>
        <v>105.225711481845</v>
      </c>
      <c r="M7" s="27" t="n">
        <f aca="false">IF(Assumptions!$C$5="INR",'INR Normalised'!M7,'Raw Data'!M7)/IF(Assumptions!$C$5="INR",INDEX('INR Normalised'!$F7:$S7,Assumptions!$C$7),INDEX('Raw Data'!$F7:$S7,Assumptions!$C$7))*100</f>
        <v>108.366045142296</v>
      </c>
      <c r="N7" s="27" t="n">
        <f aca="false">IF(Assumptions!$C$5="INR",'INR Normalised'!N7,'Raw Data'!N7)/IF(Assumptions!$C$5="INR",INDEX('INR Normalised'!$F7:$S7,Assumptions!$C$7),INDEX('Raw Data'!$F7:$S7,Assumptions!$C$7))*100</f>
        <v>113.101079489696</v>
      </c>
      <c r="O7" s="27" t="n">
        <f aca="false">IF(Assumptions!$C$5="INR",'INR Normalised'!O7,'Raw Data'!O7)/IF(Assumptions!$C$5="INR",INDEX('INR Normalised'!$F7:$S7,Assumptions!$C$7),INDEX('Raw Data'!$F7:$S7,Assumptions!$C$7))*100</f>
        <v>118.842001962709</v>
      </c>
      <c r="P7" s="27" t="n">
        <f aca="false">IF(Assumptions!$C$5="INR",'INR Normalised'!P7,'Raw Data'!P7)/IF(Assumptions!$C$5="INR",INDEX('INR Normalised'!$F7:$S7,Assumptions!$C$7),INDEX('Raw Data'!$F7:$S7,Assumptions!$C$7))*100</f>
        <v>117.271835132483</v>
      </c>
      <c r="Q7" s="27" t="n">
        <f aca="false">IF(Assumptions!$C$5="INR",'INR Normalised'!Q7,'Raw Data'!Q7)/IF(Assumptions!$C$5="INR",INDEX('INR Normalised'!$F7:$S7,Assumptions!$C$7),INDEX('Raw Data'!$F7:$S7,Assumptions!$C$7))*100</f>
        <v>120.461236506379</v>
      </c>
      <c r="R7" s="27" t="n">
        <f aca="false">IF(Assumptions!$C$5="INR",'INR Normalised'!R7,'Raw Data'!R7)/IF(Assumptions!$C$5="INR",INDEX('INR Normalised'!$F7:$S7,Assumptions!$C$7),INDEX('Raw Data'!$F7:$S7,Assumptions!$C$7))*100</f>
        <v>119.509322865554</v>
      </c>
      <c r="S7" s="27" t="n">
        <f aca="false">IF(Assumptions!$C$5="INR",'INR Normalised'!S7,'Raw Data'!S7)/IF(Assumptions!$C$5="INR",INDEX('INR Normalised'!$F7:$S7,Assumptions!$C$7),INDEX('Raw Data'!$F7:$S7,Assumptions!$C$7))*100</f>
        <v>120.792934249264</v>
      </c>
      <c r="T7" s="20" t="n">
        <f aca="false">IFERROR(S7/R7-1,"")</f>
        <v>0.0107406799145999</v>
      </c>
      <c r="U7" s="20" t="n">
        <f aca="false">IFERROR(S7/F7-1,"")</f>
        <v>0.20792934249264</v>
      </c>
    </row>
    <row r="8" customFormat="false" ht="15" hidden="false" customHeight="false" outlineLevel="0" collapsed="false">
      <c r="A8" s="24" t="str">
        <f aca="false">'Raw Data'!A8</f>
        <v>CR Steel (CRC 0.90mm, IS513 GrO)</v>
      </c>
      <c r="B8" s="11" t="s">
        <v>111</v>
      </c>
      <c r="C8" s="24" t="str">
        <f aca="false">Assumptions!$C$5</f>
        <v>INR</v>
      </c>
      <c r="D8" s="24" t="str">
        <f aca="false">Assumptions!$C$6</f>
        <v>Jul-25</v>
      </c>
      <c r="E8" s="11" t="n">
        <v>100</v>
      </c>
      <c r="F8" s="27" t="n">
        <f aca="false">IF(Assumptions!$C$5="INR",'INR Normalised'!F8,'Raw Data'!F8)/IF(Assumptions!$C$5="INR",INDEX('INR Normalised'!$F8:$S8,Assumptions!$C$7),INDEX('Raw Data'!$F8:$S8,Assumptions!$C$7))*100</f>
        <v>100</v>
      </c>
      <c r="G8" s="27" t="n">
        <f aca="false">IF(Assumptions!$C$5="INR",'INR Normalised'!G8,'Raw Data'!G8)/IF(Assumptions!$C$5="INR",INDEX('INR Normalised'!$F8:$S8,Assumptions!$C$7),INDEX('Raw Data'!$F8:$S8,Assumptions!$C$7))*100</f>
        <v>100.974313551816</v>
      </c>
      <c r="H8" s="27" t="n">
        <f aca="false">IF(Assumptions!$C$5="INR",'INR Normalised'!H8,'Raw Data'!H8)/IF(Assumptions!$C$5="INR",INDEX('INR Normalised'!$F8:$S8,Assumptions!$C$7),INDEX('Raw Data'!$F8:$S8,Assumptions!$C$7))*100</f>
        <v>100.088573959256</v>
      </c>
      <c r="I8" s="27" t="n">
        <f aca="false">IF(Assumptions!$C$5="INR",'INR Normalised'!I8,'Raw Data'!I8)/IF(Assumptions!$C$5="INR",INDEX('INR Normalised'!$F8:$S8,Assumptions!$C$7),INDEX('Raw Data'!$F8:$S8,Assumptions!$C$7))*100</f>
        <v>98.3170947741364</v>
      </c>
      <c r="J8" s="27" t="n">
        <f aca="false">IF(Assumptions!$C$5="INR",'INR Normalised'!J8,'Raw Data'!J8)/IF(Assumptions!$C$5="INR",INDEX('INR Normalised'!$F8:$S8,Assumptions!$C$7),INDEX('Raw Data'!$F8:$S8,Assumptions!$C$7))*100</f>
        <v>97.3206377325066</v>
      </c>
      <c r="K8" s="27" t="n">
        <f aca="false">IF(Assumptions!$C$5="INR",'INR Normalised'!K8,'Raw Data'!K8)/IF(Assumptions!$C$5="INR",INDEX('INR Normalised'!$F8:$S8,Assumptions!$C$7),INDEX('Raw Data'!$F8:$S8,Assumptions!$C$7))*100</f>
        <v>97.2010628875111</v>
      </c>
      <c r="L8" s="27" t="n">
        <f aca="false">IF(Assumptions!$C$5="INR",'INR Normalised'!L8,'Raw Data'!L8)/IF(Assumptions!$C$5="INR",INDEX('INR Normalised'!$F8:$S8,Assumptions!$C$7),INDEX('Raw Data'!$F8:$S8,Assumptions!$C$7))*100</f>
        <v>102.480070859167</v>
      </c>
      <c r="M8" s="27" t="n">
        <f aca="false">IF(Assumptions!$C$5="INR",'INR Normalised'!M8,'Raw Data'!M8)/IF(Assumptions!$C$5="INR",INDEX('INR Normalised'!$F8:$S8,Assumptions!$C$7),INDEX('Raw Data'!$F8:$S8,Assumptions!$C$7))*100</f>
        <v>105.646589902569</v>
      </c>
      <c r="N8" s="27" t="n">
        <f aca="false">IF(Assumptions!$C$5="INR",'INR Normalised'!N8,'Raw Data'!N8)/IF(Assumptions!$C$5="INR",INDEX('INR Normalised'!$F8:$S8,Assumptions!$C$7),INDEX('Raw Data'!$F8:$S8,Assumptions!$C$7))*100</f>
        <v>110.938883968113</v>
      </c>
      <c r="O8" s="27" t="n">
        <f aca="false">IF(Assumptions!$C$5="INR",'INR Normalised'!O8,'Raw Data'!O8)/IF(Assumptions!$C$5="INR",INDEX('INR Normalised'!$F8:$S8,Assumptions!$C$7),INDEX('Raw Data'!$F8:$S8,Assumptions!$C$7))*100</f>
        <v>117.714791851196</v>
      </c>
      <c r="P8" s="27" t="n">
        <f aca="false">IF(Assumptions!$C$5="INR",'INR Normalised'!P8,'Raw Data'!P8)/IF(Assumptions!$C$5="INR",INDEX('INR Normalised'!$F8:$S8,Assumptions!$C$7),INDEX('Raw Data'!$F8:$S8,Assumptions!$C$7))*100</f>
        <v>116.474756421612</v>
      </c>
      <c r="Q8" s="27" t="n">
        <f aca="false">IF(Assumptions!$C$5="INR",'INR Normalised'!Q8,'Raw Data'!Q8)/IF(Assumptions!$C$5="INR",INDEX('INR Normalised'!$F8:$S8,Assumptions!$C$7),INDEX('Raw Data'!$F8:$S8,Assumptions!$C$7))*100</f>
        <v>116.474756421612</v>
      </c>
      <c r="R8" s="27" t="n">
        <f aca="false">IF(Assumptions!$C$5="INR",'INR Normalised'!R8,'Raw Data'!R8)/IF(Assumptions!$C$5="INR",INDEX('INR Normalised'!$F8:$S8,Assumptions!$C$7),INDEX('Raw Data'!$F8:$S8,Assumptions!$C$7))*100</f>
        <v>115.41186891054</v>
      </c>
      <c r="S8" s="27" t="n">
        <f aca="false">IF(Assumptions!$C$5="INR",'INR Normalised'!S8,'Raw Data'!S8)/IF(Assumptions!$C$5="INR",INDEX('INR Normalised'!$F8:$S8,Assumptions!$C$7),INDEX('Raw Data'!$F8:$S8,Assumptions!$C$7))*100</f>
        <v>116.253321523472</v>
      </c>
      <c r="T8" s="20" t="n">
        <f aca="false">IFERROR(S8/R8-1,"")</f>
        <v>0.00729086722947026</v>
      </c>
      <c r="U8" s="20" t="n">
        <f aca="false">IFERROR(S8/F8-1,"")</f>
        <v>0.162533215234721</v>
      </c>
    </row>
    <row r="9" customFormat="false" ht="15" hidden="false" customHeight="false" outlineLevel="0" collapsed="false">
      <c r="A9" s="24" t="str">
        <f aca="false">'Raw Data'!A9</f>
        <v>Alloy Steel - Forging (20MnCr5)</v>
      </c>
      <c r="B9" s="11" t="s">
        <v>111</v>
      </c>
      <c r="C9" s="24" t="str">
        <f aca="false">Assumptions!$C$5</f>
        <v>INR</v>
      </c>
      <c r="D9" s="24" t="str">
        <f aca="false">Assumptions!$C$6</f>
        <v>Jul-25</v>
      </c>
      <c r="E9" s="11" t="n">
        <v>100</v>
      </c>
      <c r="F9" s="27" t="n">
        <f aca="false">IF(Assumptions!$C$5="INR",'INR Normalised'!F9,'Raw Data'!F9)/IF(Assumptions!$C$5="INR",INDEX('INR Normalised'!$F9:$S9,Assumptions!$C$7),INDEX('Raw Data'!$F9:$S9,Assumptions!$C$7))*100</f>
        <v>100</v>
      </c>
      <c r="G9" s="27" t="n">
        <f aca="false">IF(Assumptions!$C$5="INR",'INR Normalised'!G9,'Raw Data'!G9)/IF(Assumptions!$C$5="INR",INDEX('INR Normalised'!$F9:$S9,Assumptions!$C$7),INDEX('Raw Data'!$F9:$S9,Assumptions!$C$7))*100</f>
        <v>100</v>
      </c>
      <c r="H9" s="27" t="n">
        <f aca="false">IF(Assumptions!$C$5="INR",'INR Normalised'!H9,'Raw Data'!H9)/IF(Assumptions!$C$5="INR",INDEX('INR Normalised'!$F9:$S9,Assumptions!$C$7),INDEX('Raw Data'!$F9:$S9,Assumptions!$C$7))*100</f>
        <v>98.7903225806452</v>
      </c>
      <c r="I9" s="27" t="n">
        <f aca="false">IF(Assumptions!$C$5="INR",'INR Normalised'!I9,'Raw Data'!I9)/IF(Assumptions!$C$5="INR",INDEX('INR Normalised'!$F9:$S9,Assumptions!$C$7),INDEX('Raw Data'!$F9:$S9,Assumptions!$C$7))*100</f>
        <v>98.3870967741936</v>
      </c>
      <c r="J9" s="27" t="n">
        <f aca="false">IF(Assumptions!$C$5="INR",'INR Normalised'!J9,'Raw Data'!J9)/IF(Assumptions!$C$5="INR",INDEX('INR Normalised'!$F9:$S9,Assumptions!$C$7),INDEX('Raw Data'!$F9:$S9,Assumptions!$C$7))*100</f>
        <v>97.1774193548387</v>
      </c>
      <c r="K9" s="27" t="n">
        <f aca="false">IF(Assumptions!$C$5="INR",'INR Normalised'!K9,'Raw Data'!K9)/IF(Assumptions!$C$5="INR",INDEX('INR Normalised'!$F9:$S9,Assumptions!$C$7),INDEX('Raw Data'!$F9:$S9,Assumptions!$C$7))*100</f>
        <v>96.7741935483871</v>
      </c>
      <c r="L9" s="27" t="n">
        <f aca="false">IF(Assumptions!$C$5="INR",'INR Normalised'!L9,'Raw Data'!L9)/IF(Assumptions!$C$5="INR",INDEX('INR Normalised'!$F9:$S9,Assumptions!$C$7),INDEX('Raw Data'!$F9:$S9,Assumptions!$C$7))*100</f>
        <v>98.0645161290323</v>
      </c>
      <c r="M9" s="27" t="n">
        <f aca="false">IF(Assumptions!$C$5="INR",'INR Normalised'!M9,'Raw Data'!M9)/IF(Assumptions!$C$5="INR",INDEX('INR Normalised'!$F9:$S9,Assumptions!$C$7),INDEX('Raw Data'!$F9:$S9,Assumptions!$C$7))*100</f>
        <v>100</v>
      </c>
      <c r="N9" s="27" t="n">
        <f aca="false">IF(Assumptions!$C$5="INR",'INR Normalised'!N9,'Raw Data'!N9)/IF(Assumptions!$C$5="INR",INDEX('INR Normalised'!$F9:$S9,Assumptions!$C$7),INDEX('Raw Data'!$F9:$S9,Assumptions!$C$7))*100</f>
        <v>100</v>
      </c>
      <c r="O9" s="27" t="n">
        <f aca="false">IF(Assumptions!$C$5="INR",'INR Normalised'!O9,'Raw Data'!O9)/IF(Assumptions!$C$5="INR",INDEX('INR Normalised'!$F9:$S9,Assumptions!$C$7),INDEX('Raw Data'!$F9:$S9,Assumptions!$C$7))*100</f>
        <v>108.677419354839</v>
      </c>
      <c r="P9" s="27" t="n">
        <f aca="false">IF(Assumptions!$C$5="INR",'INR Normalised'!P9,'Raw Data'!P9)/IF(Assumptions!$C$5="INR",INDEX('INR Normalised'!$F9:$S9,Assumptions!$C$7),INDEX('Raw Data'!$F9:$S9,Assumptions!$C$7))*100</f>
        <v>108.596774193548</v>
      </c>
      <c r="Q9" s="27" t="n">
        <f aca="false">IF(Assumptions!$C$5="INR",'INR Normalised'!Q9,'Raw Data'!Q9)/IF(Assumptions!$C$5="INR",INDEX('INR Normalised'!$F9:$S9,Assumptions!$C$7),INDEX('Raw Data'!$F9:$S9,Assumptions!$C$7))*100</f>
        <v>105.854838709677</v>
      </c>
      <c r="R9" s="27" t="n">
        <f aca="false">IF(Assumptions!$C$5="INR",'INR Normalised'!R9,'Raw Data'!R9)/IF(Assumptions!$C$5="INR",INDEX('INR Normalised'!$F9:$S9,Assumptions!$C$7),INDEX('Raw Data'!$F9:$S9,Assumptions!$C$7))*100</f>
        <v>100.532258064516</v>
      </c>
      <c r="S9" s="27" t="n">
        <f aca="false">IF(Assumptions!$C$5="INR",'INR Normalised'!S9,'Raw Data'!S9)/IF(Assumptions!$C$5="INR",INDEX('INR Normalised'!$F9:$S9,Assumptions!$C$7),INDEX('Raw Data'!$F9:$S9,Assumptions!$C$7))*100</f>
        <v>100.209677419355</v>
      </c>
      <c r="T9" s="20" t="n">
        <f aca="false">IFERROR(S9/R9-1,"")</f>
        <v>-0.00320872773945125</v>
      </c>
      <c r="U9" s="20" t="n">
        <f aca="false">IFERROR(S9/F9-1,"")</f>
        <v>0.00209677419354848</v>
      </c>
    </row>
    <row r="10" customFormat="false" ht="15" hidden="false" customHeight="false" outlineLevel="0" collapsed="false">
      <c r="A10" s="24" t="str">
        <f aca="false">'Raw Data'!A10</f>
        <v>Alloy Steel - Forging (EN-8)</v>
      </c>
      <c r="B10" s="11" t="s">
        <v>111</v>
      </c>
      <c r="C10" s="24" t="str">
        <f aca="false">Assumptions!$C$5</f>
        <v>INR</v>
      </c>
      <c r="D10" s="24" t="str">
        <f aca="false">Assumptions!$C$6</f>
        <v>Jul-25</v>
      </c>
      <c r="E10" s="11" t="n">
        <v>100</v>
      </c>
      <c r="F10" s="27" t="n">
        <f aca="false">IF(Assumptions!$C$5="INR",'INR Normalised'!F10,'Raw Data'!F10)/IF(Assumptions!$C$5="INR",INDEX('INR Normalised'!$F10:$S10,Assumptions!$C$7),INDEX('Raw Data'!$F10:$S10,Assumptions!$C$7))*100</f>
        <v>100</v>
      </c>
      <c r="G10" s="27" t="n">
        <f aca="false">IF(Assumptions!$C$5="INR",'INR Normalised'!G10,'Raw Data'!G10)/IF(Assumptions!$C$5="INR",INDEX('INR Normalised'!$F10:$S10,Assumptions!$C$7),INDEX('Raw Data'!$F10:$S10,Assumptions!$C$7))*100</f>
        <v>100</v>
      </c>
      <c r="H10" s="27" t="n">
        <f aca="false">IF(Assumptions!$C$5="INR",'INR Normalised'!H10,'Raw Data'!H10)/IF(Assumptions!$C$5="INR",INDEX('INR Normalised'!$F10:$S10,Assumptions!$C$7),INDEX('Raw Data'!$F10:$S10,Assumptions!$C$7))*100</f>
        <v>98.7704918032787</v>
      </c>
      <c r="I10" s="27" t="n">
        <f aca="false">IF(Assumptions!$C$5="INR",'INR Normalised'!I10,'Raw Data'!I10)/IF(Assumptions!$C$5="INR",INDEX('INR Normalised'!$F10:$S10,Assumptions!$C$7),INDEX('Raw Data'!$F10:$S10,Assumptions!$C$7))*100</f>
        <v>98.3606557377049</v>
      </c>
      <c r="J10" s="27" t="n">
        <f aca="false">IF(Assumptions!$C$5="INR",'INR Normalised'!J10,'Raw Data'!J10)/IF(Assumptions!$C$5="INR",INDEX('INR Normalised'!$F10:$S10,Assumptions!$C$7),INDEX('Raw Data'!$F10:$S10,Assumptions!$C$7))*100</f>
        <v>97.1311475409836</v>
      </c>
      <c r="K10" s="27" t="n">
        <f aca="false">IF(Assumptions!$C$5="INR",'INR Normalised'!K10,'Raw Data'!K10)/IF(Assumptions!$C$5="INR",INDEX('INR Normalised'!$F10:$S10,Assumptions!$C$7),INDEX('Raw Data'!$F10:$S10,Assumptions!$C$7))*100</f>
        <v>96.7213114754098</v>
      </c>
      <c r="L10" s="27" t="n">
        <f aca="false">IF(Assumptions!$C$5="INR",'INR Normalised'!L10,'Raw Data'!L10)/IF(Assumptions!$C$5="INR",INDEX('INR Normalised'!$F10:$S10,Assumptions!$C$7),INDEX('Raw Data'!$F10:$S10,Assumptions!$C$7))*100</f>
        <v>98.0327868852459</v>
      </c>
      <c r="M10" s="27" t="n">
        <f aca="false">IF(Assumptions!$C$5="INR",'INR Normalised'!M10,'Raw Data'!M10)/IF(Assumptions!$C$5="INR",INDEX('INR Normalised'!$F10:$S10,Assumptions!$C$7),INDEX('Raw Data'!$F10:$S10,Assumptions!$C$7))*100</f>
        <v>100</v>
      </c>
      <c r="N10" s="27" t="n">
        <f aca="false">IF(Assumptions!$C$5="INR",'INR Normalised'!N10,'Raw Data'!N10)/IF(Assumptions!$C$5="INR",INDEX('INR Normalised'!$F10:$S10,Assumptions!$C$7),INDEX('Raw Data'!$F10:$S10,Assumptions!$C$7))*100</f>
        <v>100</v>
      </c>
      <c r="O10" s="27" t="n">
        <f aca="false">IF(Assumptions!$C$5="INR",'INR Normalised'!O10,'Raw Data'!O10)/IF(Assumptions!$C$5="INR",INDEX('INR Normalised'!$F10:$S10,Assumptions!$C$7),INDEX('Raw Data'!$F10:$S10,Assumptions!$C$7))*100</f>
        <v>105.327868852459</v>
      </c>
      <c r="P10" s="27" t="n">
        <f aca="false">IF(Assumptions!$C$5="INR",'INR Normalised'!P10,'Raw Data'!P10)/IF(Assumptions!$C$5="INR",INDEX('INR Normalised'!$F10:$S10,Assumptions!$C$7),INDEX('Raw Data'!$F10:$S10,Assumptions!$C$7))*100</f>
        <v>105.245901639344</v>
      </c>
      <c r="Q10" s="27" t="n">
        <f aca="false">IF(Assumptions!$C$5="INR",'INR Normalised'!Q10,'Raw Data'!Q10)/IF(Assumptions!$C$5="INR",INDEX('INR Normalised'!$F10:$S10,Assumptions!$C$7),INDEX('Raw Data'!$F10:$S10,Assumptions!$C$7))*100</f>
        <v>102.459016393443</v>
      </c>
      <c r="R10" s="27" t="n">
        <f aca="false">IF(Assumptions!$C$5="INR",'INR Normalised'!R10,'Raw Data'!R10)/IF(Assumptions!$C$5="INR",INDEX('INR Normalised'!$F10:$S10,Assumptions!$C$7),INDEX('Raw Data'!$F10:$S10,Assumptions!$C$7))*100</f>
        <v>97.0491803278689</v>
      </c>
      <c r="S10" s="27" t="n">
        <f aca="false">IF(Assumptions!$C$5="INR",'INR Normalised'!S10,'Raw Data'!S10)/IF(Assumptions!$C$5="INR",INDEX('INR Normalised'!$F10:$S10,Assumptions!$C$7),INDEX('Raw Data'!$F10:$S10,Assumptions!$C$7))*100</f>
        <v>96.7213114754098</v>
      </c>
      <c r="T10" s="20" t="n">
        <f aca="false">IFERROR(S10/R10-1,"")</f>
        <v>-0.0033783783783784</v>
      </c>
      <c r="U10" s="20" t="n">
        <f aca="false">IFERROR(S10/F10-1,"")</f>
        <v>-0.0327868852459017</v>
      </c>
    </row>
    <row r="11" customFormat="false" ht="15" hidden="false" customHeight="false" outlineLevel="0" collapsed="false">
      <c r="A11" s="24" t="str">
        <f aca="false">'Raw Data'!A11</f>
        <v>Pig Iron (Foundry Grade B)</v>
      </c>
      <c r="B11" s="11" t="s">
        <v>111</v>
      </c>
      <c r="C11" s="24" t="str">
        <f aca="false">Assumptions!$C$5</f>
        <v>INR</v>
      </c>
      <c r="D11" s="24" t="str">
        <f aca="false">Assumptions!$C$6</f>
        <v>Jul-25</v>
      </c>
      <c r="E11" s="11" t="n">
        <v>100</v>
      </c>
      <c r="F11" s="27" t="n">
        <f aca="false">IF(Assumptions!$C$5="INR",'INR Normalised'!F11,'Raw Data'!F11)/IF(Assumptions!$C$5="INR",INDEX('INR Normalised'!$F11:$S11,Assumptions!$C$7),INDEX('Raw Data'!$F11:$S11,Assumptions!$C$7))*100</f>
        <v>100</v>
      </c>
      <c r="G11" s="27" t="n">
        <f aca="false">IF(Assumptions!$C$5="INR",'INR Normalised'!G11,'Raw Data'!G11)/IF(Assumptions!$C$5="INR",INDEX('INR Normalised'!$F11:$S11,Assumptions!$C$7),INDEX('Raw Data'!$F11:$S11,Assumptions!$C$7))*100</f>
        <v>99.9335548172758</v>
      </c>
      <c r="H11" s="27" t="n">
        <f aca="false">IF(Assumptions!$C$5="INR",'INR Normalised'!H11,'Raw Data'!H11)/IF(Assumptions!$C$5="INR",INDEX('INR Normalised'!$F11:$S11,Assumptions!$C$7),INDEX('Raw Data'!$F11:$S11,Assumptions!$C$7))*100</f>
        <v>104.318936877076</v>
      </c>
      <c r="I11" s="27" t="n">
        <f aca="false">IF(Assumptions!$C$5="INR",'INR Normalised'!I11,'Raw Data'!I11)/IF(Assumptions!$C$5="INR",INDEX('INR Normalised'!$F11:$S11,Assumptions!$C$7),INDEX('Raw Data'!$F11:$S11,Assumptions!$C$7))*100</f>
        <v>104.186046511628</v>
      </c>
      <c r="J11" s="27" t="n">
        <f aca="false">IF(Assumptions!$C$5="INR",'INR Normalised'!J11,'Raw Data'!J11)/IF(Assumptions!$C$5="INR",INDEX('INR Normalised'!$F11:$S11,Assumptions!$C$7),INDEX('Raw Data'!$F11:$S11,Assumptions!$C$7))*100</f>
        <v>103.654485049834</v>
      </c>
      <c r="K11" s="27" t="n">
        <f aca="false">IF(Assumptions!$C$5="INR",'INR Normalised'!K11,'Raw Data'!K11)/IF(Assumptions!$C$5="INR",INDEX('INR Normalised'!$F11:$S11,Assumptions!$C$7),INDEX('Raw Data'!$F11:$S11,Assumptions!$C$7))*100</f>
        <v>101.661129568106</v>
      </c>
      <c r="L11" s="27" t="n">
        <f aca="false">IF(Assumptions!$C$5="INR",'INR Normalised'!L11,'Raw Data'!L11)/IF(Assumptions!$C$5="INR",INDEX('INR Normalised'!$F11:$S11,Assumptions!$C$7),INDEX('Raw Data'!$F11:$S11,Assumptions!$C$7))*100</f>
        <v>110.564784053156</v>
      </c>
      <c r="M11" s="27" t="n">
        <f aca="false">IF(Assumptions!$C$5="INR",'INR Normalised'!M11,'Raw Data'!M11)/IF(Assumptions!$C$5="INR",INDEX('INR Normalised'!$F11:$S11,Assumptions!$C$7),INDEX('Raw Data'!$F11:$S11,Assumptions!$C$7))*100</f>
        <v>113.400664451827</v>
      </c>
      <c r="N11" s="27" t="n">
        <f aca="false">IF(Assumptions!$C$5="INR",'INR Normalised'!N11,'Raw Data'!N11)/IF(Assumptions!$C$5="INR",INDEX('INR Normalised'!$F11:$S11,Assumptions!$C$7),INDEX('Raw Data'!$F11:$S11,Assumptions!$C$7))*100</f>
        <v>115.614617940199</v>
      </c>
      <c r="O11" s="27" t="n">
        <f aca="false">IF(Assumptions!$C$5="INR",'INR Normalised'!O11,'Raw Data'!O11)/IF(Assumptions!$C$5="INR",INDEX('INR Normalised'!$F11:$S11,Assumptions!$C$7),INDEX('Raw Data'!$F11:$S11,Assumptions!$C$7))*100</f>
        <v>120.265780730897</v>
      </c>
      <c r="P11" s="27" t="n">
        <f aca="false">IF(Assumptions!$C$5="INR",'INR Normalised'!P11,'Raw Data'!P11)/IF(Assumptions!$C$5="INR",INDEX('INR Normalised'!$F11:$S11,Assumptions!$C$7),INDEX('Raw Data'!$F11:$S11,Assumptions!$C$7))*100</f>
        <v>120.93023255814</v>
      </c>
      <c r="Q11" s="27" t="n">
        <f aca="false">IF(Assumptions!$C$5="INR",'INR Normalised'!Q11,'Raw Data'!Q11)/IF(Assumptions!$C$5="INR",INDEX('INR Normalised'!$F11:$S11,Assumptions!$C$7),INDEX('Raw Data'!$F11:$S11,Assumptions!$C$7))*100</f>
        <v>117.607973421927</v>
      </c>
      <c r="R11" s="27" t="n">
        <f aca="false">IF(Assumptions!$C$5="INR",'INR Normalised'!R11,'Raw Data'!R11)/IF(Assumptions!$C$5="INR",INDEX('INR Normalised'!$F11:$S11,Assumptions!$C$7),INDEX('Raw Data'!$F11:$S11,Assumptions!$C$7))*100</f>
        <v>123.056478405316</v>
      </c>
      <c r="S11" s="27" t="n">
        <f aca="false">IF(Assumptions!$C$5="INR",'INR Normalised'!S11,'Raw Data'!S11)/IF(Assumptions!$C$5="INR",INDEX('INR Normalised'!$F11:$S11,Assumptions!$C$7),INDEX('Raw Data'!$F11:$S11,Assumptions!$C$7))*100</f>
        <v>129.568106312292</v>
      </c>
      <c r="T11" s="20" t="n">
        <f aca="false">IFERROR(S11/R11-1,"")</f>
        <v>0.0529157667386611</v>
      </c>
      <c r="U11" s="20" t="n">
        <f aca="false">IFERROR(S11/F11-1,"")</f>
        <v>0.295681063122924</v>
      </c>
    </row>
    <row r="12" customFormat="false" ht="15" hidden="false" customHeight="false" outlineLevel="0" collapsed="false">
      <c r="A12" s="24" t="str">
        <f aca="false">'Raw Data'!A12</f>
        <v>Stainless Steel (G304 CR Coil)</v>
      </c>
      <c r="B12" s="11" t="s">
        <v>111</v>
      </c>
      <c r="C12" s="24" t="str">
        <f aca="false">Assumptions!$C$5</f>
        <v>INR</v>
      </c>
      <c r="D12" s="24" t="str">
        <f aca="false">Assumptions!$C$6</f>
        <v>Jul-25</v>
      </c>
      <c r="E12" s="11" t="n">
        <v>100</v>
      </c>
      <c r="F12" s="27" t="n">
        <f aca="false">IF(Assumptions!$C$5="INR",'INR Normalised'!F12,'Raw Data'!F12)/IF(Assumptions!$C$5="INR",INDEX('INR Normalised'!$F12:$S12,Assumptions!$C$7),INDEX('Raw Data'!$F12:$S12,Assumptions!$C$7))*100</f>
        <v>100</v>
      </c>
      <c r="G12" s="27" t="n">
        <f aca="false">IF(Assumptions!$C$5="INR",'INR Normalised'!G12,'Raw Data'!G12)/IF(Assumptions!$C$5="INR",INDEX('INR Normalised'!$F12:$S12,Assumptions!$C$7),INDEX('Raw Data'!$F12:$S12,Assumptions!$C$7))*100</f>
        <v>101.909184726522</v>
      </c>
      <c r="H12" s="27" t="n">
        <f aca="false">IF(Assumptions!$C$5="INR",'INR Normalised'!H12,'Raw Data'!H12)/IF(Assumptions!$C$5="INR",INDEX('INR Normalised'!$F12:$S12,Assumptions!$C$7),INDEX('Raw Data'!$F12:$S12,Assumptions!$C$7))*100</f>
        <v>103.457172342621</v>
      </c>
      <c r="I12" s="27" t="n">
        <f aca="false">IF(Assumptions!$C$5="INR",'INR Normalised'!I12,'Raw Data'!I12)/IF(Assumptions!$C$5="INR",INDEX('INR Normalised'!$F12:$S12,Assumptions!$C$7),INDEX('Raw Data'!$F12:$S12,Assumptions!$C$7))*100</f>
        <v>103.199174406605</v>
      </c>
      <c r="J12" s="27" t="n">
        <f aca="false">IF(Assumptions!$C$5="INR",'INR Normalised'!J12,'Raw Data'!J12)/IF(Assumptions!$C$5="INR",INDEX('INR Normalised'!$F12:$S12,Assumptions!$C$7),INDEX('Raw Data'!$F12:$S12,Assumptions!$C$7))*100</f>
        <v>99.3292053663571</v>
      </c>
      <c r="K12" s="27" t="n">
        <f aca="false">IF(Assumptions!$C$5="INR",'INR Normalised'!K12,'Raw Data'!K12)/IF(Assumptions!$C$5="INR",INDEX('INR Normalised'!$F12:$S12,Assumptions!$C$7),INDEX('Raw Data'!$F12:$S12,Assumptions!$C$7))*100</f>
        <v>98.0392156862745</v>
      </c>
      <c r="L12" s="27" t="n">
        <f aca="false">IF(Assumptions!$C$5="INR",'INR Normalised'!L12,'Raw Data'!L12)/IF(Assumptions!$C$5="INR",INDEX('INR Normalised'!$F12:$S12,Assumptions!$C$7),INDEX('Raw Data'!$F12:$S12,Assumptions!$C$7))*100</f>
        <v>102.554179566563</v>
      </c>
      <c r="M12" s="27" t="n">
        <f aca="false">IF(Assumptions!$C$5="INR",'INR Normalised'!M12,'Raw Data'!M12)/IF(Assumptions!$C$5="INR",INDEX('INR Normalised'!$F12:$S12,Assumptions!$C$7),INDEX('Raw Data'!$F12:$S12,Assumptions!$C$7))*100</f>
        <v>105.00515995872</v>
      </c>
      <c r="N12" s="27" t="n">
        <f aca="false">IF(Assumptions!$C$5="INR",'INR Normalised'!N12,'Raw Data'!N12)/IF(Assumptions!$C$5="INR",INDEX('INR Normalised'!$F12:$S12,Assumptions!$C$7),INDEX('Raw Data'!$F12:$S12,Assumptions!$C$7))*100</f>
        <v>110.9391124871</v>
      </c>
      <c r="O12" s="27" t="n">
        <f aca="false">IF(Assumptions!$C$5="INR",'INR Normalised'!O12,'Raw Data'!O12)/IF(Assumptions!$C$5="INR",INDEX('INR Normalised'!$F12:$S12,Assumptions!$C$7),INDEX('Raw Data'!$F12:$S12,Assumptions!$C$7))*100</f>
        <v>116.615067079463</v>
      </c>
      <c r="P12" s="27" t="n">
        <f aca="false">IF(Assumptions!$C$5="INR",'INR Normalised'!P12,'Raw Data'!P12)/IF(Assumptions!$C$5="INR",INDEX('INR Normalised'!$F12:$S12,Assumptions!$C$7),INDEX('Raw Data'!$F12:$S12,Assumptions!$C$7))*100</f>
        <v>119.388544891641</v>
      </c>
      <c r="Q12" s="27" t="n">
        <f aca="false">IF(Assumptions!$C$5="INR",'INR Normalised'!Q12,'Raw Data'!Q12)/IF(Assumptions!$C$5="INR",INDEX('INR Normalised'!$F12:$S12,Assumptions!$C$7),INDEX('Raw Data'!$F12:$S12,Assumptions!$C$7))*100</f>
        <v>115.841073271414</v>
      </c>
      <c r="R12" s="27" t="n">
        <f aca="false">IF(Assumptions!$C$5="INR",'INR Normalised'!R12,'Raw Data'!R12)/IF(Assumptions!$C$5="INR",INDEX('INR Normalised'!$F12:$S12,Assumptions!$C$7),INDEX('Raw Data'!$F12:$S12,Assumptions!$C$7))*100</f>
        <v>114.035087719298</v>
      </c>
      <c r="S12" s="27" t="n">
        <f aca="false">IF(Assumptions!$C$5="INR",'INR Normalised'!S12,'Raw Data'!S12)/IF(Assumptions!$C$5="INR",INDEX('INR Normalised'!$F12:$S12,Assumptions!$C$7),INDEX('Raw Data'!$F12:$S12,Assumptions!$C$7))*100</f>
        <v>116.09907120743</v>
      </c>
      <c r="T12" s="20" t="n">
        <f aca="false">IFERROR(S12/R12-1,"")</f>
        <v>0.0180995475113122</v>
      </c>
      <c r="U12" s="20" t="n">
        <f aca="false">IFERROR(S12/F12-1,"")</f>
        <v>0.160990712074303</v>
      </c>
    </row>
    <row r="13" customFormat="false" ht="15" hidden="false" customHeight="false" outlineLevel="0" collapsed="false">
      <c r="A13" s="24" t="str">
        <f aca="false">'Raw Data'!A13</f>
        <v>Stainless Steel (G304 HR Coil)</v>
      </c>
      <c r="B13" s="11" t="s">
        <v>111</v>
      </c>
      <c r="C13" s="24" t="str">
        <f aca="false">Assumptions!$C$5</f>
        <v>INR</v>
      </c>
      <c r="D13" s="24" t="str">
        <f aca="false">Assumptions!$C$6</f>
        <v>Jul-25</v>
      </c>
      <c r="E13" s="11" t="n">
        <v>100</v>
      </c>
      <c r="F13" s="27" t="n">
        <f aca="false">IF(Assumptions!$C$5="INR",'INR Normalised'!F13,'Raw Data'!F13)/IF(Assumptions!$C$5="INR",INDEX('INR Normalised'!$F13:$S13,Assumptions!$C$7),INDEX('Raw Data'!$F13:$S13,Assumptions!$C$7))*100</f>
        <v>100</v>
      </c>
      <c r="G13" s="27" t="n">
        <f aca="false">IF(Assumptions!$C$5="INR",'INR Normalised'!G13,'Raw Data'!G13)/IF(Assumptions!$C$5="INR",INDEX('INR Normalised'!$F13:$S13,Assumptions!$C$7),INDEX('Raw Data'!$F13:$S13,Assumptions!$C$7))*100</f>
        <v>101.698369565217</v>
      </c>
      <c r="H13" s="27" t="n">
        <f aca="false">IF(Assumptions!$C$5="INR",'INR Normalised'!H13,'Raw Data'!H13)/IF(Assumptions!$C$5="INR",INDEX('INR Normalised'!$F13:$S13,Assumptions!$C$7),INDEX('Raw Data'!$F13:$S13,Assumptions!$C$7))*100</f>
        <v>103.532608695652</v>
      </c>
      <c r="I13" s="27" t="n">
        <f aca="false">IF(Assumptions!$C$5="INR",'INR Normalised'!I13,'Raw Data'!I13)/IF(Assumptions!$C$5="INR",INDEX('INR Normalised'!$F13:$S13,Assumptions!$C$7),INDEX('Raw Data'!$F13:$S13,Assumptions!$C$7))*100</f>
        <v>103.260869565217</v>
      </c>
      <c r="J13" s="27" t="n">
        <f aca="false">IF(Assumptions!$C$5="INR",'INR Normalised'!J13,'Raw Data'!J13)/IF(Assumptions!$C$5="INR",INDEX('INR Normalised'!$F13:$S13,Assumptions!$C$7),INDEX('Raw Data'!$F13:$S13,Assumptions!$C$7))*100</f>
        <v>99.1847826086957</v>
      </c>
      <c r="K13" s="27" t="n">
        <f aca="false">IF(Assumptions!$C$5="INR",'INR Normalised'!K13,'Raw Data'!K13)/IF(Assumptions!$C$5="INR",INDEX('INR Normalised'!$F13:$S13,Assumptions!$C$7),INDEX('Raw Data'!$F13:$S13,Assumptions!$C$7))*100</f>
        <v>98.6956521739131</v>
      </c>
      <c r="L13" s="27" t="n">
        <f aca="false">IF(Assumptions!$C$5="INR",'INR Normalised'!L13,'Raw Data'!L13)/IF(Assumptions!$C$5="INR",INDEX('INR Normalised'!$F13:$S13,Assumptions!$C$7),INDEX('Raw Data'!$F13:$S13,Assumptions!$C$7))*100</f>
        <v>103.532608695652</v>
      </c>
      <c r="M13" s="27" t="n">
        <f aca="false">IF(Assumptions!$C$5="INR",'INR Normalised'!M13,'Raw Data'!M13)/IF(Assumptions!$C$5="INR",INDEX('INR Normalised'!$F13:$S13,Assumptions!$C$7),INDEX('Raw Data'!$F13:$S13,Assumptions!$C$7))*100</f>
        <v>105.570652173913</v>
      </c>
      <c r="N13" s="27" t="n">
        <f aca="false">IF(Assumptions!$C$5="INR",'INR Normalised'!N13,'Raw Data'!N13)/IF(Assumptions!$C$5="INR",INDEX('INR Normalised'!$F13:$S13,Assumptions!$C$7),INDEX('Raw Data'!$F13:$S13,Assumptions!$C$7))*100</f>
        <v>113.04347826087</v>
      </c>
      <c r="O13" s="27" t="n">
        <f aca="false">IF(Assumptions!$C$5="INR",'INR Normalised'!O13,'Raw Data'!O13)/IF(Assumptions!$C$5="INR",INDEX('INR Normalised'!$F13:$S13,Assumptions!$C$7),INDEX('Raw Data'!$F13:$S13,Assumptions!$C$7))*100</f>
        <v>117.608695652174</v>
      </c>
      <c r="P13" s="27" t="n">
        <f aca="false">IF(Assumptions!$C$5="INR",'INR Normalised'!P13,'Raw Data'!P13)/IF(Assumptions!$C$5="INR",INDEX('INR Normalised'!$F13:$S13,Assumptions!$C$7),INDEX('Raw Data'!$F13:$S13,Assumptions!$C$7))*100</f>
        <v>121.875</v>
      </c>
      <c r="Q13" s="27" t="n">
        <f aca="false">IF(Assumptions!$C$5="INR",'INR Normalised'!Q13,'Raw Data'!Q13)/IF(Assumptions!$C$5="INR",INDEX('INR Normalised'!$F13:$S13,Assumptions!$C$7),INDEX('Raw Data'!$F13:$S13,Assumptions!$C$7))*100</f>
        <v>118.614130434783</v>
      </c>
      <c r="R13" s="27" t="n">
        <f aca="false">IF(Assumptions!$C$5="INR",'INR Normalised'!R13,'Raw Data'!R13)/IF(Assumptions!$C$5="INR",INDEX('INR Normalised'!$F13:$S13,Assumptions!$C$7),INDEX('Raw Data'!$F13:$S13,Assumptions!$C$7))*100</f>
        <v>116.304347826087</v>
      </c>
      <c r="S13" s="27" t="n">
        <f aca="false">IF(Assumptions!$C$5="INR",'INR Normalised'!S13,'Raw Data'!S13)/IF(Assumptions!$C$5="INR",INDEX('INR Normalised'!$F13:$S13,Assumptions!$C$7),INDEX('Raw Data'!$F13:$S13,Assumptions!$C$7))*100</f>
        <v>118.885869565217</v>
      </c>
      <c r="T13" s="20" t="n">
        <f aca="false">IFERROR(S13/R13-1,"")</f>
        <v>0.0221962616822429</v>
      </c>
      <c r="U13" s="20" t="n">
        <f aca="false">IFERROR(S13/F13-1,"")</f>
        <v>0.188858695652174</v>
      </c>
    </row>
    <row r="14" customFormat="false" ht="15" hidden="false" customHeight="false" outlineLevel="0" collapsed="false">
      <c r="A14" s="24" t="str">
        <f aca="false">'Raw Data'!A14</f>
        <v>Steel Scrap (RM end scrap)</v>
      </c>
      <c r="B14" s="11" t="s">
        <v>111</v>
      </c>
      <c r="C14" s="24" t="str">
        <f aca="false">Assumptions!$C$5</f>
        <v>INR</v>
      </c>
      <c r="D14" s="24" t="str">
        <f aca="false">Assumptions!$C$6</f>
        <v>Jul-25</v>
      </c>
      <c r="E14" s="11" t="n">
        <v>100</v>
      </c>
      <c r="F14" s="27" t="n">
        <f aca="false">IF(Assumptions!$C$5="INR",'INR Normalised'!F14,'Raw Data'!F14)/IF(Assumptions!$C$5="INR",INDEX('INR Normalised'!$F14:$S14,Assumptions!$C$7),INDEX('Raw Data'!$F14:$S14,Assumptions!$C$7))*100</f>
        <v>100</v>
      </c>
      <c r="G14" s="27" t="n">
        <f aca="false">IF(Assumptions!$C$5="INR",'INR Normalised'!G14,'Raw Data'!G14)/IF(Assumptions!$C$5="INR",INDEX('INR Normalised'!$F14:$S14,Assumptions!$C$7),INDEX('Raw Data'!$F14:$S14,Assumptions!$C$7))*100</f>
        <v>100.536820371645</v>
      </c>
      <c r="H14" s="27" t="n">
        <f aca="false">IF(Assumptions!$C$5="INR",'INR Normalised'!H14,'Raw Data'!H14)/IF(Assumptions!$C$5="INR",INDEX('INR Normalised'!$F14:$S14,Assumptions!$C$7),INDEX('Raw Data'!$F14:$S14,Assumptions!$C$7))*100</f>
        <v>97.5223675154852</v>
      </c>
      <c r="I14" s="27" t="n">
        <f aca="false">IF(Assumptions!$C$5="INR",'INR Normalised'!I14,'Raw Data'!I14)/IF(Assumptions!$C$5="INR",INDEX('INR Normalised'!$F14:$S14,Assumptions!$C$7),INDEX('Raw Data'!$F14:$S14,Assumptions!$C$7))*100</f>
        <v>95.5815554026153</v>
      </c>
      <c r="J14" s="27" t="n">
        <f aca="false">IF(Assumptions!$C$5="INR",'INR Normalised'!J14,'Raw Data'!J14)/IF(Assumptions!$C$5="INR",INDEX('INR Normalised'!$F14:$S14,Assumptions!$C$7),INDEX('Raw Data'!$F14:$S14,Assumptions!$C$7))*100</f>
        <v>92.360633172746</v>
      </c>
      <c r="K14" s="27" t="n">
        <f aca="false">IF(Assumptions!$C$5="INR",'INR Normalised'!K14,'Raw Data'!K14)/IF(Assumptions!$C$5="INR",INDEX('INR Normalised'!$F14:$S14,Assumptions!$C$7),INDEX('Raw Data'!$F14:$S14,Assumptions!$C$7))*100</f>
        <v>92.4294562973159</v>
      </c>
      <c r="L14" s="27" t="n">
        <f aca="false">IF(Assumptions!$C$5="INR",'INR Normalised'!L14,'Raw Data'!L14)/IF(Assumptions!$C$5="INR",INDEX('INR Normalised'!$F14:$S14,Assumptions!$C$7),INDEX('Raw Data'!$F14:$S14,Assumptions!$C$7))*100</f>
        <v>97.1782518926359</v>
      </c>
      <c r="M14" s="27" t="n">
        <f aca="false">IF(Assumptions!$C$5="INR",'INR Normalised'!M14,'Raw Data'!M14)/IF(Assumptions!$C$5="INR",INDEX('INR Normalised'!$F14:$S14,Assumptions!$C$7),INDEX('Raw Data'!$F14:$S14,Assumptions!$C$7))*100</f>
        <v>102.317962835513</v>
      </c>
      <c r="N14" s="27" t="n">
        <f aca="false">IF(Assumptions!$C$5="INR",'INR Normalised'!N14,'Raw Data'!N14)/IF(Assumptions!$C$5="INR",INDEX('INR Normalised'!$F14:$S14,Assumptions!$C$7),INDEX('Raw Data'!$F14:$S14,Assumptions!$C$7))*100</f>
        <v>107.088781830695</v>
      </c>
      <c r="O14" s="27" t="n">
        <f aca="false">IF(Assumptions!$C$5="INR",'INR Normalised'!O14,'Raw Data'!O14)/IF(Assumptions!$C$5="INR",INDEX('INR Normalised'!$F14:$S14,Assumptions!$C$7),INDEX('Raw Data'!$F14:$S14,Assumptions!$C$7))*100</f>
        <v>112.732278045423</v>
      </c>
      <c r="P14" s="27" t="n">
        <f aca="false">IF(Assumptions!$C$5="INR",'INR Normalised'!P14,'Raw Data'!P14)/IF(Assumptions!$C$5="INR",INDEX('INR Normalised'!$F14:$S14,Assumptions!$C$7),INDEX('Raw Data'!$F14:$S14,Assumptions!$C$7))*100</f>
        <v>110.282174810736</v>
      </c>
      <c r="Q14" s="27" t="n">
        <f aca="false">IF(Assumptions!$C$5="INR",'INR Normalised'!Q14,'Raw Data'!Q14)/IF(Assumptions!$C$5="INR",INDEX('INR Normalised'!$F14:$S14,Assumptions!$C$7),INDEX('Raw Data'!$F14:$S14,Assumptions!$C$7))*100</f>
        <v>106.538196834136</v>
      </c>
      <c r="R14" s="27" t="n">
        <f aca="false">IF(Assumptions!$C$5="INR",'INR Normalised'!R14,'Raw Data'!R14)/IF(Assumptions!$C$5="INR",INDEX('INR Normalised'!$F14:$S14,Assumptions!$C$7),INDEX('Raw Data'!$F14:$S14,Assumptions!$C$7))*100</f>
        <v>101.252580867171</v>
      </c>
      <c r="S14" s="27" t="n">
        <f aca="false">IF(Assumptions!$C$5="INR",'INR Normalised'!S14,'Raw Data'!S14)/IF(Assumptions!$C$5="INR",INDEX('INR Normalised'!$F14:$S14,Assumptions!$C$7),INDEX('Raw Data'!$F14:$S14,Assumptions!$C$7))*100</f>
        <v>102.615278733655</v>
      </c>
      <c r="T14" s="20" t="n">
        <f aca="false">IFERROR(S14/R14-1,"")</f>
        <v>0.0134584013050569</v>
      </c>
      <c r="U14" s="20" t="n">
        <f aca="false">IFERROR(S14/F14-1,"")</f>
        <v>0.026152787336545</v>
      </c>
    </row>
    <row r="15" customFormat="false" ht="15" hidden="false" customHeight="false" outlineLevel="0" collapsed="false">
      <c r="A15" s="17" t="s">
        <v>121</v>
      </c>
      <c r="B15" s="18"/>
      <c r="C15" s="18"/>
      <c r="D15" s="18"/>
      <c r="E15" s="18"/>
      <c r="F15" s="18"/>
      <c r="G15" s="18"/>
      <c r="H15" s="18"/>
      <c r="I15" s="18"/>
      <c r="J15" s="18"/>
      <c r="K15" s="18"/>
      <c r="L15" s="18"/>
      <c r="M15" s="18"/>
      <c r="N15" s="18"/>
      <c r="O15" s="18"/>
      <c r="P15" s="18"/>
      <c r="Q15" s="18"/>
      <c r="R15" s="18"/>
      <c r="S15" s="18"/>
      <c r="T15" s="18"/>
      <c r="U15" s="18"/>
      <c r="V15" s="18"/>
    </row>
    <row r="16" customFormat="false" ht="15" hidden="false" customHeight="false" outlineLevel="0" collapsed="false">
      <c r="A16" s="24" t="str">
        <f aca="false">'Raw Data'!A16</f>
        <v>Coking Coal (Premium HCC, Australia)</v>
      </c>
      <c r="B16" s="11" t="s">
        <v>123</v>
      </c>
      <c r="C16" s="24" t="str">
        <f aca="false">Assumptions!$C$5</f>
        <v>INR</v>
      </c>
      <c r="D16" s="24" t="str">
        <f aca="false">Assumptions!$C$6</f>
        <v>Jul-25</v>
      </c>
      <c r="E16" s="11" t="n">
        <v>100</v>
      </c>
      <c r="F16" s="27" t="n">
        <f aca="false">IF(Assumptions!$C$5="INR",'INR Normalised'!F16,'Raw Data'!F16)/IF(Assumptions!$C$5="INR",INDEX('INR Normalised'!$F16:$S16,Assumptions!$C$7),INDEX('Raw Data'!$F16:$S16,Assumptions!$C$7))*100</f>
        <v>100</v>
      </c>
      <c r="G16" s="27" t="n">
        <f aca="false">IF(Assumptions!$C$5="INR",'INR Normalised'!G16,'Raw Data'!G16)/IF(Assumptions!$C$5="INR",INDEX('INR Normalised'!$F16:$S16,Assumptions!$C$7),INDEX('Raw Data'!$F16:$S16,Assumptions!$C$7))*100</f>
        <v>106.915972065781</v>
      </c>
      <c r="H16" s="27" t="n">
        <f aca="false">IF(Assumptions!$C$5="INR",'INR Normalised'!H16,'Raw Data'!H16)/IF(Assumptions!$C$5="INR",INDEX('INR Normalised'!$F16:$S16,Assumptions!$C$7),INDEX('Raw Data'!$F16:$S16,Assumptions!$C$7))*100</f>
        <v>107.825740378117</v>
      </c>
      <c r="I16" s="27" t="n">
        <f aca="false">IF(Assumptions!$C$5="INR",'INR Normalised'!I16,'Raw Data'!I16)/IF(Assumptions!$C$5="INR",INDEX('INR Normalised'!$F16:$S16,Assumptions!$C$7),INDEX('Raw Data'!$F16:$S16,Assumptions!$C$7))*100</f>
        <v>110.605836977884</v>
      </c>
      <c r="J16" s="27" t="n">
        <f aca="false">IF(Assumptions!$C$5="INR",'INR Normalised'!J16,'Raw Data'!J16)/IF(Assumptions!$C$5="INR",INDEX('INR Normalised'!$F16:$S16,Assumptions!$C$7),INDEX('Raw Data'!$F16:$S16,Assumptions!$C$7))*100</f>
        <v>114.346254533156</v>
      </c>
      <c r="K16" s="27" t="n">
        <f aca="false">IF(Assumptions!$C$5="INR",'INR Normalised'!K16,'Raw Data'!K16)/IF(Assumptions!$C$5="INR",INDEX('INR Normalised'!$F16:$S16,Assumptions!$C$7),INDEX('Raw Data'!$F16:$S16,Assumptions!$C$7))*100</f>
        <v>122.92024573604</v>
      </c>
      <c r="L16" s="27" t="n">
        <f aca="false">IF(Assumptions!$C$5="INR",'INR Normalised'!L16,'Raw Data'!L16)/IF(Assumptions!$C$5="INR",INDEX('INR Normalised'!$F16:$S16,Assumptions!$C$7),INDEX('Raw Data'!$F16:$S16,Assumptions!$C$7))*100</f>
        <v>135.358705661119</v>
      </c>
      <c r="M16" s="27" t="n">
        <f aca="false">IF(Assumptions!$C$5="INR",'INR Normalised'!M16,'Raw Data'!M16)/IF(Assumptions!$C$5="INR",INDEX('INR Normalised'!$F16:$S16,Assumptions!$C$7),INDEX('Raw Data'!$F16:$S16,Assumptions!$C$7))*100</f>
        <v>143.514293072675</v>
      </c>
      <c r="N16" s="27" t="n">
        <f aca="false">IF(Assumptions!$C$5="INR",'INR Normalised'!N16,'Raw Data'!N16)/IF(Assumptions!$C$5="INR",INDEX('INR Normalised'!$F16:$S16,Assumptions!$C$7),INDEX('Raw Data'!$F16:$S16,Assumptions!$C$7))*100</f>
        <v>138.73151108782</v>
      </c>
      <c r="O16" s="27" t="n">
        <f aca="false">IF(Assumptions!$C$5="INR",'INR Normalised'!O16,'Raw Data'!O16)/IF(Assumptions!$C$5="INR",INDEX('INR Normalised'!$F16:$S16,Assumptions!$C$7),INDEX('Raw Data'!$F16:$S16,Assumptions!$C$7))*100</f>
        <v>143.415338962643</v>
      </c>
      <c r="P16" s="27" t="n">
        <f aca="false">IF(Assumptions!$C$5="INR",'INR Normalised'!P16,'Raw Data'!P16)/IF(Assumptions!$C$5="INR",INDEX('INR Normalised'!$F16:$S16,Assumptions!$C$7),INDEX('Raw Data'!$F16:$S16,Assumptions!$C$7))*100</f>
        <v>151.695216560711</v>
      </c>
      <c r="Q16" s="27" t="n">
        <f aca="false">IF(Assumptions!$C$5="INR",'INR Normalised'!Q16,'Raw Data'!Q16)/IF(Assumptions!$C$5="INR",INDEX('INR Normalised'!$F16:$S16,Assumptions!$C$7),INDEX('Raw Data'!$F16:$S16,Assumptions!$C$7))*100</f>
        <v>151.827155374087</v>
      </c>
      <c r="R16" s="27" t="n">
        <f aca="false">IF(Assumptions!$C$5="INR",'INR Normalised'!R16,'Raw Data'!R16)/IF(Assumptions!$C$5="INR",INDEX('INR Normalised'!$F16:$S16,Assumptions!$C$7),INDEX('Raw Data'!$F16:$S16,Assumptions!$C$7))*100</f>
        <v>145.10114412702</v>
      </c>
      <c r="S16" s="27" t="n">
        <f aca="false">IF(Assumptions!$C$5="INR",'INR Normalised'!S16,'Raw Data'!S16)/IF(Assumptions!$C$5="INR",INDEX('INR Normalised'!$F16:$S16,Assumptions!$C$7),INDEX('Raw Data'!$F16:$S16,Assumptions!$C$7))*100</f>
        <v>145.20828465799</v>
      </c>
      <c r="T16" s="20" t="n">
        <f aca="false">IFERROR(S16/R16-1,"")</f>
        <v>0.000738385156193289</v>
      </c>
      <c r="U16" s="20" t="n">
        <f aca="false">IFERROR(S16/F16-1,"")</f>
        <v>0.452082846579899</v>
      </c>
    </row>
    <row r="17" customFormat="false" ht="15" hidden="false" customHeight="false" outlineLevel="0" collapsed="false">
      <c r="A17" s="24" t="str">
        <f aca="false">'Raw Data'!A17</f>
        <v>Iron Ore (Fe 62%, Australia)</v>
      </c>
      <c r="B17" s="11" t="s">
        <v>123</v>
      </c>
      <c r="C17" s="24" t="str">
        <f aca="false">Assumptions!$C$5</f>
        <v>INR</v>
      </c>
      <c r="D17" s="24" t="str">
        <f aca="false">Assumptions!$C$6</f>
        <v>Jul-25</v>
      </c>
      <c r="E17" s="11" t="n">
        <v>100</v>
      </c>
      <c r="F17" s="27" t="n">
        <f aca="false">IF(Assumptions!$C$5="INR",'INR Normalised'!F17,'Raw Data'!F17)/IF(Assumptions!$C$5="INR",INDEX('INR Normalised'!$F17:$S17,Assumptions!$C$7),INDEX('Raw Data'!$F17:$S17,Assumptions!$C$7))*100</f>
        <v>100</v>
      </c>
      <c r="G17" s="27" t="n">
        <f aca="false">IF(Assumptions!$C$5="INR",'INR Normalised'!G17,'Raw Data'!G17)/IF(Assumptions!$C$5="INR",INDEX('INR Normalised'!$F17:$S17,Assumptions!$C$7),INDEX('Raw Data'!$F17:$S17,Assumptions!$C$7))*100</f>
        <v>104.729453455091</v>
      </c>
      <c r="H17" s="27" t="n">
        <f aca="false">IF(Assumptions!$C$5="INR",'INR Normalised'!H17,'Raw Data'!H17)/IF(Assumptions!$C$5="INR",INDEX('INR Normalised'!$F17:$S17,Assumptions!$C$7),INDEX('Raw Data'!$F17:$S17,Assumptions!$C$7))*100</f>
        <v>108.727104978979</v>
      </c>
      <c r="I17" s="27" t="n">
        <f aca="false">IF(Assumptions!$C$5="INR",'INR Normalised'!I17,'Raw Data'!I17)/IF(Assumptions!$C$5="INR",INDEX('INR Normalised'!$F17:$S17,Assumptions!$C$7),INDEX('Raw Data'!$F17:$S17,Assumptions!$C$7))*100</f>
        <v>109.886082599726</v>
      </c>
      <c r="J17" s="27" t="n">
        <f aca="false">IF(Assumptions!$C$5="INR",'INR Normalised'!J17,'Raw Data'!J17)/IF(Assumptions!$C$5="INR",INDEX('INR Normalised'!$F17:$S17,Assumptions!$C$7),INDEX('Raw Data'!$F17:$S17,Assumptions!$C$7))*100</f>
        <v>108.333711931913</v>
      </c>
      <c r="K17" s="27" t="n">
        <f aca="false">IF(Assumptions!$C$5="INR",'INR Normalised'!K17,'Raw Data'!K17)/IF(Assumptions!$C$5="INR",INDEX('INR Normalised'!$F17:$S17,Assumptions!$C$7),INDEX('Raw Data'!$F17:$S17,Assumptions!$C$7))*100</f>
        <v>112.95447847172</v>
      </c>
      <c r="L17" s="27" t="n">
        <f aca="false">IF(Assumptions!$C$5="INR",'INR Normalised'!L17,'Raw Data'!L17)/IF(Assumptions!$C$5="INR",INDEX('INR Normalised'!$F17:$S17,Assumptions!$C$7),INDEX('Raw Data'!$F17:$S17,Assumptions!$C$7))*100</f>
        <v>112.787895096741</v>
      </c>
      <c r="M17" s="27" t="n">
        <f aca="false">IF(Assumptions!$C$5="INR",'INR Normalised'!M17,'Raw Data'!M17)/IF(Assumptions!$C$5="INR",INDEX('INR Normalised'!$F17:$S17,Assumptions!$C$7),INDEX('Raw Data'!$F17:$S17,Assumptions!$C$7))*100</f>
        <v>105.316572482989</v>
      </c>
      <c r="N17" s="27" t="n">
        <f aca="false">IF(Assumptions!$C$5="INR",'INR Normalised'!N17,'Raw Data'!N17)/IF(Assumptions!$C$5="INR",INDEX('INR Normalised'!$F17:$S17,Assumptions!$C$7),INDEX('Raw Data'!$F17:$S17,Assumptions!$C$7))*100</f>
        <v>115.134041370923</v>
      </c>
      <c r="O17" s="27" t="n">
        <f aca="false">IF(Assumptions!$C$5="INR",'INR Normalised'!O17,'Raw Data'!O17)/IF(Assumptions!$C$5="INR",INDEX('INR Normalised'!$F17:$S17,Assumptions!$C$7),INDEX('Raw Data'!$F17:$S17,Assumptions!$C$7))*100</f>
        <v>117.317099026244</v>
      </c>
      <c r="P17" s="27" t="n">
        <f aca="false">IF(Assumptions!$C$5="INR",'INR Normalised'!P17,'Raw Data'!P17)/IF(Assumptions!$C$5="INR",INDEX('INR Normalised'!$F17:$S17,Assumptions!$C$7),INDEX('Raw Data'!$F17:$S17,Assumptions!$C$7))*100</f>
        <v>122.100255233689</v>
      </c>
      <c r="Q17" s="27" t="n">
        <f aca="false">IF(Assumptions!$C$5="INR",'INR Normalised'!Q17,'Raw Data'!Q17)/IF(Assumptions!$C$5="INR",INDEX('INR Normalised'!$F17:$S17,Assumptions!$C$7),INDEX('Raw Data'!$F17:$S17,Assumptions!$C$7))*100</f>
        <v>112.385765159378</v>
      </c>
      <c r="R17" s="27" t="n">
        <f aca="false">IF(Assumptions!$C$5="INR",'INR Normalised'!R17,'Raw Data'!R17)/IF(Assumptions!$C$5="INR",INDEX('INR Normalised'!$F17:$S17,Assumptions!$C$7),INDEX('Raw Data'!$F17:$S17,Assumptions!$C$7))*100</f>
        <v>110.006535193942</v>
      </c>
      <c r="S17" s="27" t="n">
        <f aca="false">IF(Assumptions!$C$5="INR",'INR Normalised'!S17,'Raw Data'!S17)/IF(Assumptions!$C$5="INR",INDEX('INR Normalised'!$F17:$S17,Assumptions!$C$7),INDEX('Raw Data'!$F17:$S17,Assumptions!$C$7))*100</f>
        <v>107.414824056503</v>
      </c>
      <c r="T17" s="20" t="n">
        <f aca="false">IFERROR(S17/R17-1,"")</f>
        <v>-0.0235596106437596</v>
      </c>
      <c r="U17" s="20" t="n">
        <f aca="false">IFERROR(S17/F17-1,"")</f>
        <v>0.0741482405650322</v>
      </c>
    </row>
    <row r="18" customFormat="false" ht="15" hidden="false" customHeight="false" outlineLevel="0" collapsed="false">
      <c r="A18" s="17" t="s">
        <v>127</v>
      </c>
      <c r="B18" s="18"/>
      <c r="C18" s="18"/>
      <c r="D18" s="18"/>
      <c r="E18" s="18"/>
      <c r="F18" s="18"/>
      <c r="G18" s="18"/>
      <c r="H18" s="18"/>
      <c r="I18" s="18"/>
      <c r="J18" s="18"/>
      <c r="K18" s="18"/>
      <c r="L18" s="18"/>
      <c r="M18" s="18"/>
      <c r="N18" s="18"/>
      <c r="O18" s="18"/>
      <c r="P18" s="18"/>
      <c r="Q18" s="18"/>
      <c r="R18" s="18"/>
      <c r="S18" s="18"/>
      <c r="T18" s="18"/>
      <c r="U18" s="18"/>
      <c r="V18" s="18"/>
    </row>
    <row r="19" customFormat="false" ht="15" hidden="false" customHeight="false" outlineLevel="0" collapsed="false">
      <c r="A19" s="24" t="str">
        <f aca="false">'Raw Data'!A19</f>
        <v>Virgin Aluminium</v>
      </c>
      <c r="B19" s="11" t="s">
        <v>129</v>
      </c>
      <c r="C19" s="24" t="str">
        <f aca="false">Assumptions!$C$5</f>
        <v>INR</v>
      </c>
      <c r="D19" s="24" t="str">
        <f aca="false">Assumptions!$C$6</f>
        <v>Jul-25</v>
      </c>
      <c r="E19" s="11" t="n">
        <v>100</v>
      </c>
      <c r="F19" s="27" t="n">
        <f aca="false">IF(Assumptions!$C$5="INR",'INR Normalised'!F19,'Raw Data'!F19)/IF(Assumptions!$C$5="INR",INDEX('INR Normalised'!$F19:$S19,Assumptions!$C$7),INDEX('Raw Data'!$F19:$S19,Assumptions!$C$7))*100</f>
        <v>100</v>
      </c>
      <c r="G19" s="27" t="n">
        <f aca="false">IF(Assumptions!$C$5="INR",'INR Normalised'!G19,'Raw Data'!G19)/IF(Assumptions!$C$5="INR",INDEX('INR Normalised'!$F19:$S19,Assumptions!$C$7),INDEX('Raw Data'!$F19:$S19,Assumptions!$C$7))*100</f>
        <v>101.251041018159</v>
      </c>
      <c r="H19" s="27" t="n">
        <f aca="false">IF(Assumptions!$C$5="INR",'INR Normalised'!H19,'Raw Data'!H19)/IF(Assumptions!$C$5="INR",INDEX('INR Normalised'!$F19:$S19,Assumptions!$C$7),INDEX('Raw Data'!$F19:$S19,Assumptions!$C$7))*100</f>
        <v>104.446945178052</v>
      </c>
      <c r="I19" s="27" t="n">
        <f aca="false">IF(Assumptions!$C$5="INR",'INR Normalised'!I19,'Raw Data'!I19)/IF(Assumptions!$C$5="INR",INDEX('INR Normalised'!$F19:$S19,Assumptions!$C$7),INDEX('Raw Data'!$F19:$S19,Assumptions!$C$7))*100</f>
        <v>109.805870932782</v>
      </c>
      <c r="J19" s="27" t="n">
        <f aca="false">IF(Assumptions!$C$5="INR",'INR Normalised'!J19,'Raw Data'!J19)/IF(Assumptions!$C$5="INR",INDEX('INR Normalised'!$F19:$S19,Assumptions!$C$7),INDEX('Raw Data'!$F19:$S19,Assumptions!$C$7))*100</f>
        <v>111.785799809506</v>
      </c>
      <c r="K19" s="27" t="n">
        <f aca="false">IF(Assumptions!$C$5="INR",'INR Normalised'!K19,'Raw Data'!K19)/IF(Assumptions!$C$5="INR",INDEX('INR Normalised'!$F19:$S19,Assumptions!$C$7),INDEX('Raw Data'!$F19:$S19,Assumptions!$C$7))*100</f>
        <v>115.396838039837</v>
      </c>
      <c r="L19" s="27" t="n">
        <f aca="false">IF(Assumptions!$C$5="INR",'INR Normalised'!L19,'Raw Data'!L19)/IF(Assumptions!$C$5="INR",INDEX('INR Normalised'!$F19:$S19,Assumptions!$C$7),INDEX('Raw Data'!$F19:$S19,Assumptions!$C$7))*100</f>
        <v>127.352475186438</v>
      </c>
      <c r="M19" s="27" t="n">
        <f aca="false">IF(Assumptions!$C$5="INR",'INR Normalised'!M19,'Raw Data'!M19)/IF(Assumptions!$C$5="INR",INDEX('INR Normalised'!$F19:$S19,Assumptions!$C$7),INDEX('Raw Data'!$F19:$S19,Assumptions!$C$7))*100</f>
        <v>123.96798298493</v>
      </c>
      <c r="N19" s="27" t="n">
        <f aca="false">IF(Assumptions!$C$5="INR",'INR Normalised'!N19,'Raw Data'!N19)/IF(Assumptions!$C$5="INR",INDEX('INR Normalised'!$F19:$S19,Assumptions!$C$7),INDEX('Raw Data'!$F19:$S19,Assumptions!$C$7))*100</f>
        <v>139.159999437049</v>
      </c>
      <c r="O19" s="27" t="n">
        <f aca="false">IF(Assumptions!$C$5="INR",'INR Normalised'!O19,'Raw Data'!O19)/IF(Assumptions!$C$5="INR",INDEX('INR Normalised'!$F19:$S19,Assumptions!$C$7),INDEX('Raw Data'!$F19:$S19,Assumptions!$C$7))*100</f>
        <v>150.076701147161</v>
      </c>
      <c r="P19" s="27" t="n">
        <f aca="false">IF(Assumptions!$C$5="INR",'INR Normalised'!P19,'Raw Data'!P19)/IF(Assumptions!$C$5="INR",INDEX('INR Normalised'!$F19:$S19,Assumptions!$C$7),INDEX('Raw Data'!$F19:$S19,Assumptions!$C$7))*100</f>
        <v>156.293409302509</v>
      </c>
      <c r="Q19" s="27" t="n">
        <f aca="false">IF(Assumptions!$C$5="INR",'INR Normalised'!Q19,'Raw Data'!Q19)/IF(Assumptions!$C$5="INR",INDEX('INR Normalised'!$F19:$S19,Assumptions!$C$7),INDEX('Raw Data'!$F19:$S19,Assumptions!$C$7))*100</f>
        <v>146.302292072906</v>
      </c>
      <c r="R19" s="27" t="n">
        <f aca="false">IF(Assumptions!$C$5="INR",'INR Normalised'!R19,'Raw Data'!R19)/IF(Assumptions!$C$5="INR",INDEX('INR Normalised'!$F19:$S19,Assumptions!$C$7),INDEX('Raw Data'!$F19:$S19,Assumptions!$C$7))*100</f>
        <v>134.676017399428</v>
      </c>
      <c r="S19" s="27" t="n">
        <f aca="false">IF(Assumptions!$C$5="INR",'INR Normalised'!S19,'Raw Data'!S19)/IF(Assumptions!$C$5="INR",INDEX('INR Normalised'!$F19:$S19,Assumptions!$C$7),INDEX('Raw Data'!$F19:$S19,Assumptions!$C$7))*100</f>
        <v>138.326180526262</v>
      </c>
      <c r="T19" s="20" t="n">
        <f aca="false">IFERROR(S19/R19-1,"")</f>
        <v>0.0271032897862422</v>
      </c>
      <c r="U19" s="20" t="n">
        <f aca="false">IFERROR(S19/F19-1,"")</f>
        <v>0.383261805262617</v>
      </c>
    </row>
    <row r="20" customFormat="false" ht="15" hidden="false" customHeight="false" outlineLevel="0" collapsed="false">
      <c r="A20" s="24" t="str">
        <f aca="false">'Raw Data'!A20</f>
        <v>Copper</v>
      </c>
      <c r="B20" s="11" t="s">
        <v>129</v>
      </c>
      <c r="C20" s="24" t="str">
        <f aca="false">Assumptions!$C$5</f>
        <v>INR</v>
      </c>
      <c r="D20" s="24" t="str">
        <f aca="false">Assumptions!$C$6</f>
        <v>Jul-25</v>
      </c>
      <c r="E20" s="11" t="n">
        <v>100</v>
      </c>
      <c r="F20" s="27" t="n">
        <f aca="false">IF(Assumptions!$C$5="INR",'INR Normalised'!F20,'Raw Data'!F20)/IF(Assumptions!$C$5="INR",INDEX('INR Normalised'!$F20:$S20,Assumptions!$C$7),INDEX('Raw Data'!$F20:$S20,Assumptions!$C$7))*100</f>
        <v>100</v>
      </c>
      <c r="G20" s="27" t="n">
        <f aca="false">IF(Assumptions!$C$5="INR",'INR Normalised'!G20,'Raw Data'!G20)/IF(Assumptions!$C$5="INR",INDEX('INR Normalised'!$F20:$S20,Assumptions!$C$7),INDEX('Raw Data'!$F20:$S20,Assumptions!$C$7))*100</f>
        <v>100.273852151669</v>
      </c>
      <c r="H20" s="27" t="n">
        <f aca="false">IF(Assumptions!$C$5="INR",'INR Normalised'!H20,'Raw Data'!H20)/IF(Assumptions!$C$5="INR",INDEX('INR Normalised'!$F20:$S20,Assumptions!$C$7),INDEX('Raw Data'!$F20:$S20,Assumptions!$C$7))*100</f>
        <v>104.343576249504</v>
      </c>
      <c r="I20" s="27" t="n">
        <f aca="false">IF(Assumptions!$C$5="INR",'INR Normalised'!I20,'Raw Data'!I20)/IF(Assumptions!$C$5="INR",INDEX('INR Normalised'!$F20:$S20,Assumptions!$C$7),INDEX('Raw Data'!$F20:$S20,Assumptions!$C$7))*100</f>
        <v>112.262445579925</v>
      </c>
      <c r="J20" s="27" t="n">
        <f aca="false">IF(Assumptions!$C$5="INR",'INR Normalised'!J20,'Raw Data'!J20)/IF(Assumptions!$C$5="INR",INDEX('INR Normalised'!$F20:$S20,Assumptions!$C$7),INDEX('Raw Data'!$F20:$S20,Assumptions!$C$7))*100</f>
        <v>113.910166755941</v>
      </c>
      <c r="K20" s="27" t="n">
        <f aca="false">IF(Assumptions!$C$5="INR",'INR Normalised'!K20,'Raw Data'!K20)/IF(Assumptions!$C$5="INR",INDEX('INR Normalised'!$F20:$S20,Assumptions!$C$7),INDEX('Raw Data'!$F20:$S20,Assumptions!$C$7))*100</f>
        <v>126.158872220872</v>
      </c>
      <c r="L20" s="27" t="n">
        <f aca="false">IF(Assumptions!$C$5="INR",'INR Normalised'!L20,'Raw Data'!L20)/IF(Assumptions!$C$5="INR",INDEX('INR Normalised'!$F20:$S20,Assumptions!$C$7),INDEX('Raw Data'!$F20:$S20,Assumptions!$C$7))*100</f>
        <v>141.005500619824</v>
      </c>
      <c r="M20" s="27" t="n">
        <f aca="false">IF(Assumptions!$C$5="INR",'INR Normalised'!M20,'Raw Data'!M20)/IF(Assumptions!$C$5="INR",INDEX('INR Normalised'!$F20:$S20,Assumptions!$C$7),INDEX('Raw Data'!$F20:$S20,Assumptions!$C$7))*100</f>
        <v>139.670312393376</v>
      </c>
      <c r="N20" s="27" t="n">
        <f aca="false">IF(Assumptions!$C$5="INR",'INR Normalised'!N20,'Raw Data'!N20)/IF(Assumptions!$C$5="INR",INDEX('INR Normalised'!$F20:$S20,Assumptions!$C$7),INDEX('Raw Data'!$F20:$S20,Assumptions!$C$7))*100</f>
        <v>137.451483263329</v>
      </c>
      <c r="O20" s="27" t="n">
        <f aca="false">IF(Assumptions!$C$5="INR",'INR Normalised'!O20,'Raw Data'!O20)/IF(Assumptions!$C$5="INR",INDEX('INR Normalised'!$F20:$S20,Assumptions!$C$7),INDEX('Raw Data'!$F20:$S20,Assumptions!$C$7))*100</f>
        <v>143.104700947679</v>
      </c>
      <c r="P20" s="27" t="n">
        <f aca="false">IF(Assumptions!$C$5="INR",'INR Normalised'!P20,'Raw Data'!P20)/IF(Assumptions!$C$5="INR",INDEX('INR Normalised'!$F20:$S20,Assumptions!$C$7),INDEX('Raw Data'!$F20:$S20,Assumptions!$C$7))*100</f>
        <v>153.189312707437</v>
      </c>
      <c r="Q20" s="27" t="n">
        <f aca="false">IF(Assumptions!$C$5="INR",'INR Normalised'!Q20,'Raw Data'!Q20)/IF(Assumptions!$C$5="INR",INDEX('INR Normalised'!$F20:$S20,Assumptions!$C$7),INDEX('Raw Data'!$F20:$S20,Assumptions!$C$7))*100</f>
        <v>152.926818931314</v>
      </c>
      <c r="R20" s="27" t="n">
        <f aca="false">IF(Assumptions!$C$5="INR",'INR Normalised'!R20,'Raw Data'!R20)/IF(Assumptions!$C$5="INR",INDEX('INR Normalised'!$F20:$S20,Assumptions!$C$7),INDEX('Raw Data'!$F20:$S20,Assumptions!$C$7))*100</f>
        <v>153.713632230948</v>
      </c>
      <c r="S20" s="27" t="n">
        <f aca="false">IF(Assumptions!$C$5="INR",'INR Normalised'!S20,'Raw Data'!S20)/IF(Assumptions!$C$5="INR",INDEX('INR Normalised'!$F20:$S20,Assumptions!$C$7),INDEX('Raw Data'!$F20:$S20,Assumptions!$C$7))*100</f>
        <v>162.601315538699</v>
      </c>
      <c r="T20" s="20" t="n">
        <f aca="false">IFERROR(S20/R20-1,"")</f>
        <v>0.0578197468809878</v>
      </c>
      <c r="U20" s="20" t="n">
        <f aca="false">IFERROR(S20/F20-1,"")</f>
        <v>0.626013155386991</v>
      </c>
    </row>
    <row r="21" customFormat="false" ht="15" hidden="false" customHeight="false" outlineLevel="0" collapsed="false">
      <c r="A21" s="24" t="str">
        <f aca="false">'Raw Data'!A21</f>
        <v>Lead</v>
      </c>
      <c r="B21" s="11" t="s">
        <v>129</v>
      </c>
      <c r="C21" s="24" t="str">
        <f aca="false">Assumptions!$C$5</f>
        <v>INR</v>
      </c>
      <c r="D21" s="24" t="str">
        <f aca="false">Assumptions!$C$6</f>
        <v>Jul-25</v>
      </c>
      <c r="E21" s="11" t="n">
        <v>100</v>
      </c>
      <c r="F21" s="27" t="n">
        <f aca="false">IF(Assumptions!$C$5="INR",'INR Normalised'!F21,'Raw Data'!F21)/IF(Assumptions!$C$5="INR",INDEX('INR Normalised'!$F21:$S21,Assumptions!$C$7),INDEX('Raw Data'!$F21:$S21,Assumptions!$C$7))*100</f>
        <v>100</v>
      </c>
      <c r="G21" s="27" t="n">
        <f aca="false">IF(Assumptions!$C$5="INR",'INR Normalised'!G21,'Raw Data'!G21)/IF(Assumptions!$C$5="INR",INDEX('INR Normalised'!$F21:$S21,Assumptions!$C$7),INDEX('Raw Data'!$F21:$S21,Assumptions!$C$7))*100</f>
        <v>99.1167356819861</v>
      </c>
      <c r="H21" s="27" t="n">
        <f aca="false">IF(Assumptions!$C$5="INR",'INR Normalised'!H21,'Raw Data'!H21)/IF(Assumptions!$C$5="INR",INDEX('INR Normalised'!$F21:$S21,Assumptions!$C$7),INDEX('Raw Data'!$F21:$S21,Assumptions!$C$7))*100</f>
        <v>100.43804817265</v>
      </c>
      <c r="I21" s="27" t="n">
        <f aca="false">IF(Assumptions!$C$5="INR",'INR Normalised'!I21,'Raw Data'!I21)/IF(Assumptions!$C$5="INR",INDEX('INR Normalised'!$F21:$S21,Assumptions!$C$7),INDEX('Raw Data'!$F21:$S21,Assumptions!$C$7))*100</f>
        <v>101.255848590818</v>
      </c>
      <c r="J21" s="27" t="n">
        <f aca="false">IF(Assumptions!$C$5="INR",'INR Normalised'!J21,'Raw Data'!J21)/IF(Assumptions!$C$5="INR",INDEX('INR Normalised'!$F21:$S21,Assumptions!$C$7),INDEX('Raw Data'!$F21:$S21,Assumptions!$C$7))*100</f>
        <v>103.482052454842</v>
      </c>
      <c r="K21" s="27" t="n">
        <f aca="false">IF(Assumptions!$C$5="INR",'INR Normalised'!K21,'Raw Data'!K21)/IF(Assumptions!$C$5="INR",INDEX('INR Normalised'!$F21:$S21,Assumptions!$C$7),INDEX('Raw Data'!$F21:$S21,Assumptions!$C$7))*100</f>
        <v>101.753662821628</v>
      </c>
      <c r="L21" s="27" t="n">
        <f aca="false">IF(Assumptions!$C$5="INR",'INR Normalised'!L21,'Raw Data'!L21)/IF(Assumptions!$C$5="INR",INDEX('INR Normalised'!$F21:$S21,Assumptions!$C$7),INDEX('Raw Data'!$F21:$S21,Assumptions!$C$7))*100</f>
        <v>105.519173072514</v>
      </c>
      <c r="M21" s="27" t="n">
        <f aca="false">IF(Assumptions!$C$5="INR",'INR Normalised'!M21,'Raw Data'!M21)/IF(Assumptions!$C$5="INR",INDEX('INR Normalised'!$F21:$S21,Assumptions!$C$7),INDEX('Raw Data'!$F21:$S21,Assumptions!$C$7))*100</f>
        <v>101.156491320194</v>
      </c>
      <c r="N21" s="27" t="n">
        <f aca="false">IF(Assumptions!$C$5="INR",'INR Normalised'!N21,'Raw Data'!N21)/IF(Assumptions!$C$5="INR",INDEX('INR Normalised'!$F21:$S21,Assumptions!$C$7),INDEX('Raw Data'!$F21:$S21,Assumptions!$C$7))*100</f>
        <v>101.326628780452</v>
      </c>
      <c r="O21" s="27" t="n">
        <f aca="false">IF(Assumptions!$C$5="INR",'INR Normalised'!O21,'Raw Data'!O21)/IF(Assumptions!$C$5="INR",INDEX('INR Normalised'!$F21:$S21,Assumptions!$C$7),INDEX('Raw Data'!$F21:$S21,Assumptions!$C$7))*100</f>
        <v>104.617208664704</v>
      </c>
      <c r="P21" s="27" t="n">
        <f aca="false">IF(Assumptions!$C$5="INR",'INR Normalised'!P21,'Raw Data'!P21)/IF(Assumptions!$C$5="INR",INDEX('INR Normalised'!$F21:$S21,Assumptions!$C$7),INDEX('Raw Data'!$F21:$S21,Assumptions!$C$7))*100</f>
        <v>110.681592229254</v>
      </c>
      <c r="Q21" s="27" t="n">
        <f aca="false">IF(Assumptions!$C$5="INR",'INR Normalised'!Q21,'Raw Data'!Q21)/IF(Assumptions!$C$5="INR",INDEX('INR Normalised'!$F21:$S21,Assumptions!$C$7),INDEX('Raw Data'!$F21:$S21,Assumptions!$C$7))*100</f>
        <v>107.75267035889</v>
      </c>
      <c r="R21" s="27" t="n">
        <f aca="false">IF(Assumptions!$C$5="INR",'INR Normalised'!R21,'Raw Data'!R21)/IF(Assumptions!$C$5="INR",INDEX('INR Normalised'!$F21:$S21,Assumptions!$C$7),INDEX('Raw Data'!$F21:$S21,Assumptions!$C$7))*100</f>
        <v>102.728499017206</v>
      </c>
      <c r="S21" s="27" t="n">
        <f aca="false">IF(Assumptions!$C$5="INR",'INR Normalised'!S21,'Raw Data'!S21)/IF(Assumptions!$C$5="INR",INDEX('INR Normalised'!$F21:$S21,Assumptions!$C$7),INDEX('Raw Data'!$F21:$S21,Assumptions!$C$7))*100</f>
        <v>103.008811900631</v>
      </c>
      <c r="T21" s="20" t="n">
        <f aca="false">IFERROR(S21/R21-1,"")</f>
        <v>0.00272867691153911</v>
      </c>
      <c r="U21" s="20" t="n">
        <f aca="false">IFERROR(S21/F21-1,"")</f>
        <v>0.0300881190063145</v>
      </c>
    </row>
    <row r="22" customFormat="false" ht="15" hidden="false" customHeight="false" outlineLevel="0" collapsed="false">
      <c r="A22" s="24" t="str">
        <f aca="false">'Raw Data'!A22</f>
        <v>Nickel</v>
      </c>
      <c r="B22" s="11" t="s">
        <v>129</v>
      </c>
      <c r="C22" s="24" t="str">
        <f aca="false">Assumptions!$C$5</f>
        <v>INR</v>
      </c>
      <c r="D22" s="24" t="str">
        <f aca="false">Assumptions!$C$6</f>
        <v>Jul-25</v>
      </c>
      <c r="E22" s="11" t="n">
        <v>100</v>
      </c>
      <c r="F22" s="27" t="n">
        <f aca="false">IF(Assumptions!$C$5="INR",'INR Normalised'!F22,'Raw Data'!F22)/IF(Assumptions!$C$5="INR",INDEX('INR Normalised'!$F22:$S22,Assumptions!$C$7),INDEX('Raw Data'!$F22:$S22,Assumptions!$C$7))*100</f>
        <v>100</v>
      </c>
      <c r="G22" s="27" t="n">
        <f aca="false">IF(Assumptions!$C$5="INR",'INR Normalised'!G22,'Raw Data'!G22)/IF(Assumptions!$C$5="INR",INDEX('INR Normalised'!$F22:$S22,Assumptions!$C$7),INDEX('Raw Data'!$F22:$S22,Assumptions!$C$7))*100</f>
        <v>100.875809989942</v>
      </c>
      <c r="H22" s="27" t="n">
        <f aca="false">IF(Assumptions!$C$5="INR",'INR Normalised'!H22,'Raw Data'!H22)/IF(Assumptions!$C$5="INR",INDEX('INR Normalised'!$F22:$S22,Assumptions!$C$7),INDEX('Raw Data'!$F22:$S22,Assumptions!$C$7))*100</f>
        <v>103.051150831335</v>
      </c>
      <c r="I22" s="27" t="n">
        <f aca="false">IF(Assumptions!$C$5="INR",'INR Normalised'!I22,'Raw Data'!I22)/IF(Assumptions!$C$5="INR",INDEX('INR Normalised'!$F22:$S22,Assumptions!$C$7),INDEX('Raw Data'!$F22:$S22,Assumptions!$C$7))*100</f>
        <v>103.015425906568</v>
      </c>
      <c r="J22" s="27" t="n">
        <f aca="false">IF(Assumptions!$C$5="INR",'INR Normalised'!J22,'Raw Data'!J22)/IF(Assumptions!$C$5="INR",INDEX('INR Normalised'!$F22:$S22,Assumptions!$C$7),INDEX('Raw Data'!$F22:$S22,Assumptions!$C$7))*100</f>
        <v>100.832663694102</v>
      </c>
      <c r="K22" s="27" t="n">
        <f aca="false">IF(Assumptions!$C$5="INR",'INR Normalised'!K22,'Raw Data'!K22)/IF(Assumptions!$C$5="INR",INDEX('INR Normalised'!$F22:$S22,Assumptions!$C$7),INDEX('Raw Data'!$F22:$S22,Assumptions!$C$7))*100</f>
        <v>103.504072480446</v>
      </c>
      <c r="L22" s="27" t="n">
        <f aca="false">IF(Assumptions!$C$5="INR",'INR Normalised'!L22,'Raw Data'!L22)/IF(Assumptions!$C$5="INR",INDEX('INR Normalised'!$F22:$S22,Assumptions!$C$7),INDEX('Raw Data'!$F22:$S22,Assumptions!$C$7))*100</f>
        <v>125.117683745411</v>
      </c>
      <c r="M22" s="27" t="n">
        <f aca="false">IF(Assumptions!$C$5="INR",'INR Normalised'!M22,'Raw Data'!M22)/IF(Assumptions!$C$5="INR",INDEX('INR Normalised'!$F22:$S22,Assumptions!$C$7),INDEX('Raw Data'!$F22:$S22,Assumptions!$C$7))*100</f>
        <v>120.104622355711</v>
      </c>
      <c r="N22" s="27" t="n">
        <f aca="false">IF(Assumptions!$C$5="INR",'INR Normalised'!N22,'Raw Data'!N22)/IF(Assumptions!$C$5="INR",INDEX('INR Normalised'!$F22:$S22,Assumptions!$C$7),INDEX('Raw Data'!$F22:$S22,Assumptions!$C$7))*100</f>
        <v>122.346376929839</v>
      </c>
      <c r="O22" s="27" t="n">
        <f aca="false">IF(Assumptions!$C$5="INR",'INR Normalised'!O22,'Raw Data'!O22)/IF(Assumptions!$C$5="INR",INDEX('INR Normalised'!$F22:$S22,Assumptions!$C$7),INDEX('Raw Data'!$F22:$S22,Assumptions!$C$7))*100</f>
        <v>130.094763046279</v>
      </c>
      <c r="P22" s="27" t="n">
        <f aca="false">IF(Assumptions!$C$5="INR",'INR Normalised'!P22,'Raw Data'!P22)/IF(Assumptions!$C$5="INR",INDEX('INR Normalised'!$F22:$S22,Assumptions!$C$7),INDEX('Raw Data'!$F22:$S22,Assumptions!$C$7))*100</f>
        <v>138.813999237565</v>
      </c>
      <c r="Q22" s="27" t="n">
        <f aca="false">IF(Assumptions!$C$5="INR",'INR Normalised'!Q22,'Raw Data'!Q22)/IF(Assumptions!$C$5="INR",INDEX('INR Normalised'!$F22:$S22,Assumptions!$C$7),INDEX('Raw Data'!$F22:$S22,Assumptions!$C$7))*100</f>
        <v>129.522847976589</v>
      </c>
      <c r="R22" s="27" t="n">
        <f aca="false">IF(Assumptions!$C$5="INR",'INR Normalised'!R22,'Raw Data'!R22)/IF(Assumptions!$C$5="INR",INDEX('INR Normalised'!$F22:$S22,Assumptions!$C$7),INDEX('Raw Data'!$F22:$S22,Assumptions!$C$7))*100</f>
        <v>123.216673552535</v>
      </c>
      <c r="S22" s="27" t="n">
        <f aca="false">IF(Assumptions!$C$5="INR",'INR Normalised'!S22,'Raw Data'!S22)/IF(Assumptions!$C$5="INR",INDEX('INR Normalised'!$F22:$S22,Assumptions!$C$7),INDEX('Raw Data'!$F22:$S22,Assumptions!$C$7))*100</f>
        <v>123.619540327556</v>
      </c>
      <c r="T22" s="20" t="n">
        <f aca="false">IFERROR(S22/R22-1,"")</f>
        <v>0.003269580028463</v>
      </c>
      <c r="U22" s="20" t="n">
        <f aca="false">IFERROR(S22/F22-1,"")</f>
        <v>0.236195403275562</v>
      </c>
    </row>
    <row r="23" customFormat="false" ht="15" hidden="false" customHeight="false" outlineLevel="0" collapsed="false">
      <c r="A23" s="24" t="str">
        <f aca="false">'Raw Data'!A23</f>
        <v>Zinc</v>
      </c>
      <c r="B23" s="11" t="s">
        <v>129</v>
      </c>
      <c r="C23" s="24" t="str">
        <f aca="false">Assumptions!$C$5</f>
        <v>INR</v>
      </c>
      <c r="D23" s="24" t="str">
        <f aca="false">Assumptions!$C$6</f>
        <v>Jul-25</v>
      </c>
      <c r="E23" s="11" t="n">
        <v>100</v>
      </c>
      <c r="F23" s="27" t="n">
        <f aca="false">IF(Assumptions!$C$5="INR",'INR Normalised'!F23,'Raw Data'!F23)/IF(Assumptions!$C$5="INR",INDEX('INR Normalised'!$F23:$S23,Assumptions!$C$7),INDEX('Raw Data'!$F23:$S23,Assumptions!$C$7))*100</f>
        <v>100</v>
      </c>
      <c r="G23" s="27" t="n">
        <f aca="false">IF(Assumptions!$C$5="INR",'INR Normalised'!G23,'Raw Data'!G23)/IF(Assumptions!$C$5="INR",INDEX('INR Normalised'!$F23:$S23,Assumptions!$C$7),INDEX('Raw Data'!$F23:$S23,Assumptions!$C$7))*100</f>
        <v>102.592418449323</v>
      </c>
      <c r="H23" s="27" t="n">
        <f aca="false">IF(Assumptions!$C$5="INR",'INR Normalised'!H23,'Raw Data'!H23)/IF(Assumptions!$C$5="INR",INDEX('INR Normalised'!$F23:$S23,Assumptions!$C$7),INDEX('Raw Data'!$F23:$S23,Assumptions!$C$7))*100</f>
        <v>108.8757408026</v>
      </c>
      <c r="I23" s="27" t="n">
        <f aca="false">IF(Assumptions!$C$5="INR",'INR Normalised'!I23,'Raw Data'!I23)/IF(Assumptions!$C$5="INR",INDEX('INR Normalised'!$F23:$S23,Assumptions!$C$7),INDEX('Raw Data'!$F23:$S23,Assumptions!$C$7))*100</f>
        <v>117.148910822469</v>
      </c>
      <c r="J23" s="27" t="n">
        <f aca="false">IF(Assumptions!$C$5="INR",'INR Normalised'!J23,'Raw Data'!J23)/IF(Assumptions!$C$5="INR",INDEX('INR Normalised'!$F23:$S23,Assumptions!$C$7),INDEX('Raw Data'!$F23:$S23,Assumptions!$C$7))*100</f>
        <v>119.14664844444</v>
      </c>
      <c r="K23" s="27" t="n">
        <f aca="false">IF(Assumptions!$C$5="INR",'INR Normalised'!K23,'Raw Data'!K23)/IF(Assumptions!$C$5="INR",INDEX('INR Normalised'!$F23:$S23,Assumptions!$C$7),INDEX('Raw Data'!$F23:$S23,Assumptions!$C$7))*100</f>
        <v>119.696238975236</v>
      </c>
      <c r="L23" s="27" t="n">
        <f aca="false">IF(Assumptions!$C$5="INR",'INR Normalised'!L23,'Raw Data'!L23)/IF(Assumptions!$C$5="INR",INDEX('INR Normalised'!$F23:$S23,Assumptions!$C$7),INDEX('Raw Data'!$F23:$S23,Assumptions!$C$7))*100</f>
        <v>122.95733720452</v>
      </c>
      <c r="M23" s="27" t="n">
        <f aca="false">IF(Assumptions!$C$5="INR",'INR Normalised'!M23,'Raw Data'!M23)/IF(Assumptions!$C$5="INR",INDEX('INR Normalised'!$F23:$S23,Assumptions!$C$7),INDEX('Raw Data'!$F23:$S23,Assumptions!$C$7))*100</f>
        <v>126.770796687513</v>
      </c>
      <c r="N23" s="27" t="n">
        <f aca="false">IF(Assumptions!$C$5="INR",'INR Normalised'!N23,'Raw Data'!N23)/IF(Assumptions!$C$5="INR",INDEX('INR Normalised'!$F23:$S23,Assumptions!$C$7),INDEX('Raw Data'!$F23:$S23,Assumptions!$C$7))*100</f>
        <v>124.256052119154</v>
      </c>
      <c r="O23" s="27" t="n">
        <f aca="false">IF(Assumptions!$C$5="INR",'INR Normalised'!O23,'Raw Data'!O23)/IF(Assumptions!$C$5="INR",INDEX('INR Normalised'!$F23:$S23,Assumptions!$C$7),INDEX('Raw Data'!$F23:$S23,Assumptions!$C$7))*100</f>
        <v>132.263055075333</v>
      </c>
      <c r="P23" s="27" t="n">
        <f aca="false">IF(Assumptions!$C$5="INR",'INR Normalised'!P23,'Raw Data'!P23)/IF(Assumptions!$C$5="INR",INDEX('INR Normalised'!$F23:$S23,Assumptions!$C$7),INDEX('Raw Data'!$F23:$S23,Assumptions!$C$7))*100</f>
        <v>140.218859018311</v>
      </c>
      <c r="Q23" s="27" t="n">
        <f aca="false">IF(Assumptions!$C$5="INR",'INR Normalised'!Q23,'Raw Data'!Q23)/IF(Assumptions!$C$5="INR",INDEX('INR Normalised'!$F23:$S23,Assumptions!$C$7),INDEX('Raw Data'!$F23:$S23,Assumptions!$C$7))*100</f>
        <v>141.373987948308</v>
      </c>
      <c r="R23" s="27" t="n">
        <f aca="false">IF(Assumptions!$C$5="INR",'INR Normalised'!R23,'Raw Data'!R23)/IF(Assumptions!$C$5="INR",INDEX('INR Normalised'!$F23:$S23,Assumptions!$C$7),INDEX('Raw Data'!$F23:$S23,Assumptions!$C$7))*100</f>
        <v>144.856886977932</v>
      </c>
      <c r="S23" s="27" t="n">
        <f aca="false">IF(Assumptions!$C$5="INR",'INR Normalised'!S23,'Raw Data'!S23)/IF(Assumptions!$C$5="INR",INDEX('INR Normalised'!$F23:$S23,Assumptions!$C$7),INDEX('Raw Data'!$F23:$S23,Assumptions!$C$7))*100</f>
        <v>155.593295716715</v>
      </c>
      <c r="T23" s="20" t="n">
        <f aca="false">IFERROR(S23/R23-1,"")</f>
        <v>0.0741173510129263</v>
      </c>
      <c r="U23" s="20" t="n">
        <f aca="false">IFERROR(S23/F23-1,"")</f>
        <v>0.555932957167149</v>
      </c>
    </row>
    <row r="24" customFormat="false" ht="15" hidden="false" customHeight="false" outlineLevel="0" collapsed="false">
      <c r="A24" s="17" t="s">
        <v>134</v>
      </c>
      <c r="B24" s="18"/>
      <c r="C24" s="18"/>
      <c r="D24" s="18"/>
      <c r="E24" s="18"/>
      <c r="F24" s="18"/>
      <c r="G24" s="18"/>
      <c r="H24" s="18"/>
      <c r="I24" s="18"/>
      <c r="J24" s="18"/>
      <c r="K24" s="18"/>
      <c r="L24" s="18"/>
      <c r="M24" s="18"/>
      <c r="N24" s="18"/>
      <c r="O24" s="18"/>
      <c r="P24" s="18"/>
      <c r="Q24" s="18"/>
      <c r="R24" s="18"/>
      <c r="S24" s="18"/>
      <c r="T24" s="18"/>
      <c r="U24" s="18"/>
      <c r="V24" s="18"/>
    </row>
    <row r="25" customFormat="false" ht="15" hidden="false" customHeight="false" outlineLevel="0" collapsed="false">
      <c r="A25" s="24" t="str">
        <f aca="false">'Raw Data'!A25</f>
        <v>Platinum</v>
      </c>
      <c r="B25" s="11" t="s">
        <v>136</v>
      </c>
      <c r="C25" s="24" t="str">
        <f aca="false">Assumptions!$C$5</f>
        <v>INR</v>
      </c>
      <c r="D25" s="24" t="str">
        <f aca="false">Assumptions!$C$6</f>
        <v>Jul-25</v>
      </c>
      <c r="E25" s="11" t="n">
        <v>100</v>
      </c>
      <c r="F25" s="27" t="n">
        <f aca="false">IF(Assumptions!$C$5="INR",'INR Normalised'!F25,'Raw Data'!F25)/IF(Assumptions!$C$5="INR",INDEX('INR Normalised'!$F25:$S25,Assumptions!$C$7),INDEX('Raw Data'!$F25:$S25,Assumptions!$C$7))*100</f>
        <v>100</v>
      </c>
      <c r="G25" s="27" t="n">
        <f aca="false">IF(Assumptions!$C$5="INR",'INR Normalised'!G25,'Raw Data'!G25)/IF(Assumptions!$C$5="INR",INDEX('INR Normalised'!$F25:$S25,Assumptions!$C$7),INDEX('Raw Data'!$F25:$S25,Assumptions!$C$7))*100</f>
        <v>97.4480102563575</v>
      </c>
      <c r="H25" s="27" t="n">
        <f aca="false">IF(Assumptions!$C$5="INR",'INR Normalised'!H25,'Raw Data'!H25)/IF(Assumptions!$C$5="INR",INDEX('INR Normalised'!$F25:$S25,Assumptions!$C$7),INDEX('Raw Data'!$F25:$S25,Assumptions!$C$7))*100</f>
        <v>105.534416978597</v>
      </c>
      <c r="I25" s="27" t="n">
        <f aca="false">IF(Assumptions!$C$5="INR",'INR Normalised'!I25,'Raw Data'!I25)/IF(Assumptions!$C$5="INR",INDEX('INR Normalised'!$F25:$S25,Assumptions!$C$7),INDEX('Raw Data'!$F25:$S25,Assumptions!$C$7))*100</f>
        <v>119.180212232457</v>
      </c>
      <c r="J25" s="27" t="n">
        <f aca="false">IF(Assumptions!$C$5="INR",'INR Normalised'!J25,'Raw Data'!J25)/IF(Assumptions!$C$5="INR",INDEX('INR Normalised'!$F25:$S25,Assumptions!$C$7),INDEX('Raw Data'!$F25:$S25,Assumptions!$C$7))*100</f>
        <v>116.517523851695</v>
      </c>
      <c r="K25" s="27" t="n">
        <f aca="false">IF(Assumptions!$C$5="INR",'INR Normalised'!K25,'Raw Data'!K25)/IF(Assumptions!$C$5="INR",INDEX('INR Normalised'!$F25:$S25,Assumptions!$C$7),INDEX('Raw Data'!$F25:$S25,Assumptions!$C$7))*100</f>
        <v>139.516066748704</v>
      </c>
      <c r="L25" s="27" t="n">
        <f aca="false">IF(Assumptions!$C$5="INR",'INR Normalised'!L25,'Raw Data'!L25)/IF(Assumptions!$C$5="INR",INDEX('INR Normalised'!$F25:$S25,Assumptions!$C$7),INDEX('Raw Data'!$F25:$S25,Assumptions!$C$7))*100</f>
        <v>183.82667167814</v>
      </c>
      <c r="M25" s="27" t="n">
        <f aca="false">IF(Assumptions!$C$5="INR",'INR Normalised'!M25,'Raw Data'!M25)/IF(Assumptions!$C$5="INR",INDEX('INR Normalised'!$F25:$S25,Assumptions!$C$7),INDEX('Raw Data'!$F25:$S25,Assumptions!$C$7))*100</f>
        <v>162.210574551671</v>
      </c>
      <c r="N25" s="27" t="n">
        <f aca="false">IF(Assumptions!$C$5="INR",'INR Normalised'!N25,'Raw Data'!N25)/IF(Assumptions!$C$5="INR",INDEX('INR Normalised'!$F25:$S25,Assumptions!$C$7),INDEX('Raw Data'!$F25:$S25,Assumptions!$C$7))*100</f>
        <v>159.509012928571</v>
      </c>
      <c r="O25" s="27" t="n">
        <f aca="false">IF(Assumptions!$C$5="INR",'INR Normalised'!O25,'Raw Data'!O25)/IF(Assumptions!$C$5="INR",INDEX('INR Normalised'!$F25:$S25,Assumptions!$C$7),INDEX('Raw Data'!$F25:$S25,Assumptions!$C$7))*100</f>
        <v>158.316814350662</v>
      </c>
      <c r="P25" s="27" t="n">
        <f aca="false">IF(Assumptions!$C$5="INR",'INR Normalised'!P25,'Raw Data'!P25)/IF(Assumptions!$C$5="INR",INDEX('INR Normalised'!$F25:$S25,Assumptions!$C$7),INDEX('Raw Data'!$F25:$S25,Assumptions!$C$7))*100</f>
        <v>159.327003774051</v>
      </c>
      <c r="Q25" s="27" t="n">
        <f aca="false">IF(Assumptions!$C$5="INR",'INR Normalised'!Q25,'Raw Data'!Q25)/IF(Assumptions!$C$5="INR",INDEX('INR Normalised'!$F25:$S25,Assumptions!$C$7),INDEX('Raw Data'!$F25:$S25,Assumptions!$C$7))*100</f>
        <v>138.298381740389</v>
      </c>
      <c r="R25" s="27" t="n">
        <f aca="false">IF(Assumptions!$C$5="INR",'INR Normalised'!R25,'Raw Data'!R25)/IF(Assumptions!$C$5="INR",INDEX('INR Normalised'!$F25:$S25,Assumptions!$C$7),INDEX('Raw Data'!$F25:$S25,Assumptions!$C$7))*100</f>
        <v>129.779992894692</v>
      </c>
      <c r="S25" s="27" t="n">
        <f aca="false">IF(Assumptions!$C$5="INR",'INR Normalised'!S25,'Raw Data'!S25)/IF(Assumptions!$C$5="INR",INDEX('INR Normalised'!$F25:$S25,Assumptions!$C$7),INDEX('Raw Data'!$F25:$S25,Assumptions!$C$7))*100</f>
        <v>141.65744178024</v>
      </c>
      <c r="T25" s="20" t="n">
        <f aca="false">IFERROR(S25/R25-1,"")</f>
        <v>0.0915198762199478</v>
      </c>
      <c r="U25" s="20" t="n">
        <f aca="false">IFERROR(S25/F25-1,"")</f>
        <v>0.4165744178024</v>
      </c>
    </row>
    <row r="26" customFormat="false" ht="15" hidden="false" customHeight="false" outlineLevel="0" collapsed="false">
      <c r="A26" s="24" t="str">
        <f aca="false">'Raw Data'!A26</f>
        <v>Palladium</v>
      </c>
      <c r="B26" s="11" t="s">
        <v>136</v>
      </c>
      <c r="C26" s="24" t="str">
        <f aca="false">Assumptions!$C$5</f>
        <v>INR</v>
      </c>
      <c r="D26" s="24" t="str">
        <f aca="false">Assumptions!$C$6</f>
        <v>Jul-25</v>
      </c>
      <c r="E26" s="11" t="n">
        <v>100</v>
      </c>
      <c r="F26" s="27" t="n">
        <f aca="false">IF(Assumptions!$C$5="INR",'INR Normalised'!F26,'Raw Data'!F26)/IF(Assumptions!$C$5="INR",INDEX('INR Normalised'!$F26:$S26,Assumptions!$C$7),INDEX('Raw Data'!$F26:$S26,Assumptions!$C$7))*100</f>
        <v>100</v>
      </c>
      <c r="G26" s="27" t="n">
        <f aca="false">IF(Assumptions!$C$5="INR",'INR Normalised'!G26,'Raw Data'!G26)/IF(Assumptions!$C$5="INR",INDEX('INR Normalised'!$F26:$S26,Assumptions!$C$7),INDEX('Raw Data'!$F26:$S26,Assumptions!$C$7))*100</f>
        <v>96.5021674985605</v>
      </c>
      <c r="H26" s="27" t="n">
        <f aca="false">IF(Assumptions!$C$5="INR",'INR Normalised'!H26,'Raw Data'!H26)/IF(Assumptions!$C$5="INR",INDEX('INR Normalised'!$F26:$S26,Assumptions!$C$7),INDEX('Raw Data'!$F26:$S26,Assumptions!$C$7))*100</f>
        <v>100.956205490201</v>
      </c>
      <c r="I26" s="27" t="n">
        <f aca="false">IF(Assumptions!$C$5="INR",'INR Normalised'!I26,'Raw Data'!I26)/IF(Assumptions!$C$5="INR",INDEX('INR Normalised'!$F26:$S26,Assumptions!$C$7),INDEX('Raw Data'!$F26:$S26,Assumptions!$C$7))*100</f>
        <v>121.03711748051</v>
      </c>
      <c r="J26" s="27" t="n">
        <f aca="false">IF(Assumptions!$C$5="INR",'INR Normalised'!J26,'Raw Data'!J26)/IF(Assumptions!$C$5="INR",INDEX('INR Normalised'!$F26:$S26,Assumptions!$C$7),INDEX('Raw Data'!$F26:$S26,Assumptions!$C$7))*100</f>
        <v>121.985267573446</v>
      </c>
      <c r="K26" s="27" t="n">
        <f aca="false">IF(Assumptions!$C$5="INR",'INR Normalised'!K26,'Raw Data'!K26)/IF(Assumptions!$C$5="INR",INDEX('INR Normalised'!$F26:$S26,Assumptions!$C$7),INDEX('Raw Data'!$F26:$S26,Assumptions!$C$7))*100</f>
        <v>137.63451767563</v>
      </c>
      <c r="L26" s="27" t="n">
        <f aca="false">IF(Assumptions!$C$5="INR",'INR Normalised'!L26,'Raw Data'!L26)/IF(Assumptions!$C$5="INR",INDEX('INR Normalised'!$F26:$S26,Assumptions!$C$7),INDEX('Raw Data'!$F26:$S26,Assumptions!$C$7))*100</f>
        <v>162.287911832185</v>
      </c>
      <c r="M26" s="27" t="n">
        <f aca="false">IF(Assumptions!$C$5="INR",'INR Normalised'!M26,'Raw Data'!M26)/IF(Assumptions!$C$5="INR",INDEX('INR Normalised'!$F26:$S26,Assumptions!$C$7),INDEX('Raw Data'!$F26:$S26,Assumptions!$C$7))*100</f>
        <v>152.601445794635</v>
      </c>
      <c r="N26" s="27" t="n">
        <f aca="false">IF(Assumptions!$C$5="INR",'INR Normalised'!N26,'Raw Data'!N26)/IF(Assumptions!$C$5="INR",INDEX('INR Normalised'!$F26:$S26,Assumptions!$C$7),INDEX('Raw Data'!$F26:$S26,Assumptions!$C$7))*100</f>
        <v>140.586074903261</v>
      </c>
      <c r="O26" s="27" t="n">
        <f aca="false">IF(Assumptions!$C$5="INR",'INR Normalised'!O26,'Raw Data'!O26)/IF(Assumptions!$C$5="INR",INDEX('INR Normalised'!$F26:$S26,Assumptions!$C$7),INDEX('Raw Data'!$F26:$S26,Assumptions!$C$7))*100</f>
        <v>138.204064097094</v>
      </c>
      <c r="P26" s="27" t="n">
        <f aca="false">IF(Assumptions!$C$5="INR",'INR Normalised'!P26,'Raw Data'!P26)/IF(Assumptions!$C$5="INR",INDEX('INR Normalised'!$F26:$S26,Assumptions!$C$7),INDEX('Raw Data'!$F26:$S26,Assumptions!$C$7))*100</f>
        <v>133.636653847646</v>
      </c>
      <c r="Q26" s="27" t="n">
        <f aca="false">IF(Assumptions!$C$5="INR",'INR Normalised'!Q26,'Raw Data'!Q26)/IF(Assumptions!$C$5="INR",INDEX('INR Normalised'!$F26:$S26,Assumptions!$C$7),INDEX('Raw Data'!$F26:$S26,Assumptions!$C$7))*100</f>
        <v>118.192965549751</v>
      </c>
      <c r="R26" s="27" t="n">
        <f aca="false">IF(Assumptions!$C$5="INR",'INR Normalised'!R26,'Raw Data'!R26)/IF(Assumptions!$C$5="INR",INDEX('INR Normalised'!$F26:$S26,Assumptions!$C$7),INDEX('Raw Data'!$F26:$S26,Assumptions!$C$7))*100</f>
        <v>118.033647692725</v>
      </c>
      <c r="S26" s="27" t="n">
        <f aca="false">IF(Assumptions!$C$5="INR",'INR Normalised'!S26,'Raw Data'!S26)/IF(Assumptions!$C$5="INR",INDEX('INR Normalised'!$F26:$S26,Assumptions!$C$7),INDEX('Raw Data'!$F26:$S26,Assumptions!$C$7))*100</f>
        <v>124.369068467893</v>
      </c>
      <c r="T26" s="20" t="n">
        <f aca="false">IFERROR(S26/R26-1,"")</f>
        <v>0.0536747012314724</v>
      </c>
      <c r="U26" s="20" t="n">
        <f aca="false">IFERROR(S26/F26-1,"")</f>
        <v>0.243690684678933</v>
      </c>
    </row>
    <row r="27" customFormat="false" ht="15" hidden="false" customHeight="false" outlineLevel="0" collapsed="false">
      <c r="A27" s="24" t="str">
        <f aca="false">'Raw Data'!A27</f>
        <v>Rhodium</v>
      </c>
      <c r="B27" s="11" t="s">
        <v>136</v>
      </c>
      <c r="C27" s="24" t="str">
        <f aca="false">Assumptions!$C$5</f>
        <v>INR</v>
      </c>
      <c r="D27" s="24" t="str">
        <f aca="false">Assumptions!$C$6</f>
        <v>Jul-25</v>
      </c>
      <c r="E27" s="11" t="n">
        <v>100</v>
      </c>
      <c r="F27" s="27" t="n">
        <f aca="false">IF(Assumptions!$C$5="INR",'INR Normalised'!F27,'Raw Data'!F27)/IF(Assumptions!$C$5="INR",INDEX('INR Normalised'!$F27:$S27,Assumptions!$C$7),INDEX('Raw Data'!$F27:$S27,Assumptions!$C$7))*100</f>
        <v>100</v>
      </c>
      <c r="G27" s="27" t="n">
        <f aca="false">IF(Assumptions!$C$5="INR",'INR Normalised'!G27,'Raw Data'!G27)/IF(Assumptions!$C$5="INR",INDEX('INR Normalised'!$F27:$S27,Assumptions!$C$7),INDEX('Raw Data'!$F27:$S27,Assumptions!$C$7))*100</f>
        <v>123.934692078666</v>
      </c>
      <c r="H27" s="27" t="n">
        <f aca="false">IF(Assumptions!$C$5="INR",'INR Normalised'!H27,'Raw Data'!H27)/IF(Assumptions!$C$5="INR",INDEX('INR Normalised'!$F27:$S27,Assumptions!$C$7),INDEX('Raw Data'!$F27:$S27,Assumptions!$C$7))*100</f>
        <v>123.414159627111</v>
      </c>
      <c r="I27" s="27" t="n">
        <f aca="false">IF(Assumptions!$C$5="INR",'INR Normalised'!I27,'Raw Data'!I27)/IF(Assumptions!$C$5="INR",INDEX('INR Normalised'!$F27:$S27,Assumptions!$C$7),INDEX('Raw Data'!$F27:$S27,Assumptions!$C$7))*100</f>
        <v>131.428021824499</v>
      </c>
      <c r="J27" s="27" t="n">
        <f aca="false">IF(Assumptions!$C$5="INR",'INR Normalised'!J27,'Raw Data'!J27)/IF(Assumptions!$C$5="INR",INDEX('INR Normalised'!$F27:$S27,Assumptions!$C$7),INDEX('Raw Data'!$F27:$S27,Assumptions!$C$7))*100</f>
        <v>139.370661595468</v>
      </c>
      <c r="K27" s="27" t="n">
        <f aca="false">IF(Assumptions!$C$5="INR",'INR Normalised'!K27,'Raw Data'!K27)/IF(Assumptions!$C$5="INR",INDEX('INR Normalised'!$F27:$S27,Assumptions!$C$7),INDEX('Raw Data'!$F27:$S27,Assumptions!$C$7))*100</f>
        <v>143.195792885184</v>
      </c>
      <c r="L27" s="27" t="n">
        <f aca="false">IF(Assumptions!$C$5="INR",'INR Normalised'!L27,'Raw Data'!L27)/IF(Assumptions!$C$5="INR",INDEX('INR Normalised'!$F27:$S27,Assumptions!$C$7),INDEX('Raw Data'!$F27:$S27,Assumptions!$C$7))*100</f>
        <v>180.057781476203</v>
      </c>
      <c r="M27" s="27" t="n">
        <f aca="false">IF(Assumptions!$C$5="INR",'INR Normalised'!M27,'Raw Data'!M27)/IF(Assumptions!$C$5="INR",INDEX('INR Normalised'!$F27:$S27,Assumptions!$C$7),INDEX('Raw Data'!$F27:$S27,Assumptions!$C$7))*100</f>
        <v>194.307319291355</v>
      </c>
      <c r="N27" s="27" t="n">
        <f aca="false">IF(Assumptions!$C$5="INR",'INR Normalised'!N27,'Raw Data'!N27)/IF(Assumptions!$C$5="INR",INDEX('INR Normalised'!$F27:$S27,Assumptions!$C$7),INDEX('Raw Data'!$F27:$S27,Assumptions!$C$7))*100</f>
        <v>205.062331797891</v>
      </c>
      <c r="O27" s="27" t="n">
        <f aca="false">IF(Assumptions!$C$5="INR",'INR Normalised'!O27,'Raw Data'!O27)/IF(Assumptions!$C$5="INR",INDEX('INR Normalised'!$F27:$S27,Assumptions!$C$7),INDEX('Raw Data'!$F27:$S27,Assumptions!$C$7))*100</f>
        <v>184.371973427339</v>
      </c>
      <c r="P27" s="27" t="n">
        <f aca="false">IF(Assumptions!$C$5="INR",'INR Normalised'!P27,'Raw Data'!P27)/IF(Assumptions!$C$5="INR",INDEX('INR Normalised'!$F27:$S27,Assumptions!$C$7),INDEX('Raw Data'!$F27:$S27,Assumptions!$C$7))*100</f>
        <v>181.938114407566</v>
      </c>
      <c r="Q27" s="27" t="n">
        <f aca="false">IF(Assumptions!$C$5="INR",'INR Normalised'!Q27,'Raw Data'!Q27)/IF(Assumptions!$C$5="INR",INDEX('INR Normalised'!$F27:$S27,Assumptions!$C$7),INDEX('Raw Data'!$F27:$S27,Assumptions!$C$7))*100</f>
        <v>149.651344916819</v>
      </c>
      <c r="R27" s="27" t="n">
        <f aca="false">IF(Assumptions!$C$5="INR",'INR Normalised'!R27,'Raw Data'!R27)/IF(Assumptions!$C$5="INR",INDEX('INR Normalised'!$F27:$S27,Assumptions!$C$7),INDEX('Raw Data'!$F27:$S27,Assumptions!$C$7))*100</f>
        <v>153.104415120825</v>
      </c>
      <c r="S27" s="27" t="n">
        <f aca="false">IF(Assumptions!$C$5="INR",'INR Normalised'!S27,'Raw Data'!S27)/IF(Assumptions!$C$5="INR",INDEX('INR Normalised'!$F27:$S27,Assumptions!$C$7),INDEX('Raw Data'!$F27:$S27,Assumptions!$C$7))*100</f>
        <v>162.300873966133</v>
      </c>
      <c r="T27" s="20" t="n">
        <f aca="false">IFERROR(S27/R27-1,"")</f>
        <v>0.0600665816073978</v>
      </c>
      <c r="U27" s="20" t="n">
        <f aca="false">IFERROR(S27/F27-1,"")</f>
        <v>0.623008739661334</v>
      </c>
    </row>
    <row r="28" customFormat="false" ht="15" hidden="false" customHeight="false" outlineLevel="0" collapsed="false">
      <c r="A28" s="17" t="s">
        <v>140</v>
      </c>
      <c r="B28" s="18"/>
      <c r="C28" s="18"/>
      <c r="D28" s="18"/>
      <c r="E28" s="18"/>
      <c r="F28" s="18"/>
      <c r="G28" s="18"/>
      <c r="H28" s="18"/>
      <c r="I28" s="18"/>
      <c r="J28" s="18"/>
      <c r="K28" s="18"/>
      <c r="L28" s="18"/>
      <c r="M28" s="18"/>
      <c r="N28" s="18"/>
      <c r="O28" s="18"/>
      <c r="P28" s="18"/>
      <c r="Q28" s="18"/>
      <c r="R28" s="18"/>
      <c r="S28" s="18"/>
      <c r="T28" s="18"/>
      <c r="U28" s="18"/>
      <c r="V28" s="18"/>
    </row>
    <row r="29" customFormat="false" ht="15" hidden="false" customHeight="false" outlineLevel="0" collapsed="false">
      <c r="A29" s="24" t="str">
        <f aca="false">'Raw Data'!A29</f>
        <v>Polypropylene (PP)</v>
      </c>
      <c r="B29" s="11" t="s">
        <v>142</v>
      </c>
      <c r="C29" s="24" t="str">
        <f aca="false">Assumptions!$C$5</f>
        <v>INR</v>
      </c>
      <c r="D29" s="24" t="str">
        <f aca="false">Assumptions!$C$6</f>
        <v>Jul-25</v>
      </c>
      <c r="E29" s="11" t="n">
        <v>100</v>
      </c>
      <c r="F29" s="27" t="n">
        <f aca="false">IF(Assumptions!$C$5="INR",'INR Normalised'!F29,'Raw Data'!F29)/IF(Assumptions!$C$5="INR",INDEX('INR Normalised'!$F29:$S29,Assumptions!$C$7),INDEX('Raw Data'!$F29:$S29,Assumptions!$C$7))*100</f>
        <v>100</v>
      </c>
      <c r="G29" s="27" t="n">
        <f aca="false">IF(Assumptions!$C$5="INR",'INR Normalised'!G29,'Raw Data'!G29)/IF(Assumptions!$C$5="INR",INDEX('INR Normalised'!$F29:$S29,Assumptions!$C$7),INDEX('Raw Data'!$F29:$S29,Assumptions!$C$7))*100</f>
        <v>100.5</v>
      </c>
      <c r="H29" s="27" t="n">
        <f aca="false">IF(Assumptions!$C$5="INR",'INR Normalised'!H29,'Raw Data'!H29)/IF(Assumptions!$C$5="INR",INDEX('INR Normalised'!$F29:$S29,Assumptions!$C$7),INDEX('Raw Data'!$F29:$S29,Assumptions!$C$7))*100</f>
        <v>99.3</v>
      </c>
      <c r="I29" s="27" t="n">
        <f aca="false">IF(Assumptions!$C$5="INR",'INR Normalised'!I29,'Raw Data'!I29)/IF(Assumptions!$C$5="INR",INDEX('INR Normalised'!$F29:$S29,Assumptions!$C$7),INDEX('Raw Data'!$F29:$S29,Assumptions!$C$7))*100</f>
        <v>99.4</v>
      </c>
      <c r="J29" s="27" t="n">
        <f aca="false">IF(Assumptions!$C$5="INR",'INR Normalised'!J29,'Raw Data'!J29)/IF(Assumptions!$C$5="INR",INDEX('INR Normalised'!$F29:$S29,Assumptions!$C$7),INDEX('Raw Data'!$F29:$S29,Assumptions!$C$7))*100</f>
        <v>95.2</v>
      </c>
      <c r="K29" s="27" t="n">
        <f aca="false">IF(Assumptions!$C$5="INR",'INR Normalised'!K29,'Raw Data'!K29)/IF(Assumptions!$C$5="INR",INDEX('INR Normalised'!$F29:$S29,Assumptions!$C$7),INDEX('Raw Data'!$F29:$S29,Assumptions!$C$7))*100</f>
        <v>94.3</v>
      </c>
      <c r="L29" s="27" t="n">
        <f aca="false">IF(Assumptions!$C$5="INR",'INR Normalised'!L29,'Raw Data'!L29)/IF(Assumptions!$C$5="INR",INDEX('INR Normalised'!$F29:$S29,Assumptions!$C$7),INDEX('Raw Data'!$F29:$S29,Assumptions!$C$7))*100</f>
        <v>96.5</v>
      </c>
      <c r="M29" s="27" t="n">
        <f aca="false">IF(Assumptions!$C$5="INR",'INR Normalised'!M29,'Raw Data'!M29)/IF(Assumptions!$C$5="INR",INDEX('INR Normalised'!$F29:$S29,Assumptions!$C$7),INDEX('Raw Data'!$F29:$S29,Assumptions!$C$7))*100</f>
        <v>98.2</v>
      </c>
      <c r="N29" s="27" t="n">
        <f aca="false">IF(Assumptions!$C$5="INR",'INR Normalised'!N29,'Raw Data'!N29)/IF(Assumptions!$C$5="INR",INDEX('INR Normalised'!$F29:$S29,Assumptions!$C$7),INDEX('Raw Data'!$F29:$S29,Assumptions!$C$7))*100</f>
        <v>136.2</v>
      </c>
      <c r="O29" s="27" t="n">
        <f aca="false">IF(Assumptions!$C$5="INR",'INR Normalised'!O29,'Raw Data'!O29)/IF(Assumptions!$C$5="INR",INDEX('INR Normalised'!$F29:$S29,Assumptions!$C$7),INDEX('Raw Data'!$F29:$S29,Assumptions!$C$7))*100</f>
        <v>137.5</v>
      </c>
      <c r="P29" s="27" t="n">
        <f aca="false">IF(Assumptions!$C$5="INR",'INR Normalised'!P29,'Raw Data'!P29)/IF(Assumptions!$C$5="INR",INDEX('INR Normalised'!$F29:$S29,Assumptions!$C$7),INDEX('Raw Data'!$F29:$S29,Assumptions!$C$7))*100</f>
        <v>129.9</v>
      </c>
      <c r="Q29" s="27" t="n">
        <f aca="false">IF(Assumptions!$C$5="INR",'INR Normalised'!Q29,'Raw Data'!Q29)/IF(Assumptions!$C$5="INR",INDEX('INR Normalised'!$F29:$S29,Assumptions!$C$7),INDEX('Raw Data'!$F29:$S29,Assumptions!$C$7))*100</f>
        <v>133</v>
      </c>
      <c r="R29" s="27" t="n">
        <f aca="false">IF(Assumptions!$C$5="INR",'INR Normalised'!R29,'Raw Data'!R29)/IF(Assumptions!$C$5="INR",INDEX('INR Normalised'!$F29:$S29,Assumptions!$C$7),INDEX('Raw Data'!$F29:$S29,Assumptions!$C$7))*100</f>
        <v>131.5</v>
      </c>
      <c r="S29" s="27" t="n">
        <f aca="false">IF(Assumptions!$C$5="INR",'INR Normalised'!S29,'Raw Data'!S29)/IF(Assumptions!$C$5="INR",INDEX('INR Normalised'!$F29:$S29,Assumptions!$C$7),INDEX('Raw Data'!$F29:$S29,Assumptions!$C$7))*100</f>
        <v>134.4</v>
      </c>
      <c r="T29" s="20" t="n">
        <f aca="false">IFERROR(S29/R29-1,"")</f>
        <v>0.0220532319391635</v>
      </c>
      <c r="U29" s="20" t="n">
        <f aca="false">IFERROR(S29/F29-1,"")</f>
        <v>0.344</v>
      </c>
    </row>
    <row r="30" customFormat="false" ht="15" hidden="false" customHeight="false" outlineLevel="0" collapsed="false">
      <c r="A30" s="24" t="str">
        <f aca="false">'Raw Data'!A30</f>
        <v>ABS</v>
      </c>
      <c r="B30" s="11" t="s">
        <v>142</v>
      </c>
      <c r="C30" s="24" t="str">
        <f aca="false">Assumptions!$C$5</f>
        <v>INR</v>
      </c>
      <c r="D30" s="24" t="str">
        <f aca="false">Assumptions!$C$6</f>
        <v>Jul-25</v>
      </c>
      <c r="E30" s="11" t="n">
        <v>100</v>
      </c>
      <c r="F30" s="27" t="n">
        <f aca="false">IF(Assumptions!$C$5="INR",'INR Normalised'!F30,'Raw Data'!F30)/IF(Assumptions!$C$5="INR",INDEX('INR Normalised'!$F30:$S30,Assumptions!$C$7),INDEX('Raw Data'!$F30:$S30,Assumptions!$C$7))*100</f>
        <v>100</v>
      </c>
      <c r="G30" s="27" t="n">
        <f aca="false">IF(Assumptions!$C$5="INR",'INR Normalised'!G30,'Raw Data'!G30)/IF(Assumptions!$C$5="INR",INDEX('INR Normalised'!$F30:$S30,Assumptions!$C$7),INDEX('Raw Data'!$F30:$S30,Assumptions!$C$7))*100</f>
        <v>99.6605566870333</v>
      </c>
      <c r="H30" s="27" t="n">
        <f aca="false">IF(Assumptions!$C$5="INR",'INR Normalised'!H30,'Raw Data'!H30)/IF(Assumptions!$C$5="INR",INDEX('INR Normalised'!$F30:$S30,Assumptions!$C$7),INDEX('Raw Data'!$F30:$S30,Assumptions!$C$7))*100</f>
        <v>97.1486761710794</v>
      </c>
      <c r="I30" s="27" t="n">
        <f aca="false">IF(Assumptions!$C$5="INR",'INR Normalised'!I30,'Raw Data'!I30)/IF(Assumptions!$C$5="INR",INDEX('INR Normalised'!$F30:$S30,Assumptions!$C$7),INDEX('Raw Data'!$F30:$S30,Assumptions!$C$7))*100</f>
        <v>93.4147997284454</v>
      </c>
      <c r="J30" s="27" t="n">
        <f aca="false">IF(Assumptions!$C$5="INR",'INR Normalised'!J30,'Raw Data'!J30)/IF(Assumptions!$C$5="INR",INDEX('INR Normalised'!$F30:$S30,Assumptions!$C$7),INDEX('Raw Data'!$F30:$S30,Assumptions!$C$7))*100</f>
        <v>88.7304820095044</v>
      </c>
      <c r="K30" s="27" t="n">
        <f aca="false">IF(Assumptions!$C$5="INR",'INR Normalised'!K30,'Raw Data'!K30)/IF(Assumptions!$C$5="INR",INDEX('INR Normalised'!$F30:$S30,Assumptions!$C$7),INDEX('Raw Data'!$F30:$S30,Assumptions!$C$7))*100</f>
        <v>84.2498302783435</v>
      </c>
      <c r="L30" s="27" t="n">
        <f aca="false">IF(Assumptions!$C$5="INR",'INR Normalised'!L30,'Raw Data'!L30)/IF(Assumptions!$C$5="INR",INDEX('INR Normalised'!$F30:$S30,Assumptions!$C$7),INDEX('Raw Data'!$F30:$S30,Assumptions!$C$7))*100</f>
        <v>85.8112695179905</v>
      </c>
      <c r="M30" s="27" t="n">
        <f aca="false">IF(Assumptions!$C$5="INR",'INR Normalised'!M30,'Raw Data'!M30)/IF(Assumptions!$C$5="INR",INDEX('INR Normalised'!$F30:$S30,Assumptions!$C$7),INDEX('Raw Data'!$F30:$S30,Assumptions!$C$7))*100</f>
        <v>88.6625933469111</v>
      </c>
      <c r="N30" s="27" t="n">
        <f aca="false">IF(Assumptions!$C$5="INR",'INR Normalised'!N30,'Raw Data'!N30)/IF(Assumptions!$C$5="INR",INDEX('INR Normalised'!$F30:$S30,Assumptions!$C$7),INDEX('Raw Data'!$F30:$S30,Assumptions!$C$7))*100</f>
        <v>115.682281059063</v>
      </c>
      <c r="O30" s="27" t="n">
        <f aca="false">IF(Assumptions!$C$5="INR",'INR Normalised'!O30,'Raw Data'!O30)/IF(Assumptions!$C$5="INR",INDEX('INR Normalised'!$F30:$S30,Assumptions!$C$7),INDEX('Raw Data'!$F30:$S30,Assumptions!$C$7))*100</f>
        <v>133.740665308893</v>
      </c>
      <c r="P30" s="27" t="n">
        <f aca="false">IF(Assumptions!$C$5="INR",'INR Normalised'!P30,'Raw Data'!P30)/IF(Assumptions!$C$5="INR",INDEX('INR Normalised'!$F30:$S30,Assumptions!$C$7),INDEX('Raw Data'!$F30:$S30,Assumptions!$C$7))*100</f>
        <v>128.038017651052</v>
      </c>
      <c r="Q30" s="27" t="n">
        <f aca="false">IF(Assumptions!$C$5="INR",'INR Normalised'!Q30,'Raw Data'!Q30)/IF(Assumptions!$C$5="INR",INDEX('INR Normalised'!$F30:$S30,Assumptions!$C$7),INDEX('Raw Data'!$F30:$S30,Assumptions!$C$7))*100</f>
        <v>129.124236252546</v>
      </c>
      <c r="R30" s="27" t="n">
        <f aca="false">IF(Assumptions!$C$5="INR",'INR Normalised'!R30,'Raw Data'!R30)/IF(Assumptions!$C$5="INR",INDEX('INR Normalised'!$F30:$S30,Assumptions!$C$7),INDEX('Raw Data'!$F30:$S30,Assumptions!$C$7))*100</f>
        <v>126.137135098439</v>
      </c>
      <c r="S30" s="27" t="n">
        <f aca="false">IF(Assumptions!$C$5="INR",'INR Normalised'!S30,'Raw Data'!S30)/IF(Assumptions!$C$5="INR",INDEX('INR Normalised'!$F30:$S30,Assumptions!$C$7),INDEX('Raw Data'!$F30:$S30,Assumptions!$C$7))*100</f>
        <v>116.63272233537</v>
      </c>
      <c r="T30" s="20" t="n">
        <f aca="false">IFERROR(S30/R30-1,"")</f>
        <v>-0.0753498385360604</v>
      </c>
      <c r="U30" s="20" t="n">
        <f aca="false">IFERROR(S30/F30-1,"")</f>
        <v>0.1663272233537</v>
      </c>
    </row>
    <row r="31" customFormat="false" ht="15" hidden="false" customHeight="false" outlineLevel="0" collapsed="false">
      <c r="A31" s="24" t="str">
        <f aca="false">'Raw Data'!A31</f>
        <v>Polycarbonate (PC)</v>
      </c>
      <c r="B31" s="11" t="s">
        <v>142</v>
      </c>
      <c r="C31" s="24" t="str">
        <f aca="false">Assumptions!$C$5</f>
        <v>INR</v>
      </c>
      <c r="D31" s="24" t="str">
        <f aca="false">Assumptions!$C$6</f>
        <v>Jul-25</v>
      </c>
      <c r="E31" s="11" t="n">
        <v>100</v>
      </c>
      <c r="F31" s="27" t="n">
        <f aca="false">IF(Assumptions!$C$5="INR",'INR Normalised'!F31,'Raw Data'!F31)/IF(Assumptions!$C$5="INR",INDEX('INR Normalised'!$F31:$S31,Assumptions!$C$7),INDEX('Raw Data'!$F31:$S31,Assumptions!$C$7))*100</f>
        <v>100</v>
      </c>
      <c r="G31" s="27" t="n">
        <f aca="false">IF(Assumptions!$C$5="INR",'INR Normalised'!G31,'Raw Data'!G31)/IF(Assumptions!$C$5="INR",INDEX('INR Normalised'!$F31:$S31,Assumptions!$C$7),INDEX('Raw Data'!$F31:$S31,Assumptions!$C$7))*100</f>
        <v>101.724137931034</v>
      </c>
      <c r="H31" s="27" t="n">
        <f aca="false">IF(Assumptions!$C$5="INR",'INR Normalised'!H31,'Raw Data'!H31)/IF(Assumptions!$C$5="INR",INDEX('INR Normalised'!$F31:$S31,Assumptions!$C$7),INDEX('Raw Data'!$F31:$S31,Assumptions!$C$7))*100</f>
        <v>103.774464119292</v>
      </c>
      <c r="I31" s="27" t="n">
        <f aca="false">IF(Assumptions!$C$5="INR",'INR Normalised'!I31,'Raw Data'!I31)/IF(Assumptions!$C$5="INR",INDEX('INR Normalised'!$F31:$S31,Assumptions!$C$7),INDEX('Raw Data'!$F31:$S31,Assumptions!$C$7))*100</f>
        <v>103.261882572227</v>
      </c>
      <c r="J31" s="27" t="n">
        <f aca="false">IF(Assumptions!$C$5="INR",'INR Normalised'!J31,'Raw Data'!J31)/IF(Assumptions!$C$5="INR",INDEX('INR Normalised'!$F31:$S31,Assumptions!$C$7),INDEX('Raw Data'!$F31:$S31,Assumptions!$C$7))*100</f>
        <v>103.215284249767</v>
      </c>
      <c r="K31" s="27" t="n">
        <f aca="false">IF(Assumptions!$C$5="INR",'INR Normalised'!K31,'Raw Data'!K31)/IF(Assumptions!$C$5="INR",INDEX('INR Normalised'!$F31:$S31,Assumptions!$C$7),INDEX('Raw Data'!$F31:$S31,Assumptions!$C$7))*100</f>
        <v>97.6700838769804</v>
      </c>
      <c r="L31" s="27" t="n">
        <f aca="false">IF(Assumptions!$C$5="INR",'INR Normalised'!L31,'Raw Data'!L31)/IF(Assumptions!$C$5="INR",INDEX('INR Normalised'!$F31:$S31,Assumptions!$C$7),INDEX('Raw Data'!$F31:$S31,Assumptions!$C$7))*100</f>
        <v>97.3438956197577</v>
      </c>
      <c r="M31" s="27" t="n">
        <f aca="false">IF(Assumptions!$C$5="INR",'INR Normalised'!M31,'Raw Data'!M31)/IF(Assumptions!$C$5="INR",INDEX('INR Normalised'!$F31:$S31,Assumptions!$C$7),INDEX('Raw Data'!$F31:$S31,Assumptions!$C$7))*100</f>
        <v>90.5871388630009</v>
      </c>
      <c r="N31" s="27" t="n">
        <f aca="false">IF(Assumptions!$C$5="INR",'INR Normalised'!N31,'Raw Data'!N31)/IF(Assumptions!$C$5="INR",INDEX('INR Normalised'!$F31:$S31,Assumptions!$C$7),INDEX('Raw Data'!$F31:$S31,Assumptions!$C$7))*100</f>
        <v>106.011183597391</v>
      </c>
      <c r="O31" s="27" t="n">
        <f aca="false">IF(Assumptions!$C$5="INR",'INR Normalised'!O31,'Raw Data'!O31)/IF(Assumptions!$C$5="INR",INDEX('INR Normalised'!$F31:$S31,Assumptions!$C$7),INDEX('Raw Data'!$F31:$S31,Assumptions!$C$7))*100</f>
        <v>123.019571295433</v>
      </c>
      <c r="P31" s="27" t="n">
        <f aca="false">IF(Assumptions!$C$5="INR",'INR Normalised'!P31,'Raw Data'!P31)/IF(Assumptions!$C$5="INR",INDEX('INR Normalised'!$F31:$S31,Assumptions!$C$7),INDEX('Raw Data'!$F31:$S31,Assumptions!$C$7))*100</f>
        <v>123.578751164958</v>
      </c>
      <c r="Q31" s="27" t="n">
        <f aca="false">IF(Assumptions!$C$5="INR",'INR Normalised'!Q31,'Raw Data'!Q31)/IF(Assumptions!$C$5="INR",INDEX('INR Normalised'!$F31:$S31,Assumptions!$C$7),INDEX('Raw Data'!$F31:$S31,Assumptions!$C$7))*100</f>
        <v>122.041006523765</v>
      </c>
      <c r="R31" s="27" t="n">
        <f aca="false">IF(Assumptions!$C$5="INR",'INR Normalised'!R31,'Raw Data'!R31)/IF(Assumptions!$C$5="INR",INDEX('INR Normalised'!$F31:$S31,Assumptions!$C$7),INDEX('Raw Data'!$F31:$S31,Assumptions!$C$7))*100</f>
        <v>119.0587138863</v>
      </c>
      <c r="S31" s="27" t="n">
        <f aca="false">IF(Assumptions!$C$5="INR",'INR Normalised'!S31,'Raw Data'!S31)/IF(Assumptions!$C$5="INR",INDEX('INR Normalised'!$F31:$S31,Assumptions!$C$7),INDEX('Raw Data'!$F31:$S31,Assumptions!$C$7))*100</f>
        <v>117.89375582479</v>
      </c>
      <c r="T31" s="20" t="n">
        <f aca="false">IFERROR(S31/R31-1,"")</f>
        <v>-0.00978473581213302</v>
      </c>
      <c r="U31" s="20" t="n">
        <f aca="false">IFERROR(S31/F31-1,"")</f>
        <v>0.178937558247903</v>
      </c>
    </row>
    <row r="32" customFormat="false" ht="15" hidden="false" customHeight="false" outlineLevel="0" collapsed="false">
      <c r="A32" s="17" t="s">
        <v>146</v>
      </c>
      <c r="B32" s="18"/>
      <c r="C32" s="18"/>
      <c r="D32" s="18"/>
      <c r="E32" s="18"/>
      <c r="F32" s="18"/>
      <c r="G32" s="18"/>
      <c r="H32" s="18"/>
      <c r="I32" s="18"/>
      <c r="J32" s="18"/>
      <c r="K32" s="18"/>
      <c r="L32" s="18"/>
      <c r="M32" s="18"/>
      <c r="N32" s="18"/>
      <c r="O32" s="18"/>
      <c r="P32" s="18"/>
      <c r="Q32" s="18"/>
      <c r="R32" s="18"/>
      <c r="S32" s="18"/>
      <c r="T32" s="18"/>
      <c r="U32" s="18"/>
      <c r="V32" s="18"/>
    </row>
    <row r="33" customFormat="false" ht="15" hidden="false" customHeight="false" outlineLevel="0" collapsed="false">
      <c r="A33" s="24" t="str">
        <f aca="false">'Raw Data'!A33</f>
        <v>Urea (Prilled), CFR</v>
      </c>
      <c r="B33" s="11" t="s">
        <v>148</v>
      </c>
      <c r="C33" s="24" t="str">
        <f aca="false">Assumptions!$C$5</f>
        <v>INR</v>
      </c>
      <c r="D33" s="24" t="str">
        <f aca="false">Assumptions!$C$6</f>
        <v>Jul-25</v>
      </c>
      <c r="E33" s="11" t="n">
        <v>100</v>
      </c>
      <c r="F33" s="27" t="n">
        <f aca="false">IF(Assumptions!$C$5="INR",'INR Normalised'!F33,'Raw Data'!F33)/IF(Assumptions!$C$5="INR",INDEX('INR Normalised'!$F33:$S33,Assumptions!$C$7),INDEX('Raw Data'!$F33:$S33,Assumptions!$C$7))*100</f>
        <v>100</v>
      </c>
      <c r="G33" s="27" t="n">
        <f aca="false">IF(Assumptions!$C$5="INR",'INR Normalised'!G33,'Raw Data'!G33)/IF(Assumptions!$C$5="INR",INDEX('INR Normalised'!$F33:$S33,Assumptions!$C$7),INDEX('Raw Data'!$F33:$S33,Assumptions!$C$7))*100</f>
        <v>113.537467698629</v>
      </c>
      <c r="H33" s="27" t="n">
        <f aca="false">IF(Assumptions!$C$5="INR",'INR Normalised'!H33,'Raw Data'!H33)/IF(Assumptions!$C$5="INR",INDEX('INR Normalised'!$F33:$S33,Assumptions!$C$7),INDEX('Raw Data'!$F33:$S33,Assumptions!$C$7))*100</f>
        <v>99.9480397984239</v>
      </c>
      <c r="I33" s="27" t="n">
        <f aca="false">IF(Assumptions!$C$5="INR",'INR Normalised'!I33,'Raw Data'!I33)/IF(Assumptions!$C$5="INR",INDEX('INR Normalised'!$F33:$S33,Assumptions!$C$7),INDEX('Raw Data'!$F33:$S33,Assumptions!$C$7))*100</f>
        <v>96.1616832436829</v>
      </c>
      <c r="J33" s="27" t="n">
        <f aca="false">IF(Assumptions!$C$5="INR",'INR Normalised'!J33,'Raw Data'!J33)/IF(Assumptions!$C$5="INR",INDEX('INR Normalised'!$F33:$S33,Assumptions!$C$7),INDEX('Raw Data'!$F33:$S33,Assumptions!$C$7))*100</f>
        <v>87.5112176929884</v>
      </c>
      <c r="K33" s="27" t="n">
        <f aca="false">IF(Assumptions!$C$5="INR",'INR Normalised'!K33,'Raw Data'!K33)/IF(Assumptions!$C$5="INR",INDEX('INR Normalised'!$F33:$S33,Assumptions!$C$7),INDEX('Raw Data'!$F33:$S33,Assumptions!$C$7))*100</f>
        <v>92.1106224661851</v>
      </c>
      <c r="L33" s="27" t="n">
        <f aca="false">IF(Assumptions!$C$5="INR",'INR Normalised'!L33,'Raw Data'!L33)/IF(Assumptions!$C$5="INR",INDEX('INR Normalised'!$F33:$S33,Assumptions!$C$7),INDEX('Raw Data'!$F33:$S33,Assumptions!$C$7))*100</f>
        <v>93.8462280784788</v>
      </c>
      <c r="M33" s="27" t="n">
        <f aca="false">IF(Assumptions!$C$5="INR",'INR Normalised'!M33,'Raw Data'!M33)/IF(Assumptions!$C$5="INR",INDEX('INR Normalised'!$F33:$S33,Assumptions!$C$7),INDEX('Raw Data'!$F33:$S33,Assumptions!$C$7))*100</f>
        <v>94.3285581894338</v>
      </c>
      <c r="N33" s="27" t="n">
        <f aca="false">IF(Assumptions!$C$5="INR",'INR Normalised'!N33,'Raw Data'!N33)/IF(Assumptions!$C$5="INR",INDEX('INR Normalised'!$F33:$S33,Assumptions!$C$7),INDEX('Raw Data'!$F33:$S33,Assumptions!$C$7))*100</f>
        <v>115.357032981519</v>
      </c>
      <c r="O33" s="27" t="n">
        <f aca="false">IF(Assumptions!$C$5="INR",'INR Normalised'!O33,'Raw Data'!O33)/IF(Assumptions!$C$5="INR",INDEX('INR Normalised'!$F33:$S33,Assumptions!$C$7),INDEX('Raw Data'!$F33:$S33,Assumptions!$C$7))*100</f>
        <v>154.820364323518</v>
      </c>
      <c r="P33" s="27" t="n">
        <f aca="false">IF(Assumptions!$C$5="INR",'INR Normalised'!P33,'Raw Data'!P33)/IF(Assumptions!$C$5="INR",INDEX('INR Normalised'!$F33:$S33,Assumptions!$C$7),INDEX('Raw Data'!$F33:$S33,Assumptions!$C$7))*100</f>
        <v>220.910353211472</v>
      </c>
      <c r="Q33" s="27" t="n">
        <f aca="false">IF(Assumptions!$C$5="INR",'INR Normalised'!Q33,'Raw Data'!Q33)/IF(Assumptions!$C$5="INR",INDEX('INR Normalised'!$F33:$S33,Assumptions!$C$7),INDEX('Raw Data'!$F33:$S33,Assumptions!$C$7))*100</f>
        <v>157.065329346265</v>
      </c>
      <c r="R33" s="27" t="n">
        <f aca="false">IF(Assumptions!$C$5="INR",'INR Normalised'!R33,'Raw Data'!R33)/IF(Assumptions!$C$5="INR",INDEX('INR Normalised'!$F33:$S33,Assumptions!$C$7),INDEX('Raw Data'!$F33:$S33,Assumptions!$C$7))*100</f>
        <v>104.513669834123</v>
      </c>
      <c r="S33" s="27" t="n">
        <f aca="false">IF(Assumptions!$C$5="INR",'INR Normalised'!S33,'Raw Data'!S33)/IF(Assumptions!$C$5="INR",INDEX('INR Normalised'!$F33:$S33,Assumptions!$C$7),INDEX('Raw Data'!$F33:$S33,Assumptions!$C$7))*100</f>
        <v>97.7580952412374</v>
      </c>
      <c r="T33" s="20" t="n">
        <f aca="false">IFERROR(S33/R33-1,"")</f>
        <v>-0.064638191383074</v>
      </c>
      <c r="U33" s="20" t="n">
        <f aca="false">IFERROR(S33/F33-1,"")</f>
        <v>-0.0224190475876263</v>
      </c>
    </row>
    <row r="34" customFormat="false" ht="15" hidden="false" customHeight="false" outlineLevel="0" collapsed="false">
      <c r="A34" s="17" t="s">
        <v>151</v>
      </c>
      <c r="B34" s="18"/>
      <c r="C34" s="18"/>
      <c r="D34" s="18"/>
      <c r="E34" s="18"/>
      <c r="F34" s="18"/>
      <c r="G34" s="18"/>
      <c r="H34" s="18"/>
      <c r="I34" s="18"/>
      <c r="J34" s="18"/>
      <c r="K34" s="18"/>
      <c r="L34" s="18"/>
      <c r="M34" s="18"/>
      <c r="N34" s="18"/>
      <c r="O34" s="18"/>
      <c r="P34" s="18"/>
      <c r="Q34" s="18"/>
      <c r="R34" s="18"/>
      <c r="S34" s="18"/>
      <c r="T34" s="18"/>
      <c r="U34" s="18"/>
      <c r="V34" s="18"/>
    </row>
    <row r="35" customFormat="false" ht="15" hidden="false" customHeight="false" outlineLevel="0" collapsed="false">
      <c r="A35" s="24" t="str">
        <f aca="false">'Raw Data'!A35</f>
        <v>Natural Rubber (RSS 4)</v>
      </c>
      <c r="B35" s="11" t="s">
        <v>153</v>
      </c>
      <c r="C35" s="24" t="str">
        <f aca="false">Assumptions!$C$5</f>
        <v>INR</v>
      </c>
      <c r="D35" s="24" t="str">
        <f aca="false">Assumptions!$C$6</f>
        <v>Jul-25</v>
      </c>
      <c r="E35" s="11" t="n">
        <v>100</v>
      </c>
      <c r="F35" s="27" t="n">
        <f aca="false">IF(Assumptions!$C$5="INR",'INR Normalised'!F35,'Raw Data'!F35)/IF(Assumptions!$C$5="INR",INDEX('INR Normalised'!$F35:$S35,Assumptions!$C$7),INDEX('Raw Data'!$F35:$S35,Assumptions!$C$7))*100</f>
        <v>100</v>
      </c>
      <c r="G35" s="27" t="n">
        <f aca="false">IF(Assumptions!$C$5="INR",'INR Normalised'!G35,'Raw Data'!G35)/IF(Assumptions!$C$5="INR",INDEX('INR Normalised'!$F35:$S35,Assumptions!$C$7),INDEX('Raw Data'!$F35:$S35,Assumptions!$C$7))*100</f>
        <v>94.7312554279649</v>
      </c>
      <c r="H35" s="27" t="n">
        <f aca="false">IF(Assumptions!$C$5="INR",'INR Normalised'!H35,'Raw Data'!H35)/IF(Assumptions!$C$5="INR",INDEX('INR Normalised'!$F35:$S35,Assumptions!$C$7),INDEX('Raw Data'!$F35:$S35,Assumptions!$C$7))*100</f>
        <v>90.9051432982727</v>
      </c>
      <c r="I35" s="27" t="n">
        <f aca="false">IF(Assumptions!$C$5="INR",'INR Normalised'!I35,'Raw Data'!I35)/IF(Assumptions!$C$5="INR",INDEX('INR Normalised'!$F35:$S35,Assumptions!$C$7),INDEX('Raw Data'!$F35:$S35,Assumptions!$C$7))*100</f>
        <v>90.3840586702692</v>
      </c>
      <c r="J35" s="27" t="n">
        <f aca="false">IF(Assumptions!$C$5="INR",'INR Normalised'!J35,'Raw Data'!J35)/IF(Assumptions!$C$5="INR",INDEX('INR Normalised'!$F35:$S35,Assumptions!$C$7),INDEX('Raw Data'!$F35:$S35,Assumptions!$C$7))*100</f>
        <v>89.7664768889318</v>
      </c>
      <c r="K35" s="27" t="n">
        <f aca="false">IF(Assumptions!$C$5="INR",'INR Normalised'!K35,'Raw Data'!K35)/IF(Assumptions!$C$5="INR",INDEX('INR Normalised'!$F35:$S35,Assumptions!$C$7),INDEX('Raw Data'!$F35:$S35,Assumptions!$C$7))*100</f>
        <v>88.6519347679244</v>
      </c>
      <c r="L35" s="27" t="n">
        <f aca="false">IF(Assumptions!$C$5="INR",'INR Normalised'!L35,'Raw Data'!L35)/IF(Assumptions!$C$5="INR",INDEX('INR Normalised'!$F35:$S35,Assumptions!$C$7),INDEX('Raw Data'!$F35:$S35,Assumptions!$C$7))*100</f>
        <v>92.4828717552832</v>
      </c>
      <c r="M35" s="27" t="n">
        <f aca="false">IF(Assumptions!$C$5="INR",'INR Normalised'!M35,'Raw Data'!M35)/IF(Assumptions!$C$5="INR",INDEX('INR Normalised'!$F35:$S35,Assumptions!$C$7),INDEX('Raw Data'!$F35:$S35,Assumptions!$C$7))*100</f>
        <v>102.518575702017</v>
      </c>
      <c r="N35" s="27" t="n">
        <f aca="false">IF(Assumptions!$C$5="INR",'INR Normalised'!N35,'Raw Data'!N35)/IF(Assumptions!$C$5="INR",INDEX('INR Normalised'!$F35:$S35,Assumptions!$C$7),INDEX('Raw Data'!$F35:$S35,Assumptions!$C$7))*100</f>
        <v>104.868281385699</v>
      </c>
      <c r="O35" s="27" t="n">
        <f aca="false">IF(Assumptions!$C$5="INR",'INR Normalised'!O35,'Raw Data'!O35)/IF(Assumptions!$C$5="INR",INDEX('INR Normalised'!$F35:$S35,Assumptions!$C$7),INDEX('Raw Data'!$F35:$S35,Assumptions!$C$7))*100</f>
        <v>113.162211714754</v>
      </c>
      <c r="P35" s="27" t="n">
        <f aca="false">IF(Assumptions!$C$5="INR",'INR Normalised'!P35,'Raw Data'!P35)/IF(Assumptions!$C$5="INR",INDEX('INR Normalised'!$F35:$S35,Assumptions!$C$7),INDEX('Raw Data'!$F35:$S35,Assumptions!$C$7))*100</f>
        <v>123.497056836823</v>
      </c>
      <c r="Q35" s="27" t="n">
        <f aca="false">IF(Assumptions!$C$5="INR",'INR Normalised'!Q35,'Raw Data'!Q35)/IF(Assumptions!$C$5="INR",INDEX('INR Normalised'!$F35:$S35,Assumptions!$C$7),INDEX('Raw Data'!$F35:$S35,Assumptions!$C$7))*100</f>
        <v>129.779021518865</v>
      </c>
      <c r="R35" s="27" t="n">
        <f aca="false">IF(Assumptions!$C$5="INR",'INR Normalised'!R35,'Raw Data'!R35)/IF(Assumptions!$C$5="INR",INDEX('INR Normalised'!$F35:$S35,Assumptions!$C$7),INDEX('Raw Data'!$F35:$S35,Assumptions!$C$7))*100</f>
        <v>133.233619608222</v>
      </c>
      <c r="S35" s="27" t="n">
        <f aca="false">IF(Assumptions!$C$5="INR",'INR Normalised'!S35,'Raw Data'!S35)/IF(Assumptions!$C$5="INR",INDEX('INR Normalised'!$F35:$S35,Assumptions!$C$7),INDEX('Raw Data'!$F35:$S35,Assumptions!$C$7))*100</f>
        <v>134.497732316897</v>
      </c>
      <c r="T35" s="20" t="n">
        <f aca="false">IFERROR(S35/R35-1,"")</f>
        <v>0.00948794089954386</v>
      </c>
      <c r="U35" s="20" t="n">
        <f aca="false">IFERROR(S35/F35-1,"")</f>
        <v>0.344977323168966</v>
      </c>
    </row>
    <row r="36" customFormat="false" ht="15" hidden="false" customHeight="false" outlineLevel="0" collapsed="false">
      <c r="A36" s="24" t="str">
        <f aca="false">'Raw Data'!A36</f>
        <v>Synthetic Rubber - SBR 1502</v>
      </c>
      <c r="B36" s="11" t="s">
        <v>153</v>
      </c>
      <c r="C36" s="24" t="str">
        <f aca="false">Assumptions!$C$5</f>
        <v>INR</v>
      </c>
      <c r="D36" s="24" t="str">
        <f aca="false">Assumptions!$C$6</f>
        <v>Jul-25</v>
      </c>
      <c r="E36" s="11" t="n">
        <v>100</v>
      </c>
      <c r="F36" s="27" t="n">
        <f aca="false">IF(Assumptions!$C$5="INR",'INR Normalised'!F36,'Raw Data'!F36)/IF(Assumptions!$C$5="INR",INDEX('INR Normalised'!$F36:$S36,Assumptions!$C$7),INDEX('Raw Data'!$F36:$S36,Assumptions!$C$7))*100</f>
        <v>100</v>
      </c>
      <c r="G36" s="27" t="n">
        <f aca="false">IF(Assumptions!$C$5="INR",'INR Normalised'!G36,'Raw Data'!G36)/IF(Assumptions!$C$5="INR",INDEX('INR Normalised'!$F36:$S36,Assumptions!$C$7),INDEX('Raw Data'!$F36:$S36,Assumptions!$C$7))*100</f>
        <v>94.6519708980345</v>
      </c>
      <c r="H36" s="27" t="n">
        <f aca="false">IF(Assumptions!$C$5="INR",'INR Normalised'!H36,'Raw Data'!H36)/IF(Assumptions!$C$5="INR",INDEX('INR Normalised'!$F36:$S36,Assumptions!$C$7),INDEX('Raw Data'!$F36:$S36,Assumptions!$C$7))*100</f>
        <v>96.4111195569551</v>
      </c>
      <c r="I36" s="27" t="n">
        <f aca="false">IF(Assumptions!$C$5="INR",'INR Normalised'!I36,'Raw Data'!I36)/IF(Assumptions!$C$5="INR",INDEX('INR Normalised'!$F36:$S36,Assumptions!$C$7),INDEX('Raw Data'!$F36:$S36,Assumptions!$C$7))*100</f>
        <v>96.3405364317515</v>
      </c>
      <c r="J36" s="27" t="n">
        <f aca="false">IF(Assumptions!$C$5="INR",'INR Normalised'!J36,'Raw Data'!J36)/IF(Assumptions!$C$5="INR",INDEX('INR Normalised'!$F36:$S36,Assumptions!$C$7),INDEX('Raw Data'!$F36:$S36,Assumptions!$C$7))*100</f>
        <v>95.8410250841568</v>
      </c>
      <c r="K36" s="27" t="n">
        <f aca="false">IF(Assumptions!$C$5="INR",'INR Normalised'!K36,'Raw Data'!K36)/IF(Assumptions!$C$5="INR",INDEX('INR Normalised'!$F36:$S36,Assumptions!$C$7),INDEX('Raw Data'!$F36:$S36,Assumptions!$C$7))*100</f>
        <v>87.7945488109458</v>
      </c>
      <c r="L36" s="27" t="n">
        <f aca="false">IF(Assumptions!$C$5="INR",'INR Normalised'!L36,'Raw Data'!L36)/IF(Assumptions!$C$5="INR",INDEX('INR Normalised'!$F36:$S36,Assumptions!$C$7),INDEX('Raw Data'!$F36:$S36,Assumptions!$C$7))*100</f>
        <v>84.4771419263764</v>
      </c>
      <c r="M36" s="27" t="n">
        <f aca="false">IF(Assumptions!$C$5="INR",'INR Normalised'!M36,'Raw Data'!M36)/IF(Assumptions!$C$5="INR",INDEX('INR Normalised'!$F36:$S36,Assumptions!$C$7),INDEX('Raw Data'!$F36:$S36,Assumptions!$C$7))*100</f>
        <v>81.5506569660115</v>
      </c>
      <c r="N36" s="27" t="n">
        <f aca="false">IF(Assumptions!$C$5="INR",'INR Normalised'!N36,'Raw Data'!N36)/IF(Assumptions!$C$5="INR",INDEX('INR Normalised'!$F36:$S36,Assumptions!$C$7),INDEX('Raw Data'!$F36:$S36,Assumptions!$C$7))*100</f>
        <v>89.5211206428494</v>
      </c>
      <c r="O36" s="27" t="n">
        <f aca="false">IF(Assumptions!$C$5="INR",'INR Normalised'!O36,'Raw Data'!O36)/IF(Assumptions!$C$5="INR",INDEX('INR Normalised'!$F36:$S36,Assumptions!$C$7),INDEX('Raw Data'!$F36:$S36,Assumptions!$C$7))*100</f>
        <v>143.397763057878</v>
      </c>
      <c r="P36" s="27" t="n">
        <f aca="false">IF(Assumptions!$C$5="INR",'INR Normalised'!P36,'Raw Data'!P36)/IF(Assumptions!$C$5="INR",INDEX('INR Normalised'!$F36:$S36,Assumptions!$C$7),INDEX('Raw Data'!$F36:$S36,Assumptions!$C$7))*100</f>
        <v>152.752741882941</v>
      </c>
      <c r="Q36" s="27" t="n">
        <f aca="false">IF(Assumptions!$C$5="INR",'INR Normalised'!Q36,'Raw Data'!Q36)/IF(Assumptions!$C$5="INR",INDEX('INR Normalised'!$F36:$S36,Assumptions!$C$7),INDEX('Raw Data'!$F36:$S36,Assumptions!$C$7))*100</f>
        <v>128.070365946357</v>
      </c>
      <c r="R36" s="27" t="n">
        <f aca="false">IF(Assumptions!$C$5="INR",'INR Normalised'!R36,'Raw Data'!R36)/IF(Assumptions!$C$5="INR",INDEX('INR Normalised'!$F36:$S36,Assumptions!$C$7),INDEX('Raw Data'!$F36:$S36,Assumptions!$C$7))*100</f>
        <v>133.901617982409</v>
      </c>
      <c r="S36" s="27" t="n">
        <f aca="false">IF(Assumptions!$C$5="INR",'INR Normalised'!S36,'Raw Data'!S36)/IF(Assumptions!$C$5="INR",INDEX('INR Normalised'!$F36:$S36,Assumptions!$C$7),INDEX('Raw Data'!$F36:$S36,Assumptions!$C$7))*100</f>
        <v>136.551199913128</v>
      </c>
      <c r="T36" s="20" t="n">
        <f aca="false">IFERROR(S36/R36-1,"")</f>
        <v>0.019787527370043</v>
      </c>
      <c r="U36" s="20" t="n">
        <f aca="false">IFERROR(S36/F36-1,"")</f>
        <v>0.365511999131285</v>
      </c>
    </row>
    <row r="37" customFormat="false" ht="15" hidden="false" customHeight="false" outlineLevel="0" collapsed="false">
      <c r="A37" s="24" t="str">
        <f aca="false">'Raw Data'!A37</f>
        <v>EPDM</v>
      </c>
      <c r="B37" s="11" t="s">
        <v>153</v>
      </c>
      <c r="C37" s="24" t="str">
        <f aca="false">Assumptions!$C$5</f>
        <v>INR</v>
      </c>
      <c r="D37" s="24" t="str">
        <f aca="false">Assumptions!$C$6</f>
        <v>Jul-25</v>
      </c>
      <c r="E37" s="11" t="n">
        <v>100</v>
      </c>
      <c r="F37" s="27" t="n">
        <f aca="false">IF(Assumptions!$C$5="INR",'INR Normalised'!F37,'Raw Data'!F37)/IF(Assumptions!$C$5="INR",INDEX('INR Normalised'!$F37:$S37,Assumptions!$C$7),INDEX('Raw Data'!$F37:$S37,Assumptions!$C$7))*100</f>
        <v>100</v>
      </c>
      <c r="G37" s="27" t="n">
        <f aca="false">IF(Assumptions!$C$5="INR",'INR Normalised'!G37,'Raw Data'!G37)/IF(Assumptions!$C$5="INR",INDEX('INR Normalised'!$F37:$S37,Assumptions!$C$7),INDEX('Raw Data'!$F37:$S37,Assumptions!$C$7))*100</f>
        <v>99.3966885915174</v>
      </c>
      <c r="H37" s="27" t="n">
        <f aca="false">IF(Assumptions!$C$5="INR",'INR Normalised'!H37,'Raw Data'!H37)/IF(Assumptions!$C$5="INR",INDEX('INR Normalised'!$F37:$S37,Assumptions!$C$7),INDEX('Raw Data'!$F37:$S37,Assumptions!$C$7))*100</f>
        <v>98.3261510546609</v>
      </c>
      <c r="I37" s="27" t="n">
        <f aca="false">IF(Assumptions!$C$5="INR",'INR Normalised'!I37,'Raw Data'!I37)/IF(Assumptions!$C$5="INR",INDEX('INR Normalised'!$F37:$S37,Assumptions!$C$7),INDEX('Raw Data'!$F37:$S37,Assumptions!$C$7))*100</f>
        <v>97.5776820140622</v>
      </c>
      <c r="J37" s="27" t="n">
        <f aca="false">IF(Assumptions!$C$5="INR",'INR Normalised'!J37,'Raw Data'!J37)/IF(Assumptions!$C$5="INR",INDEX('INR Normalised'!$F37:$S37,Assumptions!$C$7),INDEX('Raw Data'!$F37:$S37,Assumptions!$C$7))*100</f>
        <v>96.2395100929916</v>
      </c>
      <c r="K37" s="27" t="n">
        <f aca="false">IF(Assumptions!$C$5="INR",'INR Normalised'!K37,'Raw Data'!K37)/IF(Assumptions!$C$5="INR",INDEX('INR Normalised'!$F37:$S37,Assumptions!$C$7),INDEX('Raw Data'!$F37:$S37,Assumptions!$C$7))*100</f>
        <v>95.9310501247448</v>
      </c>
      <c r="L37" s="27" t="n">
        <f aca="false">IF(Assumptions!$C$5="INR",'INR Normalised'!L37,'Raw Data'!L37)/IF(Assumptions!$C$5="INR",INDEX('INR Normalised'!$F37:$S37,Assumptions!$C$7),INDEX('Raw Data'!$F37:$S37,Assumptions!$C$7))*100</f>
        <v>94.2163755953731</v>
      </c>
      <c r="M37" s="27" t="n">
        <f aca="false">IF(Assumptions!$C$5="INR",'INR Normalised'!M37,'Raw Data'!M37)/IF(Assumptions!$C$5="INR",INDEX('INR Normalised'!$F37:$S37,Assumptions!$C$7),INDEX('Raw Data'!$F37:$S37,Assumptions!$C$7))*100</f>
        <v>93.0777954184622</v>
      </c>
      <c r="N37" s="27" t="n">
        <f aca="false">IF(Assumptions!$C$5="INR",'INR Normalised'!N37,'Raw Data'!N37)/IF(Assumptions!$C$5="INR",INDEX('INR Normalised'!$F37:$S37,Assumptions!$C$7),INDEX('Raw Data'!$F37:$S37,Assumptions!$C$7))*100</f>
        <v>112.655931050125</v>
      </c>
      <c r="O37" s="27" t="n">
        <f aca="false">IF(Assumptions!$C$5="INR",'INR Normalised'!O37,'Raw Data'!O37)/IF(Assumptions!$C$5="INR",INDEX('INR Normalised'!$F37:$S37,Assumptions!$C$7),INDEX('Raw Data'!$F37:$S37,Assumptions!$C$7))*100</f>
        <v>125.502381492402</v>
      </c>
      <c r="P37" s="27" t="n">
        <f aca="false">IF(Assumptions!$C$5="INR",'INR Normalised'!P37,'Raw Data'!P37)/IF(Assumptions!$C$5="INR",INDEX('INR Normalised'!$F37:$S37,Assumptions!$C$7),INDEX('Raw Data'!$F37:$S37,Assumptions!$C$7))*100</f>
        <v>135.681560444545</v>
      </c>
      <c r="Q37" s="27" t="n">
        <f aca="false">IF(Assumptions!$C$5="INR",'INR Normalised'!Q37,'Raw Data'!Q37)/IF(Assumptions!$C$5="INR",INDEX('INR Normalised'!$F37:$S37,Assumptions!$C$7),INDEX('Raw Data'!$F37:$S37,Assumptions!$C$7))*100</f>
        <v>135.881152188705</v>
      </c>
      <c r="R37" s="27" t="n">
        <f aca="false">IF(Assumptions!$C$5="INR",'INR Normalised'!R37,'Raw Data'!R37)/IF(Assumptions!$C$5="INR",INDEX('INR Normalised'!$F37:$S37,Assumptions!$C$7),INDEX('Raw Data'!$F37:$S37,Assumptions!$C$7))*100</f>
        <v>130.650941256521</v>
      </c>
      <c r="S37" s="27" t="n">
        <f aca="false">IF(Assumptions!$C$5="INR",'INR Normalised'!S37,'Raw Data'!S37)/IF(Assumptions!$C$5="INR",INDEX('INR Normalised'!$F37:$S37,Assumptions!$C$7),INDEX('Raw Data'!$F37:$S37,Assumptions!$C$7))*100</f>
        <v>132.841914266274</v>
      </c>
      <c r="T37" s="20" t="n">
        <f aca="false">IFERROR(S37/R37-1,"")</f>
        <v>0.0167696687730019</v>
      </c>
      <c r="U37" s="20" t="n">
        <f aca="false">IFERROR(S37/F37-1,"")</f>
        <v>0.328419142662735</v>
      </c>
    </row>
    <row r="38" customFormat="false" ht="15" hidden="false" customHeight="false" outlineLevel="0" collapsed="false">
      <c r="A38" s="24" t="str">
        <f aca="false">'Raw Data'!A38</f>
        <v>Carbon Black (N330)</v>
      </c>
      <c r="B38" s="11" t="s">
        <v>153</v>
      </c>
      <c r="C38" s="24" t="str">
        <f aca="false">Assumptions!$C$5</f>
        <v>INR</v>
      </c>
      <c r="D38" s="24" t="str">
        <f aca="false">Assumptions!$C$6</f>
        <v>Jul-25</v>
      </c>
      <c r="E38" s="11" t="n">
        <v>100</v>
      </c>
      <c r="F38" s="27" t="n">
        <f aca="false">IF(Assumptions!$C$5="INR",'INR Normalised'!F38,'Raw Data'!F38)/IF(Assumptions!$C$5="INR",INDEX('INR Normalised'!$F38:$S38,Assumptions!$C$7),INDEX('Raw Data'!$F38:$S38,Assumptions!$C$7))*100</f>
        <v>100</v>
      </c>
      <c r="G38" s="27" t="n">
        <f aca="false">IF(Assumptions!$C$5="INR",'INR Normalised'!G38,'Raw Data'!G38)/IF(Assumptions!$C$5="INR",INDEX('INR Normalised'!$F38:$S38,Assumptions!$C$7),INDEX('Raw Data'!$F38:$S38,Assumptions!$C$7))*100</f>
        <v>93.4807607253428</v>
      </c>
      <c r="H38" s="27" t="n">
        <f aca="false">IF(Assumptions!$C$5="INR",'INR Normalised'!H38,'Raw Data'!H38)/IF(Assumptions!$C$5="INR",INDEX('INR Normalised'!$F38:$S38,Assumptions!$C$7),INDEX('Raw Data'!$F38:$S38,Assumptions!$C$7))*100</f>
        <v>91.0216718266254</v>
      </c>
      <c r="I38" s="27" t="n">
        <f aca="false">IF(Assumptions!$C$5="INR",'INR Normalised'!I38,'Raw Data'!I38)/IF(Assumptions!$C$5="INR",INDEX('INR Normalised'!$F38:$S38,Assumptions!$C$7),INDEX('Raw Data'!$F38:$S38,Assumptions!$C$7))*100</f>
        <v>88.0583812472357</v>
      </c>
      <c r="J38" s="27" t="n">
        <f aca="false">IF(Assumptions!$C$5="INR",'INR Normalised'!J38,'Raw Data'!J38)/IF(Assumptions!$C$5="INR",INDEX('INR Normalised'!$F38:$S38,Assumptions!$C$7),INDEX('Raw Data'!$F38:$S38,Assumptions!$C$7))*100</f>
        <v>85.0597080937638</v>
      </c>
      <c r="K38" s="27" t="n">
        <f aca="false">IF(Assumptions!$C$5="INR",'INR Normalised'!K38,'Raw Data'!K38)/IF(Assumptions!$C$5="INR",INDEX('INR Normalised'!$F38:$S38,Assumptions!$C$7),INDEX('Raw Data'!$F38:$S38,Assumptions!$C$7))*100</f>
        <v>85.1835471030518</v>
      </c>
      <c r="L38" s="27" t="n">
        <f aca="false">IF(Assumptions!$C$5="INR",'INR Normalised'!L38,'Raw Data'!L38)/IF(Assumptions!$C$5="INR",INDEX('INR Normalised'!$F38:$S38,Assumptions!$C$7),INDEX('Raw Data'!$F38:$S38,Assumptions!$C$7))*100</f>
        <v>82.7067669172932</v>
      </c>
      <c r="M38" s="27" t="n">
        <f aca="false">IF(Assumptions!$C$5="INR",'INR Normalised'!M38,'Raw Data'!M38)/IF(Assumptions!$C$5="INR",INDEX('INR Normalised'!$F38:$S38,Assumptions!$C$7),INDEX('Raw Data'!$F38:$S38,Assumptions!$C$7))*100</f>
        <v>81.9460415745246</v>
      </c>
      <c r="N38" s="27" t="n">
        <f aca="false">IF(Assumptions!$C$5="INR",'INR Normalised'!N38,'Raw Data'!N38)/IF(Assumptions!$C$5="INR",INDEX('INR Normalised'!$F38:$S38,Assumptions!$C$7),INDEX('Raw Data'!$F38:$S38,Assumptions!$C$7))*100</f>
        <v>81.9460415745246</v>
      </c>
      <c r="O38" s="27" t="n">
        <f aca="false">IF(Assumptions!$C$5="INR",'INR Normalised'!O38,'Raw Data'!O38)/IF(Assumptions!$C$5="INR",INDEX('INR Normalised'!$F38:$S38,Assumptions!$C$7),INDEX('Raw Data'!$F38:$S38,Assumptions!$C$7))*100</f>
        <v>110.499778858912</v>
      </c>
      <c r="P38" s="27" t="n">
        <f aca="false">IF(Assumptions!$C$5="INR",'INR Normalised'!P38,'Raw Data'!P38)/IF(Assumptions!$C$5="INR",INDEX('INR Normalised'!$F38:$S38,Assumptions!$C$7),INDEX('Raw Data'!$F38:$S38,Assumptions!$C$7))*100</f>
        <v>119.035824856258</v>
      </c>
      <c r="Q38" s="27" t="n">
        <f aca="false">IF(Assumptions!$C$5="INR",'INR Normalised'!Q38,'Raw Data'!Q38)/IF(Assumptions!$C$5="INR",INDEX('INR Normalised'!$F38:$S38,Assumptions!$C$7),INDEX('Raw Data'!$F38:$S38,Assumptions!$C$7))*100</f>
        <v>133.365767359575</v>
      </c>
      <c r="R38" s="27" t="n">
        <f aca="false">IF(Assumptions!$C$5="INR",'INR Normalised'!R38,'Raw Data'!R38)/IF(Assumptions!$C$5="INR",INDEX('INR Normalised'!$F38:$S38,Assumptions!$C$7),INDEX('Raw Data'!$F38:$S38,Assumptions!$C$7))*100</f>
        <v>138.690844758956</v>
      </c>
      <c r="S38" s="27" t="n">
        <f aca="false">IF(Assumptions!$C$5="INR",'INR Normalised'!S38,'Raw Data'!S38)/IF(Assumptions!$C$5="INR",INDEX('INR Normalised'!$F38:$S38,Assumptions!$C$7),INDEX('Raw Data'!$F38:$S38,Assumptions!$C$7))*100</f>
        <v>137.478991596639</v>
      </c>
      <c r="T38" s="20" t="n">
        <f aca="false">IFERROR(S38/R38-1,"")</f>
        <v>-0.00873780215574982</v>
      </c>
      <c r="U38" s="20" t="n">
        <f aca="false">IFERROR(S38/F38-1,"")</f>
        <v>0.374789915966387</v>
      </c>
    </row>
    <row r="39" customFormat="false" ht="15" hidden="false" customHeight="false" outlineLevel="0" collapsed="false">
      <c r="A39" s="24" t="str">
        <f aca="false">'Raw Data'!A39</f>
        <v>Polybutadiene Rubber (1220)</v>
      </c>
      <c r="B39" s="11" t="s">
        <v>153</v>
      </c>
      <c r="C39" s="24" t="str">
        <f aca="false">Assumptions!$C$5</f>
        <v>INR</v>
      </c>
      <c r="D39" s="24" t="str">
        <f aca="false">Assumptions!$C$6</f>
        <v>Jul-25</v>
      </c>
      <c r="E39" s="11" t="n">
        <v>100</v>
      </c>
      <c r="F39" s="27" t="n">
        <f aca="false">IF(Assumptions!$C$5="INR",'INR Normalised'!F39,'Raw Data'!F39)/IF(Assumptions!$C$5="INR",INDEX('INR Normalised'!$F39:$S39,Assumptions!$C$7),INDEX('Raw Data'!$F39:$S39,Assumptions!$C$7))*100</f>
        <v>100</v>
      </c>
      <c r="G39" s="27" t="n">
        <f aca="false">IF(Assumptions!$C$5="INR",'INR Normalised'!G39,'Raw Data'!G39)/IF(Assumptions!$C$5="INR",INDEX('INR Normalised'!$F39:$S39,Assumptions!$C$7),INDEX('Raw Data'!$F39:$S39,Assumptions!$C$7))*100</f>
        <v>98.5895873236984</v>
      </c>
      <c r="H39" s="27" t="n">
        <f aca="false">IF(Assumptions!$C$5="INR",'INR Normalised'!H39,'Raw Data'!H39)/IF(Assumptions!$C$5="INR",INDEX('INR Normalised'!$F39:$S39,Assumptions!$C$7),INDEX('Raw Data'!$F39:$S39,Assumptions!$C$7))*100</f>
        <v>101.973416913344</v>
      </c>
      <c r="I39" s="27" t="n">
        <f aca="false">IF(Assumptions!$C$5="INR",'INR Normalised'!I39,'Raw Data'!I39)/IF(Assumptions!$C$5="INR",INDEX('INR Normalised'!$F39:$S39,Assumptions!$C$7),INDEX('Raw Data'!$F39:$S39,Assumptions!$C$7))*100</f>
        <v>99.6343374542922</v>
      </c>
      <c r="J39" s="27" t="n">
        <f aca="false">IF(Assumptions!$C$5="INR",'INR Normalised'!J39,'Raw Data'!J39)/IF(Assumptions!$C$5="INR",INDEX('INR Normalised'!$F39:$S39,Assumptions!$C$7),INDEX('Raw Data'!$F39:$S39,Assumptions!$C$7))*100</f>
        <v>98.4154623019328</v>
      </c>
      <c r="K39" s="27" t="n">
        <f aca="false">IF(Assumptions!$C$5="INR",'INR Normalised'!K39,'Raw Data'!K39)/IF(Assumptions!$C$5="INR",INDEX('INR Normalised'!$F39:$S39,Assumptions!$C$7),INDEX('Raw Data'!$F39:$S39,Assumptions!$C$7))*100</f>
        <v>98.0033664170875</v>
      </c>
      <c r="L39" s="27" t="n">
        <f aca="false">IF(Assumptions!$C$5="INR",'INR Normalised'!L39,'Raw Data'!L39)/IF(Assumptions!$C$5="INR",INDEX('INR Normalised'!$F39:$S39,Assumptions!$C$7),INDEX('Raw Data'!$F39:$S39,Assumptions!$C$7))*100</f>
        <v>89.1229903070405</v>
      </c>
      <c r="M39" s="27" t="n">
        <f aca="false">IF(Assumptions!$C$5="INR",'INR Normalised'!M39,'Raw Data'!M39)/IF(Assumptions!$C$5="INR",INDEX('INR Normalised'!$F39:$S39,Assumptions!$C$7),INDEX('Raw Data'!$F39:$S39,Assumptions!$C$7))*100</f>
        <v>87.6139067850717</v>
      </c>
      <c r="N39" s="27" t="n">
        <f aca="false">IF(Assumptions!$C$5="INR",'INR Normalised'!N39,'Raw Data'!N39)/IF(Assumptions!$C$5="INR",INDEX('INR Normalised'!$F39:$S39,Assumptions!$C$7),INDEX('Raw Data'!$F39:$S39,Assumptions!$C$7))*100</f>
        <v>95.141911892739</v>
      </c>
      <c r="O39" s="27" t="n">
        <f aca="false">IF(Assumptions!$C$5="INR",'INR Normalised'!O39,'Raw Data'!O39)/IF(Assumptions!$C$5="INR",INDEX('INR Normalised'!$F39:$S39,Assumptions!$C$7),INDEX('Raw Data'!$F39:$S39,Assumptions!$C$7))*100</f>
        <v>157.937198908817</v>
      </c>
      <c r="P39" s="27" t="n">
        <f aca="false">IF(Assumptions!$C$5="INR",'INR Normalised'!P39,'Raw Data'!P39)/IF(Assumptions!$C$5="INR",INDEX('INR Normalised'!$F39:$S39,Assumptions!$C$7),INDEX('Raw Data'!$F39:$S39,Assumptions!$C$7))*100</f>
        <v>176.736897092112</v>
      </c>
      <c r="Q39" s="27" t="n">
        <f aca="false">IF(Assumptions!$C$5="INR",'INR Normalised'!Q39,'Raw Data'!Q39)/IF(Assumptions!$C$5="INR",INDEX('INR Normalised'!$F39:$S39,Assumptions!$C$7),INDEX('Raw Data'!$F39:$S39,Assumptions!$C$7))*100</f>
        <v>163.718149631435</v>
      </c>
      <c r="R39" s="27" t="n">
        <f aca="false">IF(Assumptions!$C$5="INR",'INR Normalised'!R39,'Raw Data'!R39)/IF(Assumptions!$C$5="INR",INDEX('INR Normalised'!$F39:$S39,Assumptions!$C$7),INDEX('Raw Data'!$F39:$S39,Assumptions!$C$7))*100</f>
        <v>158.215798943642</v>
      </c>
      <c r="S39" s="27" t="n">
        <f aca="false">IF(Assumptions!$C$5="INR",'INR Normalised'!S39,'Raw Data'!S39)/IF(Assumptions!$C$5="INR",INDEX('INR Normalised'!$F39:$S39,Assumptions!$C$7),INDEX('Raw Data'!$F39:$S39,Assumptions!$C$7))*100</f>
        <v>157.066573799988</v>
      </c>
      <c r="T39" s="20" t="n">
        <f aca="false">IFERROR(S39/R39-1,"")</f>
        <v>-0.00726365604020662</v>
      </c>
      <c r="U39" s="20" t="n">
        <f aca="false">IFERROR(S39/F39-1,"")</f>
        <v>0.570665737999884</v>
      </c>
    </row>
    <row r="40" customFormat="false" ht="15" hidden="false" customHeight="false" outlineLevel="0" collapsed="false">
      <c r="A40" s="17" t="s">
        <v>158</v>
      </c>
      <c r="B40" s="18"/>
      <c r="C40" s="18"/>
      <c r="D40" s="18"/>
      <c r="E40" s="18"/>
      <c r="F40" s="18"/>
      <c r="G40" s="18"/>
      <c r="H40" s="18"/>
      <c r="I40" s="18"/>
      <c r="J40" s="18"/>
      <c r="K40" s="18"/>
      <c r="L40" s="18"/>
      <c r="M40" s="18"/>
      <c r="N40" s="18"/>
      <c r="O40" s="18"/>
      <c r="P40" s="18"/>
      <c r="Q40" s="18"/>
      <c r="R40" s="18"/>
      <c r="S40" s="18"/>
      <c r="T40" s="18"/>
      <c r="U40" s="18"/>
      <c r="V40" s="18"/>
    </row>
    <row r="41" customFormat="false" ht="15" hidden="false" customHeight="false" outlineLevel="0" collapsed="false">
      <c r="A41" s="24" t="str">
        <f aca="false">'Raw Data'!A41</f>
        <v>Lithium Carbonate (99.5% batt grade)</v>
      </c>
      <c r="B41" s="11" t="s">
        <v>160</v>
      </c>
      <c r="C41" s="24" t="str">
        <f aca="false">Assumptions!$C$5</f>
        <v>INR</v>
      </c>
      <c r="D41" s="24" t="str">
        <f aca="false">Assumptions!$C$6</f>
        <v>Jul-25</v>
      </c>
      <c r="E41" s="11" t="n">
        <v>100</v>
      </c>
      <c r="F41" s="27" t="n">
        <f aca="false">IF(Assumptions!$C$5="INR",'INR Normalised'!F41,'Raw Data'!F41)/IF(Assumptions!$C$5="INR",INDEX('INR Normalised'!$F41:$S41,Assumptions!$C$7),INDEX('Raw Data'!$F41:$S41,Assumptions!$C$7))*100</f>
        <v>100</v>
      </c>
      <c r="G41" s="27" t="n">
        <f aca="false">IF(Assumptions!$C$5="INR",'INR Normalised'!G41,'Raw Data'!G41)/IF(Assumptions!$C$5="INR",INDEX('INR Normalised'!$F41:$S41,Assumptions!$C$7),INDEX('Raw Data'!$F41:$S41,Assumptions!$C$7))*100</f>
        <v>113.373277689336</v>
      </c>
      <c r="H41" s="27" t="n">
        <f aca="false">IF(Assumptions!$C$5="INR",'INR Normalised'!H41,'Raw Data'!H41)/IF(Assumptions!$C$5="INR",INDEX('INR Normalised'!$F41:$S41,Assumptions!$C$7),INDEX('Raw Data'!$F41:$S41,Assumptions!$C$7))*100</f>
        <v>114.337992441628</v>
      </c>
      <c r="I41" s="27" t="n">
        <f aca="false">IF(Assumptions!$C$5="INR",'INR Normalised'!I41,'Raw Data'!I41)/IF(Assumptions!$C$5="INR",INDEX('INR Normalised'!$F41:$S41,Assumptions!$C$7),INDEX('Raw Data'!$F41:$S41,Assumptions!$C$7))*100</f>
        <v>115.320849590754</v>
      </c>
      <c r="J41" s="27" t="n">
        <f aca="false">IF(Assumptions!$C$5="INR",'INR Normalised'!J41,'Raw Data'!J41)/IF(Assumptions!$C$5="INR",INDEX('INR Normalised'!$F41:$S41,Assumptions!$C$7),INDEX('Raw Data'!$F41:$S41,Assumptions!$C$7))*100</f>
        <v>125.933109545109</v>
      </c>
      <c r="K41" s="27" t="n">
        <f aca="false">IF(Assumptions!$C$5="INR",'INR Normalised'!K41,'Raw Data'!K41)/IF(Assumptions!$C$5="INR",INDEX('INR Normalised'!$F41:$S41,Assumptions!$C$7),INDEX('Raw Data'!$F41:$S41,Assumptions!$C$7))*100</f>
        <v>143.032325417827</v>
      </c>
      <c r="L41" s="27" t="n">
        <f aca="false">IF(Assumptions!$C$5="INR",'INR Normalised'!L41,'Raw Data'!L41)/IF(Assumptions!$C$5="INR",INDEX('INR Normalised'!$F41:$S41,Assumptions!$C$7),INDEX('Raw Data'!$F41:$S41,Assumptions!$C$7))*100</f>
        <v>219.447140968069</v>
      </c>
      <c r="M41" s="27" t="n">
        <f aca="false">IF(Assumptions!$C$5="INR",'INR Normalised'!M41,'Raw Data'!M41)/IF(Assumptions!$C$5="INR",INDEX('INR Normalised'!$F41:$S41,Assumptions!$C$7),INDEX('Raw Data'!$F41:$S41,Assumptions!$C$7))*100</f>
        <v>230.54436378262</v>
      </c>
      <c r="N41" s="27" t="n">
        <f aca="false">IF(Assumptions!$C$5="INR",'INR Normalised'!N41,'Raw Data'!N41)/IF(Assumptions!$C$5="INR",INDEX('INR Normalised'!$F41:$S41,Assumptions!$C$7),INDEX('Raw Data'!$F41:$S41,Assumptions!$C$7))*100</f>
        <v>254.314935279091</v>
      </c>
      <c r="O41" s="27" t="n">
        <f aca="false">IF(Assumptions!$C$5="INR",'INR Normalised'!O41,'Raw Data'!O41)/IF(Assumptions!$C$5="INR",INDEX('INR Normalised'!$F41:$S41,Assumptions!$C$7),INDEX('Raw Data'!$F41:$S41,Assumptions!$C$7))*100</f>
        <v>260.84532050265</v>
      </c>
      <c r="P41" s="27" t="n">
        <f aca="false">IF(Assumptions!$C$5="INR",'INR Normalised'!P41,'Raw Data'!P41)/IF(Assumptions!$C$5="INR",INDEX('INR Normalised'!$F41:$S41,Assumptions!$C$7),INDEX('Raw Data'!$F41:$S41,Assumptions!$C$7))*100</f>
        <v>288.916037727958</v>
      </c>
      <c r="Q41" s="27" t="n">
        <f aca="false">IF(Assumptions!$C$5="INR",'INR Normalised'!Q41,'Raw Data'!Q41)/IF(Assumptions!$C$5="INR",INDEX('INR Normalised'!$F41:$S41,Assumptions!$C$7),INDEX('Raw Data'!$F41:$S41,Assumptions!$C$7))*100</f>
        <v>272.584534587184</v>
      </c>
      <c r="R41" s="27" t="n">
        <f aca="false">IF(Assumptions!$C$5="INR",'INR Normalised'!R41,'Raw Data'!R41)/IF(Assumptions!$C$5="INR",INDEX('INR Normalised'!$F41:$S41,Assumptions!$C$7),INDEX('Raw Data'!$F41:$S41,Assumptions!$C$7))*100</f>
        <v>258.199958833352</v>
      </c>
      <c r="S41" s="27" t="n">
        <f aca="false">IF(Assumptions!$C$5="INR",'INR Normalised'!S41,'Raw Data'!S41)/IF(Assumptions!$C$5="INR",INDEX('INR Normalised'!$F41:$S41,Assumptions!$C$7),INDEX('Raw Data'!$F41:$S41,Assumptions!$C$7))*100</f>
        <v>254.208165285326</v>
      </c>
      <c r="T41" s="20" t="n">
        <f aca="false">IFERROR(S41/R41-1,"")</f>
        <v>-0.0154600859196981</v>
      </c>
      <c r="U41" s="20" t="n">
        <f aca="false">IFERROR(S41/F41-1,"")</f>
        <v>1.54208165285326</v>
      </c>
    </row>
    <row r="42" customFormat="false" ht="15" hidden="false" customHeight="false" outlineLevel="0" collapsed="false">
      <c r="A42" s="24" t="str">
        <f aca="false">'Raw Data'!A42</f>
        <v>Lithium Hydroxide (56.5% batt grade)</v>
      </c>
      <c r="B42" s="11" t="s">
        <v>160</v>
      </c>
      <c r="C42" s="24" t="str">
        <f aca="false">Assumptions!$C$5</f>
        <v>INR</v>
      </c>
      <c r="D42" s="24" t="str">
        <f aca="false">Assumptions!$C$6</f>
        <v>Jul-25</v>
      </c>
      <c r="E42" s="11" t="n">
        <v>100</v>
      </c>
      <c r="F42" s="27" t="n">
        <f aca="false">IF(Assumptions!$C$5="INR",'INR Normalised'!F42,'Raw Data'!F42)/IF(Assumptions!$C$5="INR",INDEX('INR Normalised'!$F42:$S42,Assumptions!$C$7),INDEX('Raw Data'!$F42:$S42,Assumptions!$C$7))*100</f>
        <v>100</v>
      </c>
      <c r="G42" s="27" t="n">
        <f aca="false">IF(Assumptions!$C$5="INR",'INR Normalised'!G42,'Raw Data'!G42)/IF(Assumptions!$C$5="INR",INDEX('INR Normalised'!$F42:$S42,Assumptions!$C$7),INDEX('Raw Data'!$F42:$S42,Assumptions!$C$7))*100</f>
        <v>107.414726668725</v>
      </c>
      <c r="H42" s="27" t="n">
        <f aca="false">IF(Assumptions!$C$5="INR",'INR Normalised'!H42,'Raw Data'!H42)/IF(Assumptions!$C$5="INR",INDEX('INR Normalised'!$F42:$S42,Assumptions!$C$7),INDEX('Raw Data'!$F42:$S42,Assumptions!$C$7))*100</f>
        <v>117.556274504311</v>
      </c>
      <c r="I42" s="27" t="n">
        <f aca="false">IF(Assumptions!$C$5="INR",'INR Normalised'!I42,'Raw Data'!I42)/IF(Assumptions!$C$5="INR",INDEX('INR Normalised'!$F42:$S42,Assumptions!$C$7),INDEX('Raw Data'!$F42:$S42,Assumptions!$C$7))*100</f>
        <v>120.599100051606</v>
      </c>
      <c r="J42" s="27" t="n">
        <f aca="false">IF(Assumptions!$C$5="INR",'INR Normalised'!J42,'Raw Data'!J42)/IF(Assumptions!$C$5="INR",INDEX('INR Normalised'!$F42:$S42,Assumptions!$C$7),INDEX('Raw Data'!$F42:$S42,Assumptions!$C$7))*100</f>
        <v>129.955756258265</v>
      </c>
      <c r="K42" s="27" t="n">
        <f aca="false">IF(Assumptions!$C$5="INR",'INR Normalised'!K42,'Raw Data'!K42)/IF(Assumptions!$C$5="INR",INDEX('INR Normalised'!$F42:$S42,Assumptions!$C$7),INDEX('Raw Data'!$F42:$S42,Assumptions!$C$7))*100</f>
        <v>139.045027424635</v>
      </c>
      <c r="L42" s="27" t="n">
        <f aca="false">IF(Assumptions!$C$5="INR",'INR Normalised'!L42,'Raw Data'!L42)/IF(Assumptions!$C$5="INR",INDEX('INR Normalised'!$F42:$S42,Assumptions!$C$7),INDEX('Raw Data'!$F42:$S42,Assumptions!$C$7))*100</f>
        <v>217.433481874258</v>
      </c>
      <c r="M42" s="27" t="n">
        <f aca="false">IF(Assumptions!$C$5="INR",'INR Normalised'!M42,'Raw Data'!M42)/IF(Assumptions!$C$5="INR",INDEX('INR Normalised'!$F42:$S42,Assumptions!$C$7),INDEX('Raw Data'!$F42:$S42,Assumptions!$C$7))*100</f>
        <v>228.683704244814</v>
      </c>
      <c r="N42" s="27" t="n">
        <f aca="false">IF(Assumptions!$C$5="INR",'INR Normalised'!N42,'Raw Data'!N42)/IF(Assumptions!$C$5="INR",INDEX('INR Normalised'!$F42:$S42,Assumptions!$C$7),INDEX('Raw Data'!$F42:$S42,Assumptions!$C$7))*100</f>
        <v>243.568645346302</v>
      </c>
      <c r="O42" s="27" t="n">
        <f aca="false">IF(Assumptions!$C$5="INR",'INR Normalised'!O42,'Raw Data'!O42)/IF(Assumptions!$C$5="INR",INDEX('INR Normalised'!$F42:$S42,Assumptions!$C$7),INDEX('Raw Data'!$F42:$S42,Assumptions!$C$7))*100</f>
        <v>248.945810695146</v>
      </c>
      <c r="P42" s="27" t="n">
        <f aca="false">IF(Assumptions!$C$5="INR",'INR Normalised'!P42,'Raw Data'!P42)/IF(Assumptions!$C$5="INR",INDEX('INR Normalised'!$F42:$S42,Assumptions!$C$7),INDEX('Raw Data'!$F42:$S42,Assumptions!$C$7))*100</f>
        <v>279.092019957962</v>
      </c>
      <c r="Q42" s="27" t="n">
        <f aca="false">IF(Assumptions!$C$5="INR",'INR Normalised'!Q42,'Raw Data'!Q42)/IF(Assumptions!$C$5="INR",INDEX('INR Normalised'!$F42:$S42,Assumptions!$C$7),INDEX('Raw Data'!$F42:$S42,Assumptions!$C$7))*100</f>
        <v>261.613744014837</v>
      </c>
      <c r="R42" s="27" t="n">
        <f aca="false">IF(Assumptions!$C$5="INR",'INR Normalised'!R42,'Raw Data'!R42)/IF(Assumptions!$C$5="INR",INDEX('INR Normalised'!$F42:$S42,Assumptions!$C$7),INDEX('Raw Data'!$F42:$S42,Assumptions!$C$7))*100</f>
        <v>246.648941487712</v>
      </c>
      <c r="S42" s="27" t="n">
        <f aca="false">IF(Assumptions!$C$5="INR",'INR Normalised'!S42,'Raw Data'!S42)/IF(Assumptions!$C$5="INR",INDEX('INR Normalised'!$F42:$S42,Assumptions!$C$7),INDEX('Raw Data'!$F42:$S42,Assumptions!$C$7))*100</f>
        <v>244.216410243138</v>
      </c>
      <c r="T42" s="20" t="n">
        <f aca="false">IFERROR(S42/R42-1,"")</f>
        <v>-0.00986232184862335</v>
      </c>
      <c r="U42" s="20" t="n">
        <f aca="false">IFERROR(S42/F42-1,"")</f>
        <v>1.44216410243138</v>
      </c>
    </row>
    <row r="43" customFormat="false" ht="15" hidden="false" customHeight="false" outlineLevel="0" collapsed="false">
      <c r="A43" s="24" t="str">
        <f aca="false">'Raw Data'!A43</f>
        <v>Cobalt Oxide (Co&gt;=72%)</v>
      </c>
      <c r="B43" s="11" t="s">
        <v>160</v>
      </c>
      <c r="C43" s="24" t="str">
        <f aca="false">Assumptions!$C$5</f>
        <v>INR</v>
      </c>
      <c r="D43" s="24" t="str">
        <f aca="false">Assumptions!$C$6</f>
        <v>Jul-25</v>
      </c>
      <c r="E43" s="11" t="n">
        <v>100</v>
      </c>
      <c r="F43" s="27" t="n">
        <f aca="false">IF(Assumptions!$C$5="INR",'INR Normalised'!F43,'Raw Data'!F43)/IF(Assumptions!$C$5="INR",INDEX('INR Normalised'!$F43:$S43,Assumptions!$C$7),INDEX('Raw Data'!$F43:$S43,Assumptions!$C$7))*100</f>
        <v>100</v>
      </c>
      <c r="G43" s="27" t="n">
        <f aca="false">IF(Assumptions!$C$5="INR",'INR Normalised'!G43,'Raw Data'!G43)/IF(Assumptions!$C$5="INR",INDEX('INR Normalised'!$F43:$S43,Assumptions!$C$7),INDEX('Raw Data'!$F43:$S43,Assumptions!$C$7))*100</f>
        <v>105.34361228673</v>
      </c>
      <c r="H43" s="27" t="n">
        <f aca="false">IF(Assumptions!$C$5="INR",'INR Normalised'!H43,'Raw Data'!H43)/IF(Assumptions!$C$5="INR",INDEX('INR Normalised'!$F43:$S43,Assumptions!$C$7),INDEX('Raw Data'!$F43:$S43,Assumptions!$C$7))*100</f>
        <v>110.567827674905</v>
      </c>
      <c r="I43" s="27" t="n">
        <f aca="false">IF(Assumptions!$C$5="INR",'INR Normalised'!I43,'Raw Data'!I43)/IF(Assumptions!$C$5="INR",INDEX('INR Normalised'!$F43:$S43,Assumptions!$C$7),INDEX('Raw Data'!$F43:$S43,Assumptions!$C$7))*100</f>
        <v>152.035222362998</v>
      </c>
      <c r="J43" s="27" t="n">
        <f aca="false">IF(Assumptions!$C$5="INR",'INR Normalised'!J43,'Raw Data'!J43)/IF(Assumptions!$C$5="INR",INDEX('INR Normalised'!$F43:$S43,Assumptions!$C$7),INDEX('Raw Data'!$F43:$S43,Assumptions!$C$7))*100</f>
        <v>164.346400671889</v>
      </c>
      <c r="K43" s="27" t="n">
        <f aca="false">IF(Assumptions!$C$5="INR",'INR Normalised'!K43,'Raw Data'!K43)/IF(Assumptions!$C$5="INR",INDEX('INR Normalised'!$F43:$S43,Assumptions!$C$7),INDEX('Raw Data'!$F43:$S43,Assumptions!$C$7))*100</f>
        <v>177.379120595994</v>
      </c>
      <c r="L43" s="27" t="n">
        <f aca="false">IF(Assumptions!$C$5="INR",'INR Normalised'!L43,'Raw Data'!L43)/IF(Assumptions!$C$5="INR",INDEX('INR Normalised'!$F43:$S43,Assumptions!$C$7),INDEX('Raw Data'!$F43:$S43,Assumptions!$C$7))*100</f>
        <v>193.590849767219</v>
      </c>
      <c r="M43" s="27" t="n">
        <f aca="false">IF(Assumptions!$C$5="INR",'INR Normalised'!M43,'Raw Data'!M43)/IF(Assumptions!$C$5="INR",INDEX('INR Normalised'!$F43:$S43,Assumptions!$C$7),INDEX('Raw Data'!$F43:$S43,Assumptions!$C$7))*100</f>
        <v>196.570245842662</v>
      </c>
      <c r="N43" s="27" t="n">
        <f aca="false">IF(Assumptions!$C$5="INR",'INR Normalised'!N43,'Raw Data'!N43)/IF(Assumptions!$C$5="INR",INDEX('INR Normalised'!$F43:$S43,Assumptions!$C$7),INDEX('Raw Data'!$F43:$S43,Assumptions!$C$7))*100</f>
        <v>202.273753373958</v>
      </c>
      <c r="O43" s="27" t="n">
        <f aca="false">IF(Assumptions!$C$5="INR",'INR Normalised'!O43,'Raw Data'!O43)/IF(Assumptions!$C$5="INR",INDEX('INR Normalised'!$F43:$S43,Assumptions!$C$7),INDEX('Raw Data'!$F43:$S43,Assumptions!$C$7))*100</f>
        <v>202.042938132849</v>
      </c>
      <c r="P43" s="27" t="n">
        <f aca="false">IF(Assumptions!$C$5="INR",'INR Normalised'!P43,'Raw Data'!P43)/IF(Assumptions!$C$5="INR",INDEX('INR Normalised'!$F43:$S43,Assumptions!$C$7),INDEX('Raw Data'!$F43:$S43,Assumptions!$C$7))*100</f>
        <v>204.003946856082</v>
      </c>
      <c r="Q43" s="27" t="n">
        <f aca="false">IF(Assumptions!$C$5="INR",'INR Normalised'!Q43,'Raw Data'!Q43)/IF(Assumptions!$C$5="INR",INDEX('INR Normalised'!$F43:$S43,Assumptions!$C$7),INDEX('Raw Data'!$F43:$S43,Assumptions!$C$7))*100</f>
        <v>194.40426187151</v>
      </c>
      <c r="R43" s="27" t="n">
        <f aca="false">IF(Assumptions!$C$5="INR",'INR Normalised'!R43,'Raw Data'!R43)/IF(Assumptions!$C$5="INR",INDEX('INR Normalised'!$F43:$S43,Assumptions!$C$7),INDEX('Raw Data'!$F43:$S43,Assumptions!$C$7))*100</f>
        <v>182.279906450382</v>
      </c>
      <c r="S43" s="27" t="n">
        <f aca="false">IF(Assumptions!$C$5="INR",'INR Normalised'!S43,'Raw Data'!S43)/IF(Assumptions!$C$5="INR",INDEX('INR Normalised'!$F43:$S43,Assumptions!$C$7),INDEX('Raw Data'!$F43:$S43,Assumptions!$C$7))*100</f>
        <v>168.235306853522</v>
      </c>
      <c r="T43" s="20" t="n">
        <f aca="false">IFERROR(S43/R43-1,"")</f>
        <v>-0.0770496313628665</v>
      </c>
      <c r="U43" s="20" t="n">
        <f aca="false">IFERROR(S43/F43-1,"")</f>
        <v>0.682353068535222</v>
      </c>
    </row>
    <row r="44" customFormat="false" ht="15" hidden="false" customHeight="false" outlineLevel="0" collapsed="false">
      <c r="A44" s="24" t="str">
        <f aca="false">'Raw Data'!A44</f>
        <v>Cobalt Metal (Co&gt;=99.8%)</v>
      </c>
      <c r="B44" s="11" t="s">
        <v>160</v>
      </c>
      <c r="C44" s="24" t="str">
        <f aca="false">Assumptions!$C$5</f>
        <v>INR</v>
      </c>
      <c r="D44" s="24" t="str">
        <f aca="false">Assumptions!$C$6</f>
        <v>Jul-25</v>
      </c>
      <c r="E44" s="11" t="n">
        <v>100</v>
      </c>
      <c r="F44" s="27" t="n">
        <f aca="false">IF(Assumptions!$C$5="INR",'INR Normalised'!F44,'Raw Data'!F44)/IF(Assumptions!$C$5="INR",INDEX('INR Normalised'!$F44:$S44,Assumptions!$C$7),INDEX('Raw Data'!$F44:$S44,Assumptions!$C$7))*100</f>
        <v>100</v>
      </c>
      <c r="G44" s="27" t="n">
        <f aca="false">IF(Assumptions!$C$5="INR",'INR Normalised'!G44,'Raw Data'!G44)/IF(Assumptions!$C$5="INR",INDEX('INR Normalised'!$F44:$S44,Assumptions!$C$7),INDEX('Raw Data'!$F44:$S44,Assumptions!$C$7))*100</f>
        <v>107.836566900179</v>
      </c>
      <c r="H44" s="27" t="n">
        <f aca="false">IF(Assumptions!$C$5="INR",'INR Normalised'!H44,'Raw Data'!H44)/IF(Assumptions!$C$5="INR",INDEX('INR Normalised'!$F44:$S44,Assumptions!$C$7),INDEX('Raw Data'!$F44:$S44,Assumptions!$C$7))*100</f>
        <v>116.034979078146</v>
      </c>
      <c r="I44" s="27" t="n">
        <f aca="false">IF(Assumptions!$C$5="INR",'INR Normalised'!I44,'Raw Data'!I44)/IF(Assumptions!$C$5="INR",INDEX('INR Normalised'!$F44:$S44,Assumptions!$C$7),INDEX('Raw Data'!$F44:$S44,Assumptions!$C$7))*100</f>
        <v>159.979606135272</v>
      </c>
      <c r="J44" s="27" t="n">
        <f aca="false">IF(Assumptions!$C$5="INR",'INR Normalised'!J44,'Raw Data'!J44)/IF(Assumptions!$C$5="INR",INDEX('INR Normalised'!$F44:$S44,Assumptions!$C$7),INDEX('Raw Data'!$F44:$S44,Assumptions!$C$7))*100</f>
        <v>164.455628563608</v>
      </c>
      <c r="K44" s="27" t="n">
        <f aca="false">IF(Assumptions!$C$5="INR",'INR Normalised'!K44,'Raw Data'!K44)/IF(Assumptions!$C$5="INR",INDEX('INR Normalised'!$F44:$S44,Assumptions!$C$7),INDEX('Raw Data'!$F44:$S44,Assumptions!$C$7))*100</f>
        <v>178.103582042567</v>
      </c>
      <c r="L44" s="27" t="n">
        <f aca="false">IF(Assumptions!$C$5="INR",'INR Normalised'!L44,'Raw Data'!L44)/IF(Assumptions!$C$5="INR",INDEX('INR Normalised'!$F44:$S44,Assumptions!$C$7),INDEX('Raw Data'!$F44:$S44,Assumptions!$C$7))*100</f>
        <v>195.75308141851</v>
      </c>
      <c r="M44" s="27" t="n">
        <f aca="false">IF(Assumptions!$C$5="INR",'INR Normalised'!M44,'Raw Data'!M44)/IF(Assumptions!$C$5="INR",INDEX('INR Normalised'!$F44:$S44,Assumptions!$C$7),INDEX('Raw Data'!$F44:$S44,Assumptions!$C$7))*100</f>
        <v>187.08860976373</v>
      </c>
      <c r="N44" s="27" t="n">
        <f aca="false">IF(Assumptions!$C$5="INR",'INR Normalised'!N44,'Raw Data'!N44)/IF(Assumptions!$C$5="INR",INDEX('INR Normalised'!$F44:$S44,Assumptions!$C$7),INDEX('Raw Data'!$F44:$S44,Assumptions!$C$7))*100</f>
        <v>193.057656198231</v>
      </c>
      <c r="O44" s="27" t="n">
        <f aca="false">IF(Assumptions!$C$5="INR",'INR Normalised'!O44,'Raw Data'!O44)/IF(Assumptions!$C$5="INR",INDEX('INR Normalised'!$F44:$S44,Assumptions!$C$7),INDEX('Raw Data'!$F44:$S44,Assumptions!$C$7))*100</f>
        <v>189.696312630374</v>
      </c>
      <c r="P44" s="27" t="n">
        <f aca="false">IF(Assumptions!$C$5="INR",'INR Normalised'!P44,'Raw Data'!P44)/IF(Assumptions!$C$5="INR",INDEX('INR Normalised'!$F44:$S44,Assumptions!$C$7),INDEX('Raw Data'!$F44:$S44,Assumptions!$C$7))*100</f>
        <v>199.683929703184</v>
      </c>
      <c r="Q44" s="27" t="n">
        <f aca="false">IF(Assumptions!$C$5="INR",'INR Normalised'!Q44,'Raw Data'!Q44)/IF(Assumptions!$C$5="INR",INDEX('INR Normalised'!$F44:$S44,Assumptions!$C$7),INDEX('Raw Data'!$F44:$S44,Assumptions!$C$7))*100</f>
        <v>186.133922860371</v>
      </c>
      <c r="R44" s="27" t="n">
        <f aca="false">IF(Assumptions!$C$5="INR",'INR Normalised'!R44,'Raw Data'!R44)/IF(Assumptions!$C$5="INR",INDEX('INR Normalised'!$F44:$S44,Assumptions!$C$7),INDEX('Raw Data'!$F44:$S44,Assumptions!$C$7))*100</f>
        <v>173.479180359557</v>
      </c>
      <c r="S44" s="27" t="n">
        <f aca="false">IF(Assumptions!$C$5="INR",'INR Normalised'!S44,'Raw Data'!S44)/IF(Assumptions!$C$5="INR",INDEX('INR Normalised'!$F44:$S44,Assumptions!$C$7),INDEX('Raw Data'!$F44:$S44,Assumptions!$C$7))*100</f>
        <v>152.057355748121</v>
      </c>
      <c r="T44" s="20" t="n">
        <f aca="false">IFERROR(S44/R44-1,"")</f>
        <v>-0.123483547518709</v>
      </c>
      <c r="U44" s="20" t="n">
        <f aca="false">IFERROR(S44/F44-1,"")</f>
        <v>0.520573557481207</v>
      </c>
    </row>
    <row r="45" customFormat="false" ht="15" hidden="false" customHeight="false" outlineLevel="0" collapsed="false">
      <c r="A45" s="17" t="s">
        <v>165</v>
      </c>
      <c r="B45" s="18"/>
      <c r="C45" s="18"/>
      <c r="D45" s="18"/>
      <c r="E45" s="18"/>
      <c r="F45" s="18"/>
      <c r="G45" s="18"/>
      <c r="H45" s="18"/>
      <c r="I45" s="18"/>
      <c r="J45" s="18"/>
      <c r="K45" s="18"/>
      <c r="L45" s="18"/>
      <c r="M45" s="18"/>
      <c r="N45" s="18"/>
      <c r="O45" s="18"/>
      <c r="P45" s="18"/>
      <c r="Q45" s="18"/>
      <c r="R45" s="18"/>
      <c r="S45" s="18"/>
      <c r="T45" s="18"/>
      <c r="U45" s="18"/>
      <c r="V45" s="18"/>
    </row>
    <row r="46" customFormat="false" ht="15" hidden="false" customHeight="false" outlineLevel="0" collapsed="false">
      <c r="A46" s="24" t="str">
        <f aca="false">'Raw Data'!A46</f>
        <v>NdFeB Magnet (GD - scrap)</v>
      </c>
      <c r="B46" s="11" t="s">
        <v>167</v>
      </c>
      <c r="C46" s="24" t="str">
        <f aca="false">Assumptions!$C$5</f>
        <v>INR</v>
      </c>
      <c r="D46" s="24" t="str">
        <f aca="false">Assumptions!$C$6</f>
        <v>Jul-25</v>
      </c>
      <c r="E46" s="11" t="n">
        <v>100</v>
      </c>
      <c r="F46" s="27" t="n">
        <f aca="false">IF(Assumptions!$C$5="INR",'INR Normalised'!F46,'Raw Data'!F46)/IF(Assumptions!$C$5="INR",INDEX('INR Normalised'!$F46:$S46,Assumptions!$C$7),INDEX('Raw Data'!$F46:$S46,Assumptions!$C$7))*100</f>
        <v>100</v>
      </c>
      <c r="G46" s="27" t="n">
        <f aca="false">IF(Assumptions!$C$5="INR",'INR Normalised'!G46,'Raw Data'!G46)/IF(Assumptions!$C$5="INR",INDEX('INR Normalised'!$F46:$S46,Assumptions!$C$7),INDEX('Raw Data'!$F46:$S46,Assumptions!$C$7))*100</f>
        <v>101.56619649359</v>
      </c>
      <c r="H46" s="27" t="n">
        <f aca="false">IF(Assumptions!$C$5="INR",'INR Normalised'!H46,'Raw Data'!H46)/IF(Assumptions!$C$5="INR",INDEX('INR Normalised'!$F46:$S46,Assumptions!$C$7),INDEX('Raw Data'!$F46:$S46,Assumptions!$C$7))*100</f>
        <v>103.183607568272</v>
      </c>
      <c r="I46" s="27" t="n">
        <f aca="false">IF(Assumptions!$C$5="INR",'INR Normalised'!I46,'Raw Data'!I46)/IF(Assumptions!$C$5="INR",INDEX('INR Normalised'!$F46:$S46,Assumptions!$C$7),INDEX('Raw Data'!$F46:$S46,Assumptions!$C$7))*100</f>
        <v>103.383466822319</v>
      </c>
      <c r="J46" s="27" t="n">
        <f aca="false">IF(Assumptions!$C$5="INR",'INR Normalised'!J46,'Raw Data'!J46)/IF(Assumptions!$C$5="INR",INDEX('INR Normalised'!$F46:$S46,Assumptions!$C$7),INDEX('Raw Data'!$F46:$S46,Assumptions!$C$7))*100</f>
        <v>104.051384041103</v>
      </c>
      <c r="K46" s="27" t="n">
        <f aca="false">IF(Assumptions!$C$5="INR",'INR Normalised'!K46,'Raw Data'!K46)/IF(Assumptions!$C$5="INR",INDEX('INR Normalised'!$F46:$S46,Assumptions!$C$7),INDEX('Raw Data'!$F46:$S46,Assumptions!$C$7))*100</f>
        <v>106.386185243328</v>
      </c>
      <c r="L46" s="27" t="n">
        <f aca="false">IF(Assumptions!$C$5="INR",'INR Normalised'!L46,'Raw Data'!L46)/IF(Assumptions!$C$5="INR",INDEX('INR Normalised'!$F46:$S46,Assumptions!$C$7),INDEX('Raw Data'!$F46:$S46,Assumptions!$C$7))*100</f>
        <v>98.0303568780759</v>
      </c>
      <c r="M46" s="27" t="n">
        <f aca="false">IF(Assumptions!$C$5="INR",'INR Normalised'!M46,'Raw Data'!M46)/IF(Assumptions!$C$5="INR",INDEX('INR Normalised'!$F46:$S46,Assumptions!$C$7),INDEX('Raw Data'!$F46:$S46,Assumptions!$C$7))*100</f>
        <v>98.8686190656634</v>
      </c>
      <c r="N46" s="27" t="n">
        <f aca="false">IF(Assumptions!$C$5="INR",'INR Normalised'!N46,'Raw Data'!N46)/IF(Assumptions!$C$5="INR",INDEX('INR Normalised'!$F46:$S46,Assumptions!$C$7),INDEX('Raw Data'!$F46:$S46,Assumptions!$C$7))*100</f>
        <v>101.122889104898</v>
      </c>
      <c r="O46" s="27" t="n">
        <f aca="false">IF(Assumptions!$C$5="INR",'INR Normalised'!O46,'Raw Data'!O46)/IF(Assumptions!$C$5="INR",INDEX('INR Normalised'!$F46:$S46,Assumptions!$C$7),INDEX('Raw Data'!$F46:$S46,Assumptions!$C$7))*100</f>
        <v>102.874766698284</v>
      </c>
      <c r="P46" s="27" t="n">
        <f aca="false">IF(Assumptions!$C$5="INR",'INR Normalised'!P46,'Raw Data'!P46)/IF(Assumptions!$C$5="INR",INDEX('INR Normalised'!$F46:$S46,Assumptions!$C$7),INDEX('Raw Data'!$F46:$S46,Assumptions!$C$7))*100</f>
        <v>105.828755951694</v>
      </c>
      <c r="Q46" s="27" t="n">
        <f aca="false">IF(Assumptions!$C$5="INR",'INR Normalised'!Q46,'Raw Data'!Q46)/IF(Assumptions!$C$5="INR",INDEX('INR Normalised'!$F46:$S46,Assumptions!$C$7),INDEX('Raw Data'!$F46:$S46,Assumptions!$C$7))*100</f>
        <v>105.394185168013</v>
      </c>
      <c r="R46" s="27" t="n">
        <f aca="false">IF(Assumptions!$C$5="INR",'INR Normalised'!R46,'Raw Data'!R46)/IF(Assumptions!$C$5="INR",INDEX('INR Normalised'!$F46:$S46,Assumptions!$C$7),INDEX('Raw Data'!$F46:$S46,Assumptions!$C$7))*100</f>
        <v>106.321018454666</v>
      </c>
      <c r="S46" s="27" t="n">
        <f aca="false">IF(Assumptions!$C$5="INR",'INR Normalised'!S46,'Raw Data'!S46)/IF(Assumptions!$C$5="INR",INDEX('INR Normalised'!$F46:$S46,Assumptions!$C$7),INDEX('Raw Data'!$F46:$S46,Assumptions!$C$7))*100</f>
        <v>106.611953050163</v>
      </c>
      <c r="T46" s="20" t="n">
        <f aca="false">IFERROR(S46/R46-1,"")</f>
        <v>0.00273637893734646</v>
      </c>
      <c r="U46" s="20" t="n">
        <f aca="false">IFERROR(S46/F46-1,"")</f>
        <v>0.0661195305016251</v>
      </c>
    </row>
    <row r="47" customFormat="false" ht="15" hidden="false" customHeight="false" outlineLevel="0" collapsed="false">
      <c r="A47" s="17" t="s">
        <v>169</v>
      </c>
      <c r="B47" s="18"/>
      <c r="C47" s="18"/>
      <c r="D47" s="18"/>
      <c r="E47" s="18"/>
      <c r="F47" s="18"/>
      <c r="G47" s="18"/>
      <c r="H47" s="18"/>
      <c r="I47" s="18"/>
      <c r="J47" s="18"/>
      <c r="K47" s="18"/>
      <c r="L47" s="18"/>
      <c r="M47" s="18"/>
      <c r="N47" s="18"/>
      <c r="O47" s="18"/>
      <c r="P47" s="18"/>
      <c r="Q47" s="18"/>
      <c r="R47" s="18"/>
      <c r="S47" s="18"/>
      <c r="T47" s="18"/>
      <c r="U47" s="18"/>
      <c r="V47" s="18"/>
    </row>
    <row r="48" customFormat="false" ht="15" hidden="false" customHeight="false" outlineLevel="0" collapsed="false">
      <c r="A48" s="24" t="str">
        <f aca="false">'Raw Data'!A48</f>
        <v>Brent Crude (Europe spot FOB)</v>
      </c>
      <c r="B48" s="11" t="s">
        <v>171</v>
      </c>
      <c r="C48" s="24" t="str">
        <f aca="false">Assumptions!$C$5</f>
        <v>INR</v>
      </c>
      <c r="D48" s="24" t="str">
        <f aca="false">Assumptions!$C$6</f>
        <v>Jul-25</v>
      </c>
      <c r="E48" s="11" t="n">
        <v>100</v>
      </c>
      <c r="F48" s="27" t="n">
        <f aca="false">IF(Assumptions!$C$5="INR",'INR Normalised'!F48,'Raw Data'!F48)/IF(Assumptions!$C$5="INR",INDEX('INR Normalised'!$F48:$S48,Assumptions!$C$7),INDEX('Raw Data'!$F48:$S48,Assumptions!$C$7))*100</f>
        <v>100</v>
      </c>
      <c r="G48" s="27" t="n">
        <f aca="false">IF(Assumptions!$C$5="INR",'INR Normalised'!G48,'Raw Data'!G48)/IF(Assumptions!$C$5="INR",INDEX('INR Normalised'!$F48:$S48,Assumptions!$C$7),INDEX('Raw Data'!$F48:$S48,Assumptions!$C$7))*100</f>
        <v>97.6217565477909</v>
      </c>
      <c r="H48" s="27" t="n">
        <f aca="false">IF(Assumptions!$C$5="INR",'INR Normalised'!H48,'Raw Data'!H48)/IF(Assumptions!$C$5="INR",INDEX('INR Normalised'!$F48:$S48,Assumptions!$C$7),INDEX('Raw Data'!$F48:$S48,Assumptions!$C$7))*100</f>
        <v>98.5829929023254</v>
      </c>
      <c r="I48" s="27" t="n">
        <f aca="false">IF(Assumptions!$C$5="INR",'INR Normalised'!I48,'Raw Data'!I48)/IF(Assumptions!$C$5="INR",INDEX('INR Normalised'!$F48:$S48,Assumptions!$C$7),INDEX('Raw Data'!$F48:$S48,Assumptions!$C$7))*100</f>
        <v>93.6255968847003</v>
      </c>
      <c r="J48" s="27" t="n">
        <f aca="false">IF(Assumptions!$C$5="INR",'INR Normalised'!J48,'Raw Data'!J48)/IF(Assumptions!$C$5="INR",INDEX('INR Normalised'!$F48:$S48,Assumptions!$C$7),INDEX('Raw Data'!$F48:$S48,Assumptions!$C$7))*100</f>
        <v>94.1801437668688</v>
      </c>
      <c r="K48" s="27" t="n">
        <f aca="false">IF(Assumptions!$C$5="INR",'INR Normalised'!K48,'Raw Data'!K48)/IF(Assumptions!$C$5="INR",INDEX('INR Normalised'!$F48:$S48,Assumptions!$C$7),INDEX('Raw Data'!$F48:$S48,Assumptions!$C$7))*100</f>
        <v>92.4863536165215</v>
      </c>
      <c r="L48" s="27" t="n">
        <f aca="false">IF(Assumptions!$C$5="INR",'INR Normalised'!L48,'Raw Data'!L48)/IF(Assumptions!$C$5="INR",INDEX('INR Normalised'!$F48:$S48,Assumptions!$C$7),INDEX('Raw Data'!$F48:$S48,Assumptions!$C$7))*100</f>
        <v>99.2729571581507</v>
      </c>
      <c r="M48" s="27" t="n">
        <f aca="false">IF(Assumptions!$C$5="INR",'INR Normalised'!M48,'Raw Data'!M48)/IF(Assumptions!$C$5="INR",INDEX('INR Normalised'!$F48:$S48,Assumptions!$C$7),INDEX('Raw Data'!$F48:$S48,Assumptions!$C$7))*100</f>
        <v>105.644429366338</v>
      </c>
      <c r="N48" s="27" t="n">
        <f aca="false">IF(Assumptions!$C$5="INR",'INR Normalised'!N48,'Raw Data'!N48)/IF(Assumptions!$C$5="INR",INDEX('INR Normalised'!$F48:$S48,Assumptions!$C$7),INDEX('Raw Data'!$F48:$S48,Assumptions!$C$7))*100</f>
        <v>156.921700245326</v>
      </c>
      <c r="O48" s="27" t="n">
        <f aca="false">IF(Assumptions!$C$5="INR",'INR Normalised'!O48,'Raw Data'!O48)/IF(Assumptions!$C$5="INR",INDEX('INR Normalised'!$F48:$S48,Assumptions!$C$7),INDEX('Raw Data'!$F48:$S48,Assumptions!$C$7))*100</f>
        <v>180.151808912298</v>
      </c>
      <c r="P48" s="27" t="n">
        <f aca="false">IF(Assumptions!$C$5="INR",'INR Normalised'!P48,'Raw Data'!P48)/IF(Assumptions!$C$5="INR",INDEX('INR Normalised'!$F48:$S48,Assumptions!$C$7),INDEX('Raw Data'!$F48:$S48,Assumptions!$C$7))*100</f>
        <v>168.128686144024</v>
      </c>
      <c r="Q48" s="27" t="n">
        <f aca="false">IF(Assumptions!$C$5="INR",'INR Normalised'!Q48,'Raw Data'!Q48)/IF(Assumptions!$C$5="INR",INDEX('INR Normalised'!$F48:$S48,Assumptions!$C$7),INDEX('Raw Data'!$F48:$S48,Assumptions!$C$7))*100</f>
        <v>134.228156464159</v>
      </c>
      <c r="R48" s="27" t="n">
        <f aca="false">IF(Assumptions!$C$5="INR",'INR Normalised'!R48,'Raw Data'!R48)/IF(Assumptions!$C$5="INR",INDEX('INR Normalised'!$F48:$S48,Assumptions!$C$7),INDEX('Raw Data'!$F48:$S48,Assumptions!$C$7))*100</f>
        <v>131.713164001208</v>
      </c>
      <c r="S48" s="27" t="n">
        <f aca="false">IF(Assumptions!$C$5="INR",'INR Normalised'!S48,'Raw Data'!S48)/IF(Assumptions!$C$5="INR",INDEX('INR Normalised'!$F48:$S48,Assumptions!$C$7),INDEX('Raw Data'!$F48:$S48,Assumptions!$C$7))*100</f>
        <v>142.763147276597</v>
      </c>
      <c r="T48" s="20" t="n">
        <f aca="false">IFERROR(S48/R48-1,"")</f>
        <v>0.0838942968167367</v>
      </c>
      <c r="U48" s="20" t="n">
        <f aca="false">IFERROR(S48/F48-1,"")</f>
        <v>0.427631472765974</v>
      </c>
    </row>
    <row r="49" customFormat="false" ht="15" hidden="false" customHeight="false" outlineLevel="0" collapsed="false">
      <c r="A49" s="24" t="str">
        <f aca="false">'Raw Data'!A49</f>
        <v>CNG - Delhi (IGL)</v>
      </c>
      <c r="B49" s="11" t="s">
        <v>171</v>
      </c>
      <c r="C49" s="24" t="str">
        <f aca="false">Assumptions!$C$5</f>
        <v>INR</v>
      </c>
      <c r="D49" s="24" t="str">
        <f aca="false">Assumptions!$C$6</f>
        <v>Jul-25</v>
      </c>
      <c r="E49" s="11" t="n">
        <v>100</v>
      </c>
      <c r="F49" s="27" t="n">
        <f aca="false">IF(Assumptions!$C$5="INR",'INR Normalised'!F49,'Raw Data'!F49)/IF(Assumptions!$C$5="INR",INDEX('INR Normalised'!$F49:$S49,Assumptions!$C$7),INDEX('Raw Data'!$F49:$S49,Assumptions!$C$7))*100</f>
        <v>100</v>
      </c>
      <c r="G49" s="27" t="n">
        <f aca="false">IF(Assumptions!$C$5="INR",'INR Normalised'!G49,'Raw Data'!G49)/IF(Assumptions!$C$5="INR",INDEX('INR Normalised'!$F49:$S49,Assumptions!$C$7),INDEX('Raw Data'!$F49:$S49,Assumptions!$C$7))*100</f>
        <v>100</v>
      </c>
      <c r="H49" s="27" t="n">
        <f aca="false">IF(Assumptions!$C$5="INR",'INR Normalised'!H49,'Raw Data'!H49)/IF(Assumptions!$C$5="INR",INDEX('INR Normalised'!$F49:$S49,Assumptions!$C$7),INDEX('Raw Data'!$F49:$S49,Assumptions!$C$7))*100</f>
        <v>100</v>
      </c>
      <c r="I49" s="27" t="n">
        <f aca="false">IF(Assumptions!$C$5="INR",'INR Normalised'!I49,'Raw Data'!I49)/IF(Assumptions!$C$5="INR",INDEX('INR Normalised'!$F49:$S49,Assumptions!$C$7),INDEX('Raw Data'!$F49:$S49,Assumptions!$C$7))*100</f>
        <v>100</v>
      </c>
      <c r="J49" s="27" t="n">
        <f aca="false">IF(Assumptions!$C$5="INR",'INR Normalised'!J49,'Raw Data'!J49)/IF(Assumptions!$C$5="INR",INDEX('INR Normalised'!$F49:$S49,Assumptions!$C$7),INDEX('Raw Data'!$F49:$S49,Assumptions!$C$7))*100</f>
        <v>100</v>
      </c>
      <c r="K49" s="27" t="n">
        <f aca="false">IF(Assumptions!$C$5="INR",'INR Normalised'!K49,'Raw Data'!K49)/IF(Assumptions!$C$5="INR",INDEX('INR Normalised'!$F49:$S49,Assumptions!$C$7),INDEX('Raw Data'!$F49:$S49,Assumptions!$C$7))*100</f>
        <v>100</v>
      </c>
      <c r="L49" s="27" t="n">
        <f aca="false">IF(Assumptions!$C$5="INR",'INR Normalised'!L49,'Raw Data'!L49)/IF(Assumptions!$C$5="INR",INDEX('INR Normalised'!$F49:$S49,Assumptions!$C$7),INDEX('Raw Data'!$F49:$S49,Assumptions!$C$7))*100</f>
        <v>100</v>
      </c>
      <c r="M49" s="27" t="n">
        <f aca="false">IF(Assumptions!$C$5="INR",'INR Normalised'!M49,'Raw Data'!M49)/IF(Assumptions!$C$5="INR",INDEX('INR Normalised'!$F49:$S49,Assumptions!$C$7),INDEX('Raw Data'!$F49:$S49,Assumptions!$C$7))*100</f>
        <v>100</v>
      </c>
      <c r="N49" s="27" t="n">
        <f aca="false">IF(Assumptions!$C$5="INR",'INR Normalised'!N49,'Raw Data'!N49)/IF(Assumptions!$C$5="INR",INDEX('INR Normalised'!$F49:$S49,Assumptions!$C$7),INDEX('Raw Data'!$F49:$S49,Assumptions!$C$7))*100</f>
        <v>100</v>
      </c>
      <c r="O49" s="27" t="n">
        <f aca="false">IF(Assumptions!$C$5="INR",'INR Normalised'!O49,'Raw Data'!O49)/IF(Assumptions!$C$5="INR",INDEX('INR Normalised'!$F49:$S49,Assumptions!$C$7),INDEX('Raw Data'!$F49:$S49,Assumptions!$C$7))*100</f>
        <v>100</v>
      </c>
      <c r="P49" s="27" t="n">
        <f aca="false">IF(Assumptions!$C$5="INR",'INR Normalised'!P49,'Raw Data'!P49)/IF(Assumptions!$C$5="INR",INDEX('INR Normalised'!$F49:$S49,Assumptions!$C$7),INDEX('Raw Data'!$F49:$S49,Assumptions!$C$7))*100</f>
        <v>102.853437094682</v>
      </c>
      <c r="Q49" s="27" t="n">
        <f aca="false">IF(Assumptions!$C$5="INR",'INR Normalised'!Q49,'Raw Data'!Q49)/IF(Assumptions!$C$5="INR",INDEX('INR Normalised'!$F49:$S49,Assumptions!$C$7),INDEX('Raw Data'!$F49:$S49,Assumptions!$C$7))*100</f>
        <v>107.782101167315</v>
      </c>
      <c r="R49" s="27" t="n">
        <f aca="false">IF(Assumptions!$C$5="INR",'INR Normalised'!R49,'Raw Data'!R49)/IF(Assumptions!$C$5="INR",INDEX('INR Normalised'!$F49:$S49,Assumptions!$C$7),INDEX('Raw Data'!$F49:$S49,Assumptions!$C$7))*100</f>
        <v>107.782101167315</v>
      </c>
      <c r="S49" s="27" t="n">
        <f aca="false">IF(Assumptions!$C$5="INR",'INR Normalised'!S49,'Raw Data'!S49)/IF(Assumptions!$C$5="INR",INDEX('INR Normalised'!$F49:$S49,Assumptions!$C$7),INDEX('Raw Data'!$F49:$S49,Assumptions!$C$7))*100</f>
        <v>108.300907911803</v>
      </c>
      <c r="T49" s="20" t="n">
        <f aca="false">IFERROR(S49/R49-1,"")</f>
        <v>0.00481347773766561</v>
      </c>
      <c r="U49" s="20" t="n">
        <f aca="false">IFERROR(S49/F49-1,"")</f>
        <v>0.0830090791180287</v>
      </c>
    </row>
    <row r="50" customFormat="false" ht="15" hidden="false" customHeight="false" outlineLevel="0" collapsed="false">
      <c r="A50" s="24" t="str">
        <f aca="false">'Raw Data'!A50</f>
        <v>CNG - Mumbai (MGL)</v>
      </c>
      <c r="B50" s="11" t="s">
        <v>171</v>
      </c>
      <c r="C50" s="24" t="str">
        <f aca="false">Assumptions!$C$5</f>
        <v>INR</v>
      </c>
      <c r="D50" s="24" t="str">
        <f aca="false">Assumptions!$C$6</f>
        <v>Jul-25</v>
      </c>
      <c r="E50" s="11" t="n">
        <v>100</v>
      </c>
      <c r="F50" s="27" t="n">
        <f aca="false">IF(Assumptions!$C$5="INR",'INR Normalised'!F50,'Raw Data'!F50)/IF(Assumptions!$C$5="INR",INDEX('INR Normalised'!$F50:$S50,Assumptions!$C$7),INDEX('Raw Data'!$F50:$S50,Assumptions!$C$7))*100</f>
        <v>100</v>
      </c>
      <c r="G50" s="27" t="n">
        <f aca="false">IF(Assumptions!$C$5="INR",'INR Normalised'!G50,'Raw Data'!G50)/IF(Assumptions!$C$5="INR",INDEX('INR Normalised'!$F50:$S50,Assumptions!$C$7),INDEX('Raw Data'!$F50:$S50,Assumptions!$C$7))*100</f>
        <v>100</v>
      </c>
      <c r="H50" s="27" t="n">
        <f aca="false">IF(Assumptions!$C$5="INR",'INR Normalised'!H50,'Raw Data'!H50)/IF(Assumptions!$C$5="INR",INDEX('INR Normalised'!$F50:$S50,Assumptions!$C$7),INDEX('Raw Data'!$F50:$S50,Assumptions!$C$7))*100</f>
        <v>100.625</v>
      </c>
      <c r="I50" s="27" t="n">
        <f aca="false">IF(Assumptions!$C$5="INR",'INR Normalised'!I50,'Raw Data'!I50)/IF(Assumptions!$C$5="INR",INDEX('INR Normalised'!$F50:$S50,Assumptions!$C$7),INDEX('Raw Data'!$F50:$S50,Assumptions!$C$7))*100</f>
        <v>100.625</v>
      </c>
      <c r="J50" s="27" t="n">
        <f aca="false">IF(Assumptions!$C$5="INR",'INR Normalised'!J50,'Raw Data'!J50)/IF(Assumptions!$C$5="INR",INDEX('INR Normalised'!$F50:$S50,Assumptions!$C$7),INDEX('Raw Data'!$F50:$S50,Assumptions!$C$7))*100</f>
        <v>100.625</v>
      </c>
      <c r="K50" s="27" t="n">
        <f aca="false">IF(Assumptions!$C$5="INR",'INR Normalised'!K50,'Raw Data'!K50)/IF(Assumptions!$C$5="INR",INDEX('INR Normalised'!$F50:$S50,Assumptions!$C$7),INDEX('Raw Data'!$F50:$S50,Assumptions!$C$7))*100</f>
        <v>100.625</v>
      </c>
      <c r="L50" s="27" t="n">
        <f aca="false">IF(Assumptions!$C$5="INR",'INR Normalised'!L50,'Raw Data'!L50)/IF(Assumptions!$C$5="INR",INDEX('INR Normalised'!$F50:$S50,Assumptions!$C$7),INDEX('Raw Data'!$F50:$S50,Assumptions!$C$7))*100</f>
        <v>100.625</v>
      </c>
      <c r="M50" s="27" t="n">
        <f aca="false">IF(Assumptions!$C$5="INR",'INR Normalised'!M50,'Raw Data'!M50)/IF(Assumptions!$C$5="INR",INDEX('INR Normalised'!$F50:$S50,Assumptions!$C$7),INDEX('Raw Data'!$F50:$S50,Assumptions!$C$7))*100</f>
        <v>101.25</v>
      </c>
      <c r="N50" s="27" t="n">
        <f aca="false">IF(Assumptions!$C$5="INR",'INR Normalised'!N50,'Raw Data'!N50)/IF(Assumptions!$C$5="INR",INDEX('INR Normalised'!$F50:$S50,Assumptions!$C$7),INDEX('Raw Data'!$F50:$S50,Assumptions!$C$7))*100</f>
        <v>101.25</v>
      </c>
      <c r="O50" s="27" t="n">
        <f aca="false">IF(Assumptions!$C$5="INR",'INR Normalised'!O50,'Raw Data'!O50)/IF(Assumptions!$C$5="INR",INDEX('INR Normalised'!$F50:$S50,Assumptions!$C$7),INDEX('Raw Data'!$F50:$S50,Assumptions!$C$7))*100</f>
        <v>102</v>
      </c>
      <c r="P50" s="27" t="n">
        <f aca="false">IF(Assumptions!$C$5="INR",'INR Normalised'!P50,'Raw Data'!P50)/IF(Assumptions!$C$5="INR",INDEX('INR Normalised'!$F50:$S50,Assumptions!$C$7),INDEX('Raw Data'!$F50:$S50,Assumptions!$C$7))*100</f>
        <v>104.125</v>
      </c>
      <c r="Q50" s="27" t="n">
        <f aca="false">IF(Assumptions!$C$5="INR",'INR Normalised'!Q50,'Raw Data'!Q50)/IF(Assumptions!$C$5="INR",INDEX('INR Normalised'!$F50:$S50,Assumptions!$C$7),INDEX('Raw Data'!$F50:$S50,Assumptions!$C$7))*100</f>
        <v>107.5</v>
      </c>
      <c r="R50" s="27" t="n">
        <f aca="false">IF(Assumptions!$C$5="INR",'INR Normalised'!R50,'Raw Data'!R50)/IF(Assumptions!$C$5="INR",INDEX('INR Normalised'!$F50:$S50,Assumptions!$C$7),INDEX('Raw Data'!$F50:$S50,Assumptions!$C$7))*100</f>
        <v>107.5</v>
      </c>
      <c r="S50" s="27" t="n">
        <f aca="false">IF(Assumptions!$C$5="INR",'INR Normalised'!S50,'Raw Data'!S50)/IF(Assumptions!$C$5="INR",INDEX('INR Normalised'!$F50:$S50,Assumptions!$C$7),INDEX('Raw Data'!$F50:$S50,Assumptions!$C$7))*100</f>
        <v>107.5</v>
      </c>
      <c r="T50" s="20" t="n">
        <f aca="false">IFERROR(S50/R50-1,"")</f>
        <v>0</v>
      </c>
      <c r="U50" s="20" t="n">
        <f aca="false">IFERROR(S50/F50-1,"")</f>
        <v>0.075</v>
      </c>
    </row>
    <row r="51" customFormat="false" ht="15" hidden="false" customHeight="false" outlineLevel="0" collapsed="false">
      <c r="A51" s="24" t="str">
        <f aca="false">'Raw Data'!A51</f>
        <v>Petrol - Delhi</v>
      </c>
      <c r="B51" s="11" t="s">
        <v>171</v>
      </c>
      <c r="C51" s="24" t="str">
        <f aca="false">Assumptions!$C$5</f>
        <v>INR</v>
      </c>
      <c r="D51" s="24" t="str">
        <f aca="false">Assumptions!$C$6</f>
        <v>Jul-25</v>
      </c>
      <c r="E51" s="11" t="n">
        <v>100</v>
      </c>
      <c r="F51" s="27" t="n">
        <f aca="false">IF(Assumptions!$C$5="INR",'INR Normalised'!F51,'Raw Data'!F51)/IF(Assumptions!$C$5="INR",INDEX('INR Normalised'!$F51:$S51,Assumptions!$C$7),INDEX('Raw Data'!$F51:$S51,Assumptions!$C$7))*100</f>
        <v>100</v>
      </c>
      <c r="G51" s="27" t="n">
        <f aca="false">IF(Assumptions!$C$5="INR",'INR Normalised'!G51,'Raw Data'!G51)/IF(Assumptions!$C$5="INR",INDEX('INR Normalised'!$F51:$S51,Assumptions!$C$7),INDEX('Raw Data'!$F51:$S51,Assumptions!$C$7))*100</f>
        <v>100</v>
      </c>
      <c r="H51" s="27" t="n">
        <f aca="false">IF(Assumptions!$C$5="INR",'INR Normalised'!H51,'Raw Data'!H51)/IF(Assumptions!$C$5="INR",INDEX('INR Normalised'!$F51:$S51,Assumptions!$C$7),INDEX('Raw Data'!$F51:$S51,Assumptions!$C$7))*100</f>
        <v>100</v>
      </c>
      <c r="I51" s="27" t="n">
        <f aca="false">IF(Assumptions!$C$5="INR",'INR Normalised'!I51,'Raw Data'!I51)/IF(Assumptions!$C$5="INR",INDEX('INR Normalised'!$F51:$S51,Assumptions!$C$7),INDEX('Raw Data'!$F51:$S51,Assumptions!$C$7))*100</f>
        <v>100</v>
      </c>
      <c r="J51" s="27" t="n">
        <f aca="false">IF(Assumptions!$C$5="INR",'INR Normalised'!J51,'Raw Data'!J51)/IF(Assumptions!$C$5="INR",INDEX('INR Normalised'!$F51:$S51,Assumptions!$C$7),INDEX('Raw Data'!$F51:$S51,Assumptions!$C$7))*100</f>
        <v>100</v>
      </c>
      <c r="K51" s="27" t="n">
        <f aca="false">IF(Assumptions!$C$5="INR",'INR Normalised'!K51,'Raw Data'!K51)/IF(Assumptions!$C$5="INR",INDEX('INR Normalised'!$F51:$S51,Assumptions!$C$7),INDEX('Raw Data'!$F51:$S51,Assumptions!$C$7))*100</f>
        <v>100</v>
      </c>
      <c r="L51" s="27" t="n">
        <f aca="false">IF(Assumptions!$C$5="INR",'INR Normalised'!L51,'Raw Data'!L51)/IF(Assumptions!$C$5="INR",INDEX('INR Normalised'!$F51:$S51,Assumptions!$C$7),INDEX('Raw Data'!$F51:$S51,Assumptions!$C$7))*100</f>
        <v>100</v>
      </c>
      <c r="M51" s="27" t="n">
        <f aca="false">IF(Assumptions!$C$5="INR",'INR Normalised'!M51,'Raw Data'!M51)/IF(Assumptions!$C$5="INR",INDEX('INR Normalised'!$F51:$S51,Assumptions!$C$7),INDEX('Raw Data'!$F51:$S51,Assumptions!$C$7))*100</f>
        <v>100</v>
      </c>
      <c r="N51" s="27" t="n">
        <f aca="false">IF(Assumptions!$C$5="INR",'INR Normalised'!N51,'Raw Data'!N51)/IF(Assumptions!$C$5="INR",INDEX('INR Normalised'!$F51:$S51,Assumptions!$C$7),INDEX('Raw Data'!$F51:$S51,Assumptions!$C$7))*100</f>
        <v>100</v>
      </c>
      <c r="O51" s="27" t="n">
        <f aca="false">IF(Assumptions!$C$5="INR",'INR Normalised'!O51,'Raw Data'!O51)/IF(Assumptions!$C$5="INR",INDEX('INR Normalised'!$F51:$S51,Assumptions!$C$7),INDEX('Raw Data'!$F51:$S51,Assumptions!$C$7))*100</f>
        <v>100</v>
      </c>
      <c r="P51" s="27" t="n">
        <f aca="false">IF(Assumptions!$C$5="INR",'INR Normalised'!P51,'Raw Data'!P51)/IF(Assumptions!$C$5="INR",INDEX('INR Normalised'!$F51:$S51,Assumptions!$C$7),INDEX('Raw Data'!$F51:$S51,Assumptions!$C$7))*100</f>
        <v>102.541925957178</v>
      </c>
      <c r="Q51" s="27" t="n">
        <f aca="false">IF(Assumptions!$C$5="INR",'INR Normalised'!Q51,'Raw Data'!Q51)/IF(Assumptions!$C$5="INR",INDEX('INR Normalised'!$F51:$S51,Assumptions!$C$7),INDEX('Raw Data'!$F51:$S51,Assumptions!$C$7))*100</f>
        <v>107.710157156418</v>
      </c>
      <c r="R51" s="27" t="n">
        <f aca="false">IF(Assumptions!$C$5="INR",'INR Normalised'!R51,'Raw Data'!R51)/IF(Assumptions!$C$5="INR",INDEX('INR Normalised'!$F51:$S51,Assumptions!$C$7),INDEX('Raw Data'!$F51:$S51,Assumptions!$C$7))*100</f>
        <v>107.710157156418</v>
      </c>
      <c r="S51" s="27" t="n">
        <f aca="false">IF(Assumptions!$C$5="INR",'INR Normalised'!S51,'Raw Data'!S51)/IF(Assumptions!$C$5="INR",INDEX('INR Normalised'!$F51:$S51,Assumptions!$C$7),INDEX('Raw Data'!$F51:$S51,Assumptions!$C$7))*100</f>
        <v>107.710157156418</v>
      </c>
      <c r="T51" s="20" t="n">
        <f aca="false">IFERROR(S51/R51-1,"")</f>
        <v>0</v>
      </c>
      <c r="U51" s="20" t="n">
        <f aca="false">IFERROR(S51/F51-1,"")</f>
        <v>0.077101571564181</v>
      </c>
    </row>
    <row r="52" customFormat="false" ht="15" hidden="false" customHeight="false" outlineLevel="0" collapsed="false">
      <c r="A52" s="24" t="str">
        <f aca="false">'Raw Data'!A52</f>
        <v>Diesel - Delhi</v>
      </c>
      <c r="B52" s="11" t="s">
        <v>171</v>
      </c>
      <c r="C52" s="24" t="str">
        <f aca="false">Assumptions!$C$5</f>
        <v>INR</v>
      </c>
      <c r="D52" s="24" t="str">
        <f aca="false">Assumptions!$C$6</f>
        <v>Jul-25</v>
      </c>
      <c r="E52" s="11" t="n">
        <v>100</v>
      </c>
      <c r="F52" s="27" t="n">
        <f aca="false">IF(Assumptions!$C$5="INR",'INR Normalised'!F52,'Raw Data'!F52)/IF(Assumptions!$C$5="INR",INDEX('INR Normalised'!$F52:$S52,Assumptions!$C$7),INDEX('Raw Data'!$F52:$S52,Assumptions!$C$7))*100</f>
        <v>100</v>
      </c>
      <c r="G52" s="27" t="n">
        <f aca="false">IF(Assumptions!$C$5="INR",'INR Normalised'!G52,'Raw Data'!G52)/IF(Assumptions!$C$5="INR",INDEX('INR Normalised'!$F52:$S52,Assumptions!$C$7),INDEX('Raw Data'!$F52:$S52,Assumptions!$C$7))*100</f>
        <v>100</v>
      </c>
      <c r="H52" s="27" t="n">
        <f aca="false">IF(Assumptions!$C$5="INR",'INR Normalised'!H52,'Raw Data'!H52)/IF(Assumptions!$C$5="INR",INDEX('INR Normalised'!$F52:$S52,Assumptions!$C$7),INDEX('Raw Data'!$F52:$S52,Assumptions!$C$7))*100</f>
        <v>100</v>
      </c>
      <c r="I52" s="27" t="n">
        <f aca="false">IF(Assumptions!$C$5="INR",'INR Normalised'!I52,'Raw Data'!I52)/IF(Assumptions!$C$5="INR",INDEX('INR Normalised'!$F52:$S52,Assumptions!$C$7),INDEX('Raw Data'!$F52:$S52,Assumptions!$C$7))*100</f>
        <v>100</v>
      </c>
      <c r="J52" s="27" t="n">
        <f aca="false">IF(Assumptions!$C$5="INR",'INR Normalised'!J52,'Raw Data'!J52)/IF(Assumptions!$C$5="INR",INDEX('INR Normalised'!$F52:$S52,Assumptions!$C$7),INDEX('Raw Data'!$F52:$S52,Assumptions!$C$7))*100</f>
        <v>100</v>
      </c>
      <c r="K52" s="27" t="n">
        <f aca="false">IF(Assumptions!$C$5="INR",'INR Normalised'!K52,'Raw Data'!K52)/IF(Assumptions!$C$5="INR",INDEX('INR Normalised'!$F52:$S52,Assumptions!$C$7),INDEX('Raw Data'!$F52:$S52,Assumptions!$C$7))*100</f>
        <v>100</v>
      </c>
      <c r="L52" s="27" t="n">
        <f aca="false">IF(Assumptions!$C$5="INR",'INR Normalised'!L52,'Raw Data'!L52)/IF(Assumptions!$C$5="INR",INDEX('INR Normalised'!$F52:$S52,Assumptions!$C$7),INDEX('Raw Data'!$F52:$S52,Assumptions!$C$7))*100</f>
        <v>100</v>
      </c>
      <c r="M52" s="27" t="n">
        <f aca="false">IF(Assumptions!$C$5="INR",'INR Normalised'!M52,'Raw Data'!M52)/IF(Assumptions!$C$5="INR",INDEX('INR Normalised'!$F52:$S52,Assumptions!$C$7),INDEX('Raw Data'!$F52:$S52,Assumptions!$C$7))*100</f>
        <v>100</v>
      </c>
      <c r="N52" s="27" t="n">
        <f aca="false">IF(Assumptions!$C$5="INR",'INR Normalised'!N52,'Raw Data'!N52)/IF(Assumptions!$C$5="INR",INDEX('INR Normalised'!$F52:$S52,Assumptions!$C$7),INDEX('Raw Data'!$F52:$S52,Assumptions!$C$7))*100</f>
        <v>100</v>
      </c>
      <c r="O52" s="27" t="n">
        <f aca="false">IF(Assumptions!$C$5="INR",'INR Normalised'!O52,'Raw Data'!O52)/IF(Assumptions!$C$5="INR",INDEX('INR Normalised'!$F52:$S52,Assumptions!$C$7),INDEX('Raw Data'!$F52:$S52,Assumptions!$C$7))*100</f>
        <v>100</v>
      </c>
      <c r="P52" s="27" t="n">
        <f aca="false">IF(Assumptions!$C$5="INR",'INR Normalised'!P52,'Raw Data'!P52)/IF(Assumptions!$C$5="INR",INDEX('INR Normalised'!$F52:$S52,Assumptions!$C$7),INDEX('Raw Data'!$F52:$S52,Assumptions!$C$7))*100</f>
        <v>102.793296089385</v>
      </c>
      <c r="Q52" s="27" t="n">
        <f aca="false">IF(Assumptions!$C$5="INR",'INR Normalised'!Q52,'Raw Data'!Q52)/IF(Assumptions!$C$5="INR",INDEX('INR Normalised'!$F52:$S52,Assumptions!$C$7),INDEX('Raw Data'!$F52:$S52,Assumptions!$C$7))*100</f>
        <v>108.53950518755</v>
      </c>
      <c r="R52" s="27" t="n">
        <f aca="false">IF(Assumptions!$C$5="INR",'INR Normalised'!R52,'Raw Data'!R52)/IF(Assumptions!$C$5="INR",INDEX('INR Normalised'!$F52:$S52,Assumptions!$C$7),INDEX('Raw Data'!$F52:$S52,Assumptions!$C$7))*100</f>
        <v>108.53950518755</v>
      </c>
      <c r="S52" s="27" t="n">
        <f aca="false">IF(Assumptions!$C$5="INR",'INR Normalised'!S52,'Raw Data'!S52)/IF(Assumptions!$C$5="INR",INDEX('INR Normalised'!$F52:$S52,Assumptions!$C$7),INDEX('Raw Data'!$F52:$S52,Assumptions!$C$7))*100</f>
        <v>108.53950518755</v>
      </c>
      <c r="T52" s="20" t="n">
        <f aca="false">IFERROR(S52/R52-1,"")</f>
        <v>0</v>
      </c>
      <c r="U52" s="20" t="n">
        <f aca="false">IFERROR(S52/F52-1,"")</f>
        <v>0.0853950518754989</v>
      </c>
    </row>
    <row r="53" customFormat="false" ht="15" hidden="false" customHeight="false" outlineLevel="0" collapsed="false">
      <c r="A53" s="24" t="str">
        <f aca="false">'Raw Data'!A53</f>
        <v>Petrol - Mumbai</v>
      </c>
      <c r="B53" s="11" t="s">
        <v>171</v>
      </c>
      <c r="C53" s="24" t="str">
        <f aca="false">Assumptions!$C$5</f>
        <v>INR</v>
      </c>
      <c r="D53" s="24" t="str">
        <f aca="false">Assumptions!$C$6</f>
        <v>Jul-25</v>
      </c>
      <c r="E53" s="11" t="n">
        <v>100</v>
      </c>
      <c r="F53" s="27" t="n">
        <f aca="false">IF(Assumptions!$C$5="INR",'INR Normalised'!F53,'Raw Data'!F53)/IF(Assumptions!$C$5="INR",INDEX('INR Normalised'!$F53:$S53,Assumptions!$C$7),INDEX('Raw Data'!$F53:$S53,Assumptions!$C$7))*100</f>
        <v>100</v>
      </c>
      <c r="G53" s="27" t="n">
        <f aca="false">IF(Assumptions!$C$5="INR",'INR Normalised'!G53,'Raw Data'!G53)/IF(Assumptions!$C$5="INR",INDEX('INR Normalised'!$F53:$S53,Assumptions!$C$7),INDEX('Raw Data'!$F53:$S53,Assumptions!$C$7))*100</f>
        <v>100</v>
      </c>
      <c r="H53" s="27" t="n">
        <f aca="false">IF(Assumptions!$C$5="INR",'INR Normalised'!H53,'Raw Data'!H53)/IF(Assumptions!$C$5="INR",INDEX('INR Normalised'!$F53:$S53,Assumptions!$C$7),INDEX('Raw Data'!$F53:$S53,Assumptions!$C$7))*100</f>
        <v>100</v>
      </c>
      <c r="I53" s="27" t="n">
        <f aca="false">IF(Assumptions!$C$5="INR",'INR Normalised'!I53,'Raw Data'!I53)/IF(Assumptions!$C$5="INR",INDEX('INR Normalised'!$F53:$S53,Assumptions!$C$7),INDEX('Raw Data'!$F53:$S53,Assumptions!$C$7))*100</f>
        <v>100</v>
      </c>
      <c r="J53" s="27" t="n">
        <f aca="false">IF(Assumptions!$C$5="INR",'INR Normalised'!J53,'Raw Data'!J53)/IF(Assumptions!$C$5="INR",INDEX('INR Normalised'!$F53:$S53,Assumptions!$C$7),INDEX('Raw Data'!$F53:$S53,Assumptions!$C$7))*100</f>
        <v>100</v>
      </c>
      <c r="K53" s="27" t="n">
        <f aca="false">IF(Assumptions!$C$5="INR",'INR Normalised'!K53,'Raw Data'!K53)/IF(Assumptions!$C$5="INR",INDEX('INR Normalised'!$F53:$S53,Assumptions!$C$7),INDEX('Raw Data'!$F53:$S53,Assumptions!$C$7))*100</f>
        <v>100</v>
      </c>
      <c r="L53" s="27" t="n">
        <f aca="false">IF(Assumptions!$C$5="INR",'INR Normalised'!L53,'Raw Data'!L53)/IF(Assumptions!$C$5="INR",INDEX('INR Normalised'!$F53:$S53,Assumptions!$C$7),INDEX('Raw Data'!$F53:$S53,Assumptions!$C$7))*100</f>
        <v>100</v>
      </c>
      <c r="M53" s="27" t="n">
        <f aca="false">IF(Assumptions!$C$5="INR",'INR Normalised'!M53,'Raw Data'!M53)/IF(Assumptions!$C$5="INR",INDEX('INR Normalised'!$F53:$S53,Assumptions!$C$7),INDEX('Raw Data'!$F53:$S53,Assumptions!$C$7))*100</f>
        <v>100</v>
      </c>
      <c r="N53" s="27" t="n">
        <f aca="false">IF(Assumptions!$C$5="INR",'INR Normalised'!N53,'Raw Data'!N53)/IF(Assumptions!$C$5="INR",INDEX('INR Normalised'!$F53:$S53,Assumptions!$C$7),INDEX('Raw Data'!$F53:$S53,Assumptions!$C$7))*100</f>
        <v>100</v>
      </c>
      <c r="O53" s="27" t="n">
        <f aca="false">IF(Assumptions!$C$5="INR",'INR Normalised'!O53,'Raw Data'!O53)/IF(Assumptions!$C$5="INR",INDEX('INR Normalised'!$F53:$S53,Assumptions!$C$7),INDEX('Raw Data'!$F53:$S53,Assumptions!$C$7))*100</f>
        <v>100</v>
      </c>
      <c r="P53" s="27" t="n">
        <f aca="false">IF(Assumptions!$C$5="INR",'INR Normalised'!P53,'Raw Data'!P53)/IF(Assumptions!$C$5="INR",INDEX('INR Normalised'!$F53:$S53,Assumptions!$C$7),INDEX('Raw Data'!$F53:$S53,Assumptions!$C$7))*100</f>
        <v>102.473668953522</v>
      </c>
      <c r="Q53" s="27" t="n">
        <f aca="false">IF(Assumptions!$C$5="INR",'INR Normalised'!Q53,'Raw Data'!Q53)/IF(Assumptions!$C$5="INR",INDEX('INR Normalised'!$F53:$S53,Assumptions!$C$7),INDEX('Raw Data'!$F53:$S53,Assumptions!$C$7))*100</f>
        <v>107.459657937965</v>
      </c>
      <c r="R53" s="27" t="n">
        <f aca="false">IF(Assumptions!$C$5="INR",'INR Normalised'!R53,'Raw Data'!R53)/IF(Assumptions!$C$5="INR",INDEX('INR Normalised'!$F53:$S53,Assumptions!$C$7),INDEX('Raw Data'!$F53:$S53,Assumptions!$C$7))*100</f>
        <v>107.459657937965</v>
      </c>
      <c r="S53" s="27" t="n">
        <f aca="false">IF(Assumptions!$C$5="INR",'INR Normalised'!S53,'Raw Data'!S53)/IF(Assumptions!$C$5="INR",INDEX('INR Normalised'!$F53:$S53,Assumptions!$C$7),INDEX('Raw Data'!$F53:$S53,Assumptions!$C$7))*100</f>
        <v>107.459657937965</v>
      </c>
      <c r="T53" s="20" t="n">
        <f aca="false">IFERROR(S53/R53-1,"")</f>
        <v>0</v>
      </c>
      <c r="U53" s="20" t="n">
        <f aca="false">IFERROR(S53/F53-1,"")</f>
        <v>0.0745965793796501</v>
      </c>
    </row>
    <row r="54" customFormat="false" ht="15" hidden="false" customHeight="false" outlineLevel="0" collapsed="false">
      <c r="A54" s="24" t="str">
        <f aca="false">'Raw Data'!A54</f>
        <v>Diesel - Mumbai</v>
      </c>
      <c r="B54" s="11" t="s">
        <v>171</v>
      </c>
      <c r="C54" s="24" t="str">
        <f aca="false">Assumptions!$C$5</f>
        <v>INR</v>
      </c>
      <c r="D54" s="24" t="str">
        <f aca="false">Assumptions!$C$6</f>
        <v>Jul-25</v>
      </c>
      <c r="E54" s="11" t="n">
        <v>100</v>
      </c>
      <c r="F54" s="27" t="n">
        <f aca="false">IF(Assumptions!$C$5="INR",'INR Normalised'!F54,'Raw Data'!F54)/IF(Assumptions!$C$5="INR",INDEX('INR Normalised'!$F54:$S54,Assumptions!$C$7),INDEX('Raw Data'!$F54:$S54,Assumptions!$C$7))*100</f>
        <v>100</v>
      </c>
      <c r="G54" s="27" t="n">
        <f aca="false">IF(Assumptions!$C$5="INR",'INR Normalised'!G54,'Raw Data'!G54)/IF(Assumptions!$C$5="INR",INDEX('INR Normalised'!$F54:$S54,Assumptions!$C$7),INDEX('Raw Data'!$F54:$S54,Assumptions!$C$7))*100</f>
        <v>100</v>
      </c>
      <c r="H54" s="27" t="n">
        <f aca="false">IF(Assumptions!$C$5="INR",'INR Normalised'!H54,'Raw Data'!H54)/IF(Assumptions!$C$5="INR",INDEX('INR Normalised'!$F54:$S54,Assumptions!$C$7),INDEX('Raw Data'!$F54:$S54,Assumptions!$C$7))*100</f>
        <v>100</v>
      </c>
      <c r="I54" s="27" t="n">
        <f aca="false">IF(Assumptions!$C$5="INR",'INR Normalised'!I54,'Raw Data'!I54)/IF(Assumptions!$C$5="INR",INDEX('INR Normalised'!$F54:$S54,Assumptions!$C$7),INDEX('Raw Data'!$F54:$S54,Assumptions!$C$7))*100</f>
        <v>100</v>
      </c>
      <c r="J54" s="27" t="n">
        <f aca="false">IF(Assumptions!$C$5="INR",'INR Normalised'!J54,'Raw Data'!J54)/IF(Assumptions!$C$5="INR",INDEX('INR Normalised'!$F54:$S54,Assumptions!$C$7),INDEX('Raw Data'!$F54:$S54,Assumptions!$C$7))*100</f>
        <v>100</v>
      </c>
      <c r="K54" s="27" t="n">
        <f aca="false">IF(Assumptions!$C$5="INR",'INR Normalised'!K54,'Raw Data'!K54)/IF(Assumptions!$C$5="INR",INDEX('INR Normalised'!$F54:$S54,Assumptions!$C$7),INDEX('Raw Data'!$F54:$S54,Assumptions!$C$7))*100</f>
        <v>100</v>
      </c>
      <c r="L54" s="27" t="n">
        <f aca="false">IF(Assumptions!$C$5="INR",'INR Normalised'!L54,'Raw Data'!L54)/IF(Assumptions!$C$5="INR",INDEX('INR Normalised'!$F54:$S54,Assumptions!$C$7),INDEX('Raw Data'!$F54:$S54,Assumptions!$C$7))*100</f>
        <v>100</v>
      </c>
      <c r="M54" s="27" t="n">
        <f aca="false">IF(Assumptions!$C$5="INR",'INR Normalised'!M54,'Raw Data'!M54)/IF(Assumptions!$C$5="INR",INDEX('INR Normalised'!$F54:$S54,Assumptions!$C$7),INDEX('Raw Data'!$F54:$S54,Assumptions!$C$7))*100</f>
        <v>100</v>
      </c>
      <c r="N54" s="27" t="n">
        <f aca="false">IF(Assumptions!$C$5="INR",'INR Normalised'!N54,'Raw Data'!N54)/IF(Assumptions!$C$5="INR",INDEX('INR Normalised'!$F54:$S54,Assumptions!$C$7),INDEX('Raw Data'!$F54:$S54,Assumptions!$C$7))*100</f>
        <v>100</v>
      </c>
      <c r="O54" s="27" t="n">
        <f aca="false">IF(Assumptions!$C$5="INR",'INR Normalised'!O54,'Raw Data'!O54)/IF(Assumptions!$C$5="INR",INDEX('INR Normalised'!$F54:$S54,Assumptions!$C$7),INDEX('Raw Data'!$F54:$S54,Assumptions!$C$7))*100</f>
        <v>100</v>
      </c>
      <c r="P54" s="27" t="n">
        <f aca="false">IF(Assumptions!$C$5="INR",'INR Normalised'!P54,'Raw Data'!P54)/IF(Assumptions!$C$5="INR",INDEX('INR Normalised'!$F54:$S54,Assumptions!$C$7),INDEX('Raw Data'!$F54:$S54,Assumptions!$C$7))*100</f>
        <v>102.855238306855</v>
      </c>
      <c r="Q54" s="27" t="n">
        <f aca="false">IF(Assumptions!$C$5="INR",'INR Normalised'!Q54,'Raw Data'!Q54)/IF(Assumptions!$C$5="INR",INDEX('INR Normalised'!$F54:$S54,Assumptions!$C$7),INDEX('Raw Data'!$F54:$S54,Assumptions!$C$7))*100</f>
        <v>108.687923564048</v>
      </c>
      <c r="R54" s="27" t="n">
        <f aca="false">IF(Assumptions!$C$5="INR",'INR Normalised'!R54,'Raw Data'!R54)/IF(Assumptions!$C$5="INR",INDEX('INR Normalised'!$F54:$S54,Assumptions!$C$7),INDEX('Raw Data'!$F54:$S54,Assumptions!$C$7))*100</f>
        <v>108.687923564048</v>
      </c>
      <c r="S54" s="27" t="n">
        <f aca="false">IF(Assumptions!$C$5="INR",'INR Normalised'!S54,'Raw Data'!S54)/IF(Assumptions!$C$5="INR",INDEX('INR Normalised'!$F54:$S54,Assumptions!$C$7),INDEX('Raw Data'!$F54:$S54,Assumptions!$C$7))*100</f>
        <v>108.687923564048</v>
      </c>
      <c r="T54" s="20" t="n">
        <f aca="false">IFERROR(S54/R54-1,"")</f>
        <v>0</v>
      </c>
      <c r="U54" s="20" t="n">
        <f aca="false">IFERROR(S54/F54-1,"")</f>
        <v>0.0868792356404844</v>
      </c>
    </row>
    <row r="55" customFormat="false" ht="15" hidden="false" customHeight="false" outlineLevel="0" collapsed="false">
      <c r="A55" s="24" t="str">
        <f aca="false">'Raw Data'!A55</f>
        <v>Ethanol - Sugarcane Juice</v>
      </c>
      <c r="B55" s="11" t="s">
        <v>171</v>
      </c>
      <c r="C55" s="24" t="str">
        <f aca="false">Assumptions!$C$5</f>
        <v>INR</v>
      </c>
      <c r="D55" s="24" t="str">
        <f aca="false">Assumptions!$C$6</f>
        <v>Jul-25</v>
      </c>
      <c r="E55" s="11" t="n">
        <v>100</v>
      </c>
      <c r="F55" s="27" t="n">
        <f aca="false">IF(Assumptions!$C$5="INR",'INR Normalised'!F55,'Raw Data'!F55)/IF(Assumptions!$C$5="INR",INDEX('INR Normalised'!$F55:$S55,Assumptions!$C$7),INDEX('Raw Data'!$F55:$S55,Assumptions!$C$7))*100</f>
        <v>100</v>
      </c>
      <c r="G55" s="27" t="n">
        <f aca="false">IF(Assumptions!$C$5="INR",'INR Normalised'!G55,'Raw Data'!G55)/IF(Assumptions!$C$5="INR",INDEX('INR Normalised'!$F55:$S55,Assumptions!$C$7),INDEX('Raw Data'!$F55:$S55,Assumptions!$C$7))*100</f>
        <v>100</v>
      </c>
      <c r="H55" s="27" t="n">
        <f aca="false">IF(Assumptions!$C$5="INR",'INR Normalised'!H55,'Raw Data'!H55)/IF(Assumptions!$C$5="INR",INDEX('INR Normalised'!$F55:$S55,Assumptions!$C$7),INDEX('Raw Data'!$F55:$S55,Assumptions!$C$7))*100</f>
        <v>100</v>
      </c>
      <c r="I55" s="27" t="n">
        <f aca="false">IF(Assumptions!$C$5="INR",'INR Normalised'!I55,'Raw Data'!I55)/IF(Assumptions!$C$5="INR",INDEX('INR Normalised'!$F55:$S55,Assumptions!$C$7),INDEX('Raw Data'!$F55:$S55,Assumptions!$C$7))*100</f>
        <v>100</v>
      </c>
      <c r="J55" s="27" t="n">
        <f aca="false">IF(Assumptions!$C$5="INR",'INR Normalised'!J55,'Raw Data'!J55)/IF(Assumptions!$C$5="INR",INDEX('INR Normalised'!$F55:$S55,Assumptions!$C$7),INDEX('Raw Data'!$F55:$S55,Assumptions!$C$7))*100</f>
        <v>100</v>
      </c>
      <c r="K55" s="27" t="n">
        <f aca="false">IF(Assumptions!$C$5="INR",'INR Normalised'!K55,'Raw Data'!K55)/IF(Assumptions!$C$5="INR",INDEX('INR Normalised'!$F55:$S55,Assumptions!$C$7),INDEX('Raw Data'!$F55:$S55,Assumptions!$C$7))*100</f>
        <v>100</v>
      </c>
      <c r="L55" s="27" t="n">
        <f aca="false">IF(Assumptions!$C$5="INR",'INR Normalised'!L55,'Raw Data'!L55)/IF(Assumptions!$C$5="INR",INDEX('INR Normalised'!$F55:$S55,Assumptions!$C$7),INDEX('Raw Data'!$F55:$S55,Assumptions!$C$7))*100</f>
        <v>100</v>
      </c>
      <c r="M55" s="27" t="n">
        <f aca="false">IF(Assumptions!$C$5="INR",'INR Normalised'!M55,'Raw Data'!M55)/IF(Assumptions!$C$5="INR",INDEX('INR Normalised'!$F55:$S55,Assumptions!$C$7),INDEX('Raw Data'!$F55:$S55,Assumptions!$C$7))*100</f>
        <v>100</v>
      </c>
      <c r="N55" s="27" t="n">
        <f aca="false">IF(Assumptions!$C$5="INR",'INR Normalised'!N55,'Raw Data'!N55)/IF(Assumptions!$C$5="INR",INDEX('INR Normalised'!$F55:$S55,Assumptions!$C$7),INDEX('Raw Data'!$F55:$S55,Assumptions!$C$7))*100</f>
        <v>100</v>
      </c>
      <c r="O55" s="27" t="n">
        <f aca="false">IF(Assumptions!$C$5="INR",'INR Normalised'!O55,'Raw Data'!O55)/IF(Assumptions!$C$5="INR",INDEX('INR Normalised'!$F55:$S55,Assumptions!$C$7),INDEX('Raw Data'!$F55:$S55,Assumptions!$C$7))*100</f>
        <v>100</v>
      </c>
      <c r="P55" s="27" t="n">
        <f aca="false">IF(Assumptions!$C$5="INR",'INR Normalised'!P55,'Raw Data'!P55)/IF(Assumptions!$C$5="INR",INDEX('INR Normalised'!$F55:$S55,Assumptions!$C$7),INDEX('Raw Data'!$F55:$S55,Assumptions!$C$7))*100</f>
        <v>100</v>
      </c>
      <c r="Q55" s="27" t="n">
        <f aca="false">IF(Assumptions!$C$5="INR",'INR Normalised'!Q55,'Raw Data'!Q55)/IF(Assumptions!$C$5="INR",INDEX('INR Normalised'!$F55:$S55,Assumptions!$C$7),INDEX('Raw Data'!$F55:$S55,Assumptions!$C$7))*100</f>
        <v>100</v>
      </c>
      <c r="R55" s="27" t="n">
        <f aca="false">IF(Assumptions!$C$5="INR",'INR Normalised'!R55,'Raw Data'!R55)/IF(Assumptions!$C$5="INR",INDEX('INR Normalised'!$F55:$S55,Assumptions!$C$7),INDEX('Raw Data'!$F55:$S55,Assumptions!$C$7))*100</f>
        <v>100</v>
      </c>
      <c r="S55" s="27" t="n">
        <f aca="false">IF(Assumptions!$C$5="INR",'INR Normalised'!S55,'Raw Data'!S55)/IF(Assumptions!$C$5="INR",INDEX('INR Normalised'!$F55:$S55,Assumptions!$C$7),INDEX('Raw Data'!$F55:$S55,Assumptions!$C$7))*100</f>
        <v>100</v>
      </c>
      <c r="T55" s="20" t="n">
        <f aca="false">IFERROR(S55/R55-1,"")</f>
        <v>0</v>
      </c>
      <c r="U55" s="20" t="n">
        <f aca="false">IFERROR(S55/F55-1,"")</f>
        <v>0</v>
      </c>
    </row>
    <row r="56" customFormat="false" ht="15" hidden="false" customHeight="false" outlineLevel="0" collapsed="false">
      <c r="A56" s="24" t="str">
        <f aca="false">'Raw Data'!A56</f>
        <v>Ethanol - B-Heavy Molasses</v>
      </c>
      <c r="B56" s="11" t="s">
        <v>171</v>
      </c>
      <c r="C56" s="24" t="str">
        <f aca="false">Assumptions!$C$5</f>
        <v>INR</v>
      </c>
      <c r="D56" s="24" t="str">
        <f aca="false">Assumptions!$C$6</f>
        <v>Jul-25</v>
      </c>
      <c r="E56" s="11" t="n">
        <v>100</v>
      </c>
      <c r="F56" s="27" t="n">
        <f aca="false">IF(Assumptions!$C$5="INR",'INR Normalised'!F56,'Raw Data'!F56)/IF(Assumptions!$C$5="INR",INDEX('INR Normalised'!$F56:$S56,Assumptions!$C$7),INDEX('Raw Data'!$F56:$S56,Assumptions!$C$7))*100</f>
        <v>100</v>
      </c>
      <c r="G56" s="27" t="n">
        <f aca="false">IF(Assumptions!$C$5="INR",'INR Normalised'!G56,'Raw Data'!G56)/IF(Assumptions!$C$5="INR",INDEX('INR Normalised'!$F56:$S56,Assumptions!$C$7),INDEX('Raw Data'!$F56:$S56,Assumptions!$C$7))*100</f>
        <v>100</v>
      </c>
      <c r="H56" s="27" t="n">
        <f aca="false">IF(Assumptions!$C$5="INR",'INR Normalised'!H56,'Raw Data'!H56)/IF(Assumptions!$C$5="INR",INDEX('INR Normalised'!$F56:$S56,Assumptions!$C$7),INDEX('Raw Data'!$F56:$S56,Assumptions!$C$7))*100</f>
        <v>100</v>
      </c>
      <c r="I56" s="27" t="n">
        <f aca="false">IF(Assumptions!$C$5="INR",'INR Normalised'!I56,'Raw Data'!I56)/IF(Assumptions!$C$5="INR",INDEX('INR Normalised'!$F56:$S56,Assumptions!$C$7),INDEX('Raw Data'!$F56:$S56,Assumptions!$C$7))*100</f>
        <v>100</v>
      </c>
      <c r="J56" s="27" t="n">
        <f aca="false">IF(Assumptions!$C$5="INR",'INR Normalised'!J56,'Raw Data'!J56)/IF(Assumptions!$C$5="INR",INDEX('INR Normalised'!$F56:$S56,Assumptions!$C$7),INDEX('Raw Data'!$F56:$S56,Assumptions!$C$7))*100</f>
        <v>100</v>
      </c>
      <c r="K56" s="27" t="n">
        <f aca="false">IF(Assumptions!$C$5="INR",'INR Normalised'!K56,'Raw Data'!K56)/IF(Assumptions!$C$5="INR",INDEX('INR Normalised'!$F56:$S56,Assumptions!$C$7),INDEX('Raw Data'!$F56:$S56,Assumptions!$C$7))*100</f>
        <v>100</v>
      </c>
      <c r="L56" s="27" t="n">
        <f aca="false">IF(Assumptions!$C$5="INR",'INR Normalised'!L56,'Raw Data'!L56)/IF(Assumptions!$C$5="INR",INDEX('INR Normalised'!$F56:$S56,Assumptions!$C$7),INDEX('Raw Data'!$F56:$S56,Assumptions!$C$7))*100</f>
        <v>100</v>
      </c>
      <c r="M56" s="27" t="n">
        <f aca="false">IF(Assumptions!$C$5="INR",'INR Normalised'!M56,'Raw Data'!M56)/IF(Assumptions!$C$5="INR",INDEX('INR Normalised'!$F56:$S56,Assumptions!$C$7),INDEX('Raw Data'!$F56:$S56,Assumptions!$C$7))*100</f>
        <v>100</v>
      </c>
      <c r="N56" s="27" t="n">
        <f aca="false">IF(Assumptions!$C$5="INR",'INR Normalised'!N56,'Raw Data'!N56)/IF(Assumptions!$C$5="INR",INDEX('INR Normalised'!$F56:$S56,Assumptions!$C$7),INDEX('Raw Data'!$F56:$S56,Assumptions!$C$7))*100</f>
        <v>100</v>
      </c>
      <c r="O56" s="27" t="n">
        <f aca="false">IF(Assumptions!$C$5="INR",'INR Normalised'!O56,'Raw Data'!O56)/IF(Assumptions!$C$5="INR",INDEX('INR Normalised'!$F56:$S56,Assumptions!$C$7),INDEX('Raw Data'!$F56:$S56,Assumptions!$C$7))*100</f>
        <v>100</v>
      </c>
      <c r="P56" s="27" t="n">
        <f aca="false">IF(Assumptions!$C$5="INR",'INR Normalised'!P56,'Raw Data'!P56)/IF(Assumptions!$C$5="INR",INDEX('INR Normalised'!$F56:$S56,Assumptions!$C$7),INDEX('Raw Data'!$F56:$S56,Assumptions!$C$7))*100</f>
        <v>100</v>
      </c>
      <c r="Q56" s="27" t="n">
        <f aca="false">IF(Assumptions!$C$5="INR",'INR Normalised'!Q56,'Raw Data'!Q56)/IF(Assumptions!$C$5="INR",INDEX('INR Normalised'!$F56:$S56,Assumptions!$C$7),INDEX('Raw Data'!$F56:$S56,Assumptions!$C$7))*100</f>
        <v>100</v>
      </c>
      <c r="R56" s="27" t="n">
        <f aca="false">IF(Assumptions!$C$5="INR",'INR Normalised'!R56,'Raw Data'!R56)/IF(Assumptions!$C$5="INR",INDEX('INR Normalised'!$F56:$S56,Assumptions!$C$7),INDEX('Raw Data'!$F56:$S56,Assumptions!$C$7))*100</f>
        <v>100</v>
      </c>
      <c r="S56" s="27" t="n">
        <f aca="false">IF(Assumptions!$C$5="INR",'INR Normalised'!S56,'Raw Data'!S56)/IF(Assumptions!$C$5="INR",INDEX('INR Normalised'!$F56:$S56,Assumptions!$C$7),INDEX('Raw Data'!$F56:$S56,Assumptions!$C$7))*100</f>
        <v>100</v>
      </c>
      <c r="T56" s="20" t="n">
        <f aca="false">IFERROR(S56/R56-1,"")</f>
        <v>0</v>
      </c>
      <c r="U56" s="20" t="n">
        <f aca="false">IFERROR(S56/F56-1,"")</f>
        <v>0</v>
      </c>
    </row>
    <row r="57" customFormat="false" ht="15" hidden="false" customHeight="false" outlineLevel="0" collapsed="false">
      <c r="A57" s="24" t="str">
        <f aca="false">'Raw Data'!A57</f>
        <v>Ethanol - C-Heavy Molasses</v>
      </c>
      <c r="B57" s="11" t="s">
        <v>171</v>
      </c>
      <c r="C57" s="24" t="str">
        <f aca="false">Assumptions!$C$5</f>
        <v>INR</v>
      </c>
      <c r="D57" s="24" t="str">
        <f aca="false">Assumptions!$C$6</f>
        <v>Jul-25</v>
      </c>
      <c r="E57" s="11" t="n">
        <v>100</v>
      </c>
      <c r="F57" s="27" t="n">
        <f aca="false">IF(Assumptions!$C$5="INR",'INR Normalised'!F57,'Raw Data'!F57)/IF(Assumptions!$C$5="INR",INDEX('INR Normalised'!$F57:$S57,Assumptions!$C$7),INDEX('Raw Data'!$F57:$S57,Assumptions!$C$7))*100</f>
        <v>100</v>
      </c>
      <c r="G57" s="27" t="n">
        <f aca="false">IF(Assumptions!$C$5="INR",'INR Normalised'!G57,'Raw Data'!G57)/IF(Assumptions!$C$5="INR",INDEX('INR Normalised'!$F57:$S57,Assumptions!$C$7),INDEX('Raw Data'!$F57:$S57,Assumptions!$C$7))*100</f>
        <v>100</v>
      </c>
      <c r="H57" s="27" t="n">
        <f aca="false">IF(Assumptions!$C$5="INR",'INR Normalised'!H57,'Raw Data'!H57)/IF(Assumptions!$C$5="INR",INDEX('INR Normalised'!$F57:$S57,Assumptions!$C$7),INDEX('Raw Data'!$F57:$S57,Assumptions!$C$7))*100</f>
        <v>100</v>
      </c>
      <c r="I57" s="27" t="n">
        <f aca="false">IF(Assumptions!$C$5="INR",'INR Normalised'!I57,'Raw Data'!I57)/IF(Assumptions!$C$5="INR",INDEX('INR Normalised'!$F57:$S57,Assumptions!$C$7),INDEX('Raw Data'!$F57:$S57,Assumptions!$C$7))*100</f>
        <v>100</v>
      </c>
      <c r="J57" s="27" t="n">
        <f aca="false">IF(Assumptions!$C$5="INR",'INR Normalised'!J57,'Raw Data'!J57)/IF(Assumptions!$C$5="INR",INDEX('INR Normalised'!$F57:$S57,Assumptions!$C$7),INDEX('Raw Data'!$F57:$S57,Assumptions!$C$7))*100</f>
        <v>100</v>
      </c>
      <c r="K57" s="27" t="n">
        <f aca="false">IF(Assumptions!$C$5="INR",'INR Normalised'!K57,'Raw Data'!K57)/IF(Assumptions!$C$5="INR",INDEX('INR Normalised'!$F57:$S57,Assumptions!$C$7),INDEX('Raw Data'!$F57:$S57,Assumptions!$C$7))*100</f>
        <v>100</v>
      </c>
      <c r="L57" s="27" t="n">
        <f aca="false">IF(Assumptions!$C$5="INR",'INR Normalised'!L57,'Raw Data'!L57)/IF(Assumptions!$C$5="INR",INDEX('INR Normalised'!$F57:$S57,Assumptions!$C$7),INDEX('Raw Data'!$F57:$S57,Assumptions!$C$7))*100</f>
        <v>100</v>
      </c>
      <c r="M57" s="27" t="n">
        <f aca="false">IF(Assumptions!$C$5="INR",'INR Normalised'!M57,'Raw Data'!M57)/IF(Assumptions!$C$5="INR",INDEX('INR Normalised'!$F57:$S57,Assumptions!$C$7),INDEX('Raw Data'!$F57:$S57,Assumptions!$C$7))*100</f>
        <v>100</v>
      </c>
      <c r="N57" s="27" t="n">
        <f aca="false">IF(Assumptions!$C$5="INR",'INR Normalised'!N57,'Raw Data'!N57)/IF(Assumptions!$C$5="INR",INDEX('INR Normalised'!$F57:$S57,Assumptions!$C$7),INDEX('Raw Data'!$F57:$S57,Assumptions!$C$7))*100</f>
        <v>100</v>
      </c>
      <c r="O57" s="27" t="n">
        <f aca="false">IF(Assumptions!$C$5="INR",'INR Normalised'!O57,'Raw Data'!O57)/IF(Assumptions!$C$5="INR",INDEX('INR Normalised'!$F57:$S57,Assumptions!$C$7),INDEX('Raw Data'!$F57:$S57,Assumptions!$C$7))*100</f>
        <v>100</v>
      </c>
      <c r="P57" s="27" t="n">
        <f aca="false">IF(Assumptions!$C$5="INR",'INR Normalised'!P57,'Raw Data'!P57)/IF(Assumptions!$C$5="INR",INDEX('INR Normalised'!$F57:$S57,Assumptions!$C$7),INDEX('Raw Data'!$F57:$S57,Assumptions!$C$7))*100</f>
        <v>100</v>
      </c>
      <c r="Q57" s="27" t="n">
        <f aca="false">IF(Assumptions!$C$5="INR",'INR Normalised'!Q57,'Raw Data'!Q57)/IF(Assumptions!$C$5="INR",INDEX('INR Normalised'!$F57:$S57,Assumptions!$C$7),INDEX('Raw Data'!$F57:$S57,Assumptions!$C$7))*100</f>
        <v>100</v>
      </c>
      <c r="R57" s="27" t="n">
        <f aca="false">IF(Assumptions!$C$5="INR",'INR Normalised'!R57,'Raw Data'!R57)/IF(Assumptions!$C$5="INR",INDEX('INR Normalised'!$F57:$S57,Assumptions!$C$7),INDEX('Raw Data'!$F57:$S57,Assumptions!$C$7))*100</f>
        <v>100</v>
      </c>
      <c r="S57" s="27" t="n">
        <f aca="false">IF(Assumptions!$C$5="INR",'INR Normalised'!S57,'Raw Data'!S57)/IF(Assumptions!$C$5="INR",INDEX('INR Normalised'!$F57:$S57,Assumptions!$C$7),INDEX('Raw Data'!$F57:$S57,Assumptions!$C$7))*100</f>
        <v>100</v>
      </c>
      <c r="T57" s="20" t="n">
        <f aca="false">IFERROR(S57/R57-1,"")</f>
        <v>0</v>
      </c>
      <c r="U57" s="20" t="n">
        <f aca="false">IFERROR(S57/F57-1,"")</f>
        <v>0</v>
      </c>
    </row>
    <row r="58" customFormat="false" ht="15" hidden="false" customHeight="false" outlineLevel="0" collapsed="false">
      <c r="A58" s="17" t="s">
        <v>183</v>
      </c>
      <c r="B58" s="18"/>
      <c r="C58" s="18"/>
      <c r="D58" s="18"/>
      <c r="E58" s="18"/>
      <c r="F58" s="18"/>
      <c r="G58" s="18"/>
      <c r="H58" s="18"/>
      <c r="I58" s="18"/>
      <c r="J58" s="18"/>
      <c r="K58" s="18"/>
      <c r="L58" s="18"/>
      <c r="M58" s="18"/>
      <c r="N58" s="18"/>
      <c r="O58" s="18"/>
      <c r="P58" s="18"/>
      <c r="Q58" s="18"/>
      <c r="R58" s="18"/>
      <c r="S58" s="18"/>
      <c r="T58" s="18"/>
      <c r="U58" s="18"/>
      <c r="V58" s="18"/>
    </row>
    <row r="59" customFormat="false" ht="15" hidden="false" customHeight="false" outlineLevel="0" collapsed="false">
      <c r="A59" s="24" t="str">
        <f aca="false">'Raw Data'!A59</f>
        <v>Baltic Dry Index (Dry Bulk)</v>
      </c>
      <c r="B59" s="11" t="s">
        <v>185</v>
      </c>
      <c r="C59" s="24" t="str">
        <f aca="false">Assumptions!$C$5</f>
        <v>INR</v>
      </c>
      <c r="D59" s="24" t="str">
        <f aca="false">Assumptions!$C$6</f>
        <v>Jul-25</v>
      </c>
      <c r="E59" s="11" t="n">
        <v>100</v>
      </c>
      <c r="F59" s="27" t="n">
        <f aca="false">IF(Assumptions!$C$5="INR",'INR Normalised'!F59,'Raw Data'!F59)/IF(Assumptions!$C$5="INR",INDEX('INR Normalised'!$F59:$S59,Assumptions!$C$7),INDEX('Raw Data'!$F59:$S59,Assumptions!$C$7))*100</f>
        <v>100</v>
      </c>
      <c r="G59" s="27" t="n">
        <f aca="false">IF(Assumptions!$C$5="INR",'INR Normalised'!G59,'Raw Data'!G59)/IF(Assumptions!$C$5="INR",INDEX('INR Normalised'!$F59:$S59,Assumptions!$C$7),INDEX('Raw Data'!$F59:$S59,Assumptions!$C$7))*100</f>
        <v>109.950522264981</v>
      </c>
      <c r="H59" s="27" t="n">
        <f aca="false">IF(Assumptions!$C$5="INR",'INR Normalised'!H59,'Raw Data'!H59)/IF(Assumptions!$C$5="INR",INDEX('INR Normalised'!$F59:$S59,Assumptions!$C$7),INDEX('Raw Data'!$F59:$S59,Assumptions!$C$7))*100</f>
        <v>116.76745464541</v>
      </c>
      <c r="I59" s="27" t="n">
        <f aca="false">IF(Assumptions!$C$5="INR",'INR Normalised'!I59,'Raw Data'!I59)/IF(Assumptions!$C$5="INR",INDEX('INR Normalised'!$F59:$S59,Assumptions!$C$7),INDEX('Raw Data'!$F59:$S59,Assumptions!$C$7))*100</f>
        <v>109.785596481583</v>
      </c>
      <c r="J59" s="27" t="n">
        <f aca="false">IF(Assumptions!$C$5="INR",'INR Normalised'!J59,'Raw Data'!J59)/IF(Assumptions!$C$5="INR",INDEX('INR Normalised'!$F59:$S59,Assumptions!$C$7),INDEX('Raw Data'!$F59:$S59,Assumptions!$C$7))*100</f>
        <v>120.065970313359</v>
      </c>
      <c r="K59" s="27" t="n">
        <f aca="false">IF(Assumptions!$C$5="INR",'INR Normalised'!K59,'Raw Data'!K59)/IF(Assumptions!$C$5="INR",INDEX('INR Normalised'!$F59:$S59,Assumptions!$C$7),INDEX('Raw Data'!$F59:$S59,Assumptions!$C$7))*100</f>
        <v>128.587135788895</v>
      </c>
      <c r="L59" s="27" t="n">
        <f aca="false">IF(Assumptions!$C$5="INR",'INR Normalised'!L59,'Raw Data'!L59)/IF(Assumptions!$C$5="INR",INDEX('INR Normalised'!$F59:$S59,Assumptions!$C$7),INDEX('Raw Data'!$F59:$S59,Assumptions!$C$7))*100</f>
        <v>97.6910390324354</v>
      </c>
      <c r="M59" s="27" t="n">
        <f aca="false">IF(Assumptions!$C$5="INR",'INR Normalised'!M59,'Raw Data'!M59)/IF(Assumptions!$C$5="INR",INDEX('INR Normalised'!$F59:$S59,Assumptions!$C$7),INDEX('Raw Data'!$F59:$S59,Assumptions!$C$7))*100</f>
        <v>112.204507971413</v>
      </c>
      <c r="N59" s="27" t="n">
        <f aca="false">IF(Assumptions!$C$5="INR",'INR Normalised'!N59,'Raw Data'!N59)/IF(Assumptions!$C$5="INR",INDEX('INR Normalised'!$F59:$S59,Assumptions!$C$7),INDEX('Raw Data'!$F59:$S59,Assumptions!$C$7))*100</f>
        <v>112.534359538208</v>
      </c>
      <c r="O59" s="27" t="n">
        <f aca="false">IF(Assumptions!$C$5="INR",'INR Normalised'!O59,'Raw Data'!O59)/IF(Assumptions!$C$5="INR",INDEX('INR Normalised'!$F59:$S59,Assumptions!$C$7),INDEX('Raw Data'!$F59:$S59,Assumptions!$C$7))*100</f>
        <v>134.304562946674</v>
      </c>
      <c r="P59" s="27" t="n">
        <f aca="false">IF(Assumptions!$C$5="INR",'INR Normalised'!P59,'Raw Data'!P59)/IF(Assumptions!$C$5="INR",INDEX('INR Normalised'!$F59:$S59,Assumptions!$C$7),INDEX('Raw Data'!$F59:$S59,Assumptions!$C$7))*100</f>
        <v>167.619571192963</v>
      </c>
      <c r="Q59" s="27" t="n">
        <f aca="false">IF(Assumptions!$C$5="INR",'INR Normalised'!Q59,'Raw Data'!Q59)/IF(Assumptions!$C$5="INR",INDEX('INR Normalised'!$F59:$S59,Assumptions!$C$7),INDEX('Raw Data'!$F59:$S59,Assumptions!$C$7))*100</f>
        <v>152.556349642661</v>
      </c>
      <c r="R59" s="27" t="n">
        <f aca="false">IF(Assumptions!$C$5="INR",'INR Normalised'!R59,'Raw Data'!R59)/IF(Assumptions!$C$5="INR",INDEX('INR Normalised'!$F59:$S59,Assumptions!$C$7),INDEX('Raw Data'!$F59:$S59,Assumptions!$C$7))*100</f>
        <v>152.281473336998</v>
      </c>
      <c r="S59" s="27" t="n">
        <f aca="false">IF(Assumptions!$C$5="INR",'INR Normalised'!S59,'Raw Data'!S59)/IF(Assumptions!$C$5="INR",INDEX('INR Normalised'!$F59:$S59,Assumptions!$C$7),INDEX('Raw Data'!$F59:$S59,Assumptions!$C$7))*100</f>
        <v>152.281473336998</v>
      </c>
      <c r="T59" s="20" t="n">
        <f aca="false">IFERROR(S59/R59-1,"")</f>
        <v>0</v>
      </c>
      <c r="U59" s="20" t="n">
        <f aca="false">IFERROR(S59/F59-1,"")</f>
        <v>0.522814733369984</v>
      </c>
    </row>
    <row r="60" customFormat="false" ht="15" hidden="false" customHeight="false" outlineLevel="0" collapsed="false">
      <c r="A60" s="17" t="s">
        <v>189</v>
      </c>
      <c r="B60" s="18"/>
      <c r="C60" s="18"/>
      <c r="D60" s="18"/>
      <c r="E60" s="18"/>
      <c r="F60" s="18"/>
      <c r="G60" s="18"/>
      <c r="H60" s="18"/>
      <c r="I60" s="18"/>
      <c r="J60" s="18"/>
      <c r="K60" s="18"/>
      <c r="L60" s="18"/>
      <c r="M60" s="18"/>
      <c r="N60" s="18"/>
      <c r="O60" s="18"/>
      <c r="P60" s="18"/>
      <c r="Q60" s="18"/>
      <c r="R60" s="18"/>
      <c r="S60" s="18"/>
      <c r="T60" s="18"/>
      <c r="U60" s="18"/>
      <c r="V60" s="18"/>
    </row>
    <row r="61" customFormat="false" ht="15" hidden="false" customHeight="false" outlineLevel="0" collapsed="false">
      <c r="A61" s="24" t="str">
        <f aca="false">'Raw Data'!A61</f>
        <v>USD / INR (selling)</v>
      </c>
      <c r="B61" s="11" t="s">
        <v>191</v>
      </c>
      <c r="C61" s="24" t="str">
        <f aca="false">Assumptions!$C$5</f>
        <v>INR</v>
      </c>
      <c r="D61" s="24" t="str">
        <f aca="false">Assumptions!$C$6</f>
        <v>Jul-25</v>
      </c>
      <c r="E61" s="11" t="n">
        <v>100</v>
      </c>
      <c r="F61" s="27" t="n">
        <f aca="false">IF(Assumptions!$C$5="INR",'INR Normalised'!F61,'Raw Data'!F61)/IF(Assumptions!$C$5="INR",INDEX('INR Normalised'!$F61:$S61,Assumptions!$C$7),INDEX('Raw Data'!$F61:$S61,Assumptions!$C$7))*100</f>
        <v>100</v>
      </c>
      <c r="G61" s="27" t="n">
        <f aca="false">IF(Assumptions!$C$5="INR",'INR Normalised'!G61,'Raw Data'!G61)/IF(Assumptions!$C$5="INR",INDEX('INR Normalised'!$F61:$S61,Assumptions!$C$7),INDEX('Raw Data'!$F61:$S61,Assumptions!$C$7))*100</f>
        <v>101.649175412294</v>
      </c>
      <c r="H61" s="27" t="n">
        <f aca="false">IF(Assumptions!$C$5="INR",'INR Normalised'!H61,'Raw Data'!H61)/IF(Assumptions!$C$5="INR",INDEX('INR Normalised'!$F61:$S61,Assumptions!$C$7),INDEX('Raw Data'!$F61:$S61,Assumptions!$C$7))*100</f>
        <v>102.514127551609</v>
      </c>
      <c r="I61" s="27" t="n">
        <f aca="false">IF(Assumptions!$C$5="INR",'INR Normalised'!I61,'Raw Data'!I61)/IF(Assumptions!$C$5="INR",INDEX('INR Normalised'!$F61:$S61,Assumptions!$C$7),INDEX('Raw Data'!$F61:$S61,Assumptions!$C$7))*100</f>
        <v>102.629454503517</v>
      </c>
      <c r="J61" s="27" t="n">
        <f aca="false">IF(Assumptions!$C$5="INR",'INR Normalised'!J61,'Raw Data'!J61)/IF(Assumptions!$C$5="INR",INDEX('INR Normalised'!$F61:$S61,Assumptions!$C$7),INDEX('Raw Data'!$F61:$S61,Assumptions!$C$7))*100</f>
        <v>103.125360396725</v>
      </c>
      <c r="K61" s="27" t="n">
        <f aca="false">IF(Assumptions!$C$5="INR",'INR Normalised'!K61,'Raw Data'!K61)/IF(Assumptions!$C$5="INR",INDEX('INR Normalised'!$F61:$S61,Assumptions!$C$7),INDEX('Raw Data'!$F61:$S61,Assumptions!$C$7))*100</f>
        <v>104.509283819629</v>
      </c>
      <c r="L61" s="27" t="n">
        <f aca="false">IF(Assumptions!$C$5="INR",'INR Normalised'!L61,'Raw Data'!L61)/IF(Assumptions!$C$5="INR",INDEX('INR Normalised'!$F61:$S61,Assumptions!$C$7),INDEX('Raw Data'!$F61:$S61,Assumptions!$C$7))*100</f>
        <v>105.339637873371</v>
      </c>
      <c r="M61" s="27" t="n">
        <f aca="false">IF(Assumptions!$C$5="INR",'INR Normalised'!M61,'Raw Data'!M61)/IF(Assumptions!$C$5="INR",INDEX('INR Normalised'!$F61:$S61,Assumptions!$C$7),INDEX('Raw Data'!$F61:$S61,Assumptions!$C$7))*100</f>
        <v>105.316572482989</v>
      </c>
      <c r="N61" s="27" t="n">
        <f aca="false">IF(Assumptions!$C$5="INR",'INR Normalised'!N61,'Raw Data'!N61)/IF(Assumptions!$C$5="INR",INDEX('INR Normalised'!$F61:$S61,Assumptions!$C$7),INDEX('Raw Data'!$F61:$S61,Assumptions!$C$7))*100</f>
        <v>107.530849959636</v>
      </c>
      <c r="O61" s="27" t="n">
        <f aca="false">IF(Assumptions!$C$5="INR",'INR Normalised'!O61,'Raw Data'!O61)/IF(Assumptions!$C$5="INR",INDEX('INR Normalised'!$F61:$S61,Assumptions!$C$7),INDEX('Raw Data'!$F61:$S61,Assumptions!$C$7))*100</f>
        <v>108.545727136432</v>
      </c>
      <c r="P61" s="27" t="n">
        <f aca="false">IF(Assumptions!$C$5="INR",'INR Normalised'!P61,'Raw Data'!P61)/IF(Assumptions!$C$5="INR",INDEX('INR Normalised'!$F61:$S61,Assumptions!$C$7),INDEX('Raw Data'!$F61:$S61,Assumptions!$C$7))*100</f>
        <v>110.898396955368</v>
      </c>
      <c r="Q61" s="27" t="n">
        <f aca="false">IF(Assumptions!$C$5="INR",'INR Normalised'!Q61,'Raw Data'!Q61)/IF(Assumptions!$C$5="INR",INDEX('INR Normalised'!$F61:$S61,Assumptions!$C$7),INDEX('Raw Data'!$F61:$S61,Assumptions!$C$7))*100</f>
        <v>110.160304463153</v>
      </c>
      <c r="R61" s="27" t="n">
        <f aca="false">IF(Assumptions!$C$5="INR",'INR Normalised'!R61,'Raw Data'!R61)/IF(Assumptions!$C$5="INR",INDEX('INR Normalised'!$F61:$S61,Assumptions!$C$7),INDEX('Raw Data'!$F61:$S61,Assumptions!$C$7))*100</f>
        <v>111.129050859186</v>
      </c>
      <c r="S61" s="27" t="n">
        <f aca="false">IF(Assumptions!$C$5="INR",'INR Normalised'!S61,'Raw Data'!S61)/IF(Assumptions!$C$5="INR",INDEX('INR Normalised'!$F61:$S61,Assumptions!$C$7),INDEX('Raw Data'!$F61:$S61,Assumptions!$C$7))*100</f>
        <v>110.771537308269</v>
      </c>
      <c r="T61" s="20" t="n">
        <f aca="false">IFERROR(S61/R61-1,"")</f>
        <v>-0.00321710253217111</v>
      </c>
      <c r="U61" s="20" t="n">
        <f aca="false">IFERROR(S61/F61-1,"")</f>
        <v>0.107715373082689</v>
      </c>
    </row>
    <row r="62" customFormat="false" ht="15" hidden="false" customHeight="false" outlineLevel="0" collapsed="false">
      <c r="A62" s="24" t="str">
        <f aca="false">'Raw Data'!A62</f>
        <v>GBP / INR (selling)</v>
      </c>
      <c r="B62" s="11" t="s">
        <v>191</v>
      </c>
      <c r="C62" s="24" t="str">
        <f aca="false">Assumptions!$C$5</f>
        <v>INR</v>
      </c>
      <c r="D62" s="24" t="str">
        <f aca="false">Assumptions!$C$6</f>
        <v>Jul-25</v>
      </c>
      <c r="E62" s="11" t="n">
        <v>100</v>
      </c>
      <c r="F62" s="27" t="n">
        <f aca="false">IF(Assumptions!$C$5="INR",'INR Normalised'!F62,'Raw Data'!F62)/IF(Assumptions!$C$5="INR",INDEX('INR Normalised'!$F62:$S62,Assumptions!$C$7),INDEX('Raw Data'!$F62:$S62,Assumptions!$C$7))*100</f>
        <v>100</v>
      </c>
      <c r="G62" s="27" t="n">
        <f aca="false">IF(Assumptions!$C$5="INR",'INR Normalised'!G62,'Raw Data'!G62)/IF(Assumptions!$C$5="INR",INDEX('INR Normalised'!$F62:$S62,Assumptions!$C$7),INDEX('Raw Data'!$F62:$S62,Assumptions!$C$7))*100</f>
        <v>101.051114690175</v>
      </c>
      <c r="H62" s="27" t="n">
        <f aca="false">IF(Assumptions!$C$5="INR",'INR Normalised'!H62,'Raw Data'!H62)/IF(Assumptions!$C$5="INR",INDEX('INR Normalised'!$F62:$S62,Assumptions!$C$7),INDEX('Raw Data'!$F62:$S62,Assumptions!$C$7))*100</f>
        <v>102.365008052895</v>
      </c>
      <c r="I62" s="27" t="n">
        <f aca="false">IF(Assumptions!$C$5="INR",'INR Normalised'!I62,'Raw Data'!I62)/IF(Assumptions!$C$5="INR",INDEX('INR Normalised'!$F62:$S62,Assumptions!$C$7),INDEX('Raw Data'!$F62:$S62,Assumptions!$C$7))*100</f>
        <v>101.534288378401</v>
      </c>
      <c r="J62" s="27" t="n">
        <f aca="false">IF(Assumptions!$C$5="INR",'INR Normalised'!J62,'Raw Data'!J62)/IF(Assumptions!$C$5="INR",INDEX('INR Normalised'!$F62:$S62,Assumptions!$C$7),INDEX('Raw Data'!$F62:$S62,Assumptions!$C$7))*100</f>
        <v>100.330592523523</v>
      </c>
      <c r="K62" s="27" t="n">
        <f aca="false">IF(Assumptions!$C$5="INR",'INR Normalised'!K62,'Raw Data'!K62)/IF(Assumptions!$C$5="INR",INDEX('INR Normalised'!$F62:$S62,Assumptions!$C$7),INDEX('Raw Data'!$F62:$S62,Assumptions!$C$7))*100</f>
        <v>103.45002966856</v>
      </c>
      <c r="L62" s="27" t="n">
        <f aca="false">IF(Assumptions!$C$5="INR",'INR Normalised'!L62,'Raw Data'!L62)/IF(Assumptions!$C$5="INR",INDEX('INR Normalised'!$F62:$S62,Assumptions!$C$7),INDEX('Raw Data'!$F62:$S62,Assumptions!$C$7))*100</f>
        <v>105.357294227346</v>
      </c>
      <c r="M62" s="27" t="n">
        <f aca="false">IF(Assumptions!$C$5="INR",'INR Normalised'!M62,'Raw Data'!M62)/IF(Assumptions!$C$5="INR",INDEX('INR Normalised'!$F62:$S62,Assumptions!$C$7),INDEX('Raw Data'!$F62:$S62,Assumptions!$C$7))*100</f>
        <v>105.882851572434</v>
      </c>
      <c r="N62" s="27" t="n">
        <f aca="false">IF(Assumptions!$C$5="INR",'INR Normalised'!N62,'Raw Data'!N62)/IF(Assumptions!$C$5="INR",INDEX('INR Normalised'!$F62:$S62,Assumptions!$C$7),INDEX('Raw Data'!$F62:$S62,Assumptions!$C$7))*100</f>
        <v>106.29821140968</v>
      </c>
      <c r="O62" s="27" t="n">
        <f aca="false">IF(Assumptions!$C$5="INR",'INR Normalised'!O62,'Raw Data'!O62)/IF(Assumptions!$C$5="INR",INDEX('INR Normalised'!$F62:$S62,Assumptions!$C$7),INDEX('Raw Data'!$F62:$S62,Assumptions!$C$7))*100</f>
        <v>107.942697295923</v>
      </c>
      <c r="P62" s="27" t="n">
        <f aca="false">IF(Assumptions!$C$5="INR",'INR Normalised'!P62,'Raw Data'!P62)/IF(Assumptions!$C$5="INR",INDEX('INR Normalised'!$F62:$S62,Assumptions!$C$7),INDEX('Raw Data'!$F62:$S62,Assumptions!$C$7))*100</f>
        <v>110.604390946851</v>
      </c>
      <c r="Q62" s="27" t="n">
        <f aca="false">IF(Assumptions!$C$5="INR",'INR Normalised'!Q62,'Raw Data'!Q62)/IF(Assumptions!$C$5="INR",INDEX('INR Normalised'!$F62:$S62,Assumptions!$C$7),INDEX('Raw Data'!$F62:$S62,Assumptions!$C$7))*100</f>
        <v>108.756463507671</v>
      </c>
      <c r="R62" s="27" t="n">
        <f aca="false">IF(Assumptions!$C$5="INR",'INR Normalised'!R62,'Raw Data'!R62)/IF(Assumptions!$C$5="INR",INDEX('INR Normalised'!$F62:$S62,Assumptions!$C$7),INDEX('Raw Data'!$F62:$S62,Assumptions!$C$7))*100</f>
        <v>110.027973213529</v>
      </c>
      <c r="S62" s="27" t="n">
        <f aca="false">IF(Assumptions!$C$5="INR",'INR Normalised'!S62,'Raw Data'!S62)/IF(Assumptions!$C$5="INR",INDEX('INR Normalised'!$F62:$S62,Assumptions!$C$7),INDEX('Raw Data'!$F62:$S62,Assumptions!$C$7))*100</f>
        <v>110.901076544884</v>
      </c>
      <c r="T62" s="20" t="n">
        <f aca="false">IFERROR(S62/R62-1,"")</f>
        <v>0.00793528505392915</v>
      </c>
      <c r="U62" s="20" t="n">
        <f aca="false">IFERROR(S62/F62-1,"")</f>
        <v>0.109010765448843</v>
      </c>
    </row>
    <row r="63" customFormat="false" ht="15" hidden="false" customHeight="false" outlineLevel="0" collapsed="false">
      <c r="A63" s="24" t="str">
        <f aca="false">'Raw Data'!A63</f>
        <v>EUR / INR (selling)</v>
      </c>
      <c r="B63" s="11" t="s">
        <v>191</v>
      </c>
      <c r="C63" s="24" t="str">
        <f aca="false">Assumptions!$C$5</f>
        <v>INR</v>
      </c>
      <c r="D63" s="24" t="str">
        <f aca="false">Assumptions!$C$6</f>
        <v>Jul-25</v>
      </c>
      <c r="E63" s="11" t="n">
        <v>100</v>
      </c>
      <c r="F63" s="27" t="n">
        <f aca="false">IF(Assumptions!$C$5="INR",'INR Normalised'!F63,'Raw Data'!F63)/IF(Assumptions!$C$5="INR",INDEX('INR Normalised'!$F63:$S63,Assumptions!$C$7),INDEX('Raw Data'!$F63:$S63,Assumptions!$C$7))*100</f>
        <v>100</v>
      </c>
      <c r="G63" s="27" t="n">
        <f aca="false">IF(Assumptions!$C$5="INR",'INR Normalised'!G63,'Raw Data'!G63)/IF(Assumptions!$C$5="INR",INDEX('INR Normalised'!$F63:$S63,Assumptions!$C$7),INDEX('Raw Data'!$F63:$S63,Assumptions!$C$7))*100</f>
        <v>101.18441660141</v>
      </c>
      <c r="H63" s="27" t="n">
        <f aca="false">IF(Assumptions!$C$5="INR",'INR Normalised'!H63,'Raw Data'!H63)/IF(Assumptions!$C$5="INR",INDEX('INR Normalised'!$F63:$S63,Assumptions!$C$7),INDEX('Raw Data'!$F63:$S63,Assumptions!$C$7))*100</f>
        <v>102.926781519186</v>
      </c>
      <c r="I63" s="27" t="n">
        <f aca="false">IF(Assumptions!$C$5="INR",'INR Normalised'!I63,'Raw Data'!I63)/IF(Assumptions!$C$5="INR",INDEX('INR Normalised'!$F63:$S63,Assumptions!$C$7),INDEX('Raw Data'!$F63:$S63,Assumptions!$C$7))*100</f>
        <v>102.270947533281</v>
      </c>
      <c r="J63" s="27" t="n">
        <f aca="false">IF(Assumptions!$C$5="INR",'INR Normalised'!J63,'Raw Data'!J63)/IF(Assumptions!$C$5="INR",INDEX('INR Normalised'!$F63:$S63,Assumptions!$C$7),INDEX('Raw Data'!$F63:$S63,Assumptions!$C$7))*100</f>
        <v>102.03602192639</v>
      </c>
      <c r="K63" s="27" t="n">
        <f aca="false">IF(Assumptions!$C$5="INR",'INR Normalised'!K63,'Raw Data'!K63)/IF(Assumptions!$C$5="INR",INDEX('INR Normalised'!$F63:$S63,Assumptions!$C$7),INDEX('Raw Data'!$F63:$S63,Assumptions!$C$7))*100</f>
        <v>104.629992169146</v>
      </c>
      <c r="L63" s="27" t="n">
        <f aca="false">IF(Assumptions!$C$5="INR",'INR Normalised'!L63,'Raw Data'!L63)/IF(Assumptions!$C$5="INR",INDEX('INR Normalised'!$F63:$S63,Assumptions!$C$7),INDEX('Raw Data'!$F63:$S63,Assumptions!$C$7))*100</f>
        <v>105.745888801879</v>
      </c>
      <c r="M63" s="27" t="n">
        <f aca="false">IF(Assumptions!$C$5="INR",'INR Normalised'!M63,'Raw Data'!M63)/IF(Assumptions!$C$5="INR",INDEX('INR Normalised'!$F63:$S63,Assumptions!$C$7),INDEX('Raw Data'!$F63:$S63,Assumptions!$C$7))*100</f>
        <v>106.538762725137</v>
      </c>
      <c r="N63" s="27" t="n">
        <f aca="false">IF(Assumptions!$C$5="INR",'INR Normalised'!N63,'Raw Data'!N63)/IF(Assumptions!$C$5="INR",INDEX('INR Normalised'!$F63:$S63,Assumptions!$C$7),INDEX('Raw Data'!$F63:$S63,Assumptions!$C$7))*100</f>
        <v>106.440877055599</v>
      </c>
      <c r="O63" s="27" t="n">
        <f aca="false">IF(Assumptions!$C$5="INR",'INR Normalised'!O63,'Raw Data'!O63)/IF(Assumptions!$C$5="INR",INDEX('INR Normalised'!$F63:$S63,Assumptions!$C$7),INDEX('Raw Data'!$F63:$S63,Assumptions!$C$7))*100</f>
        <v>108.516053249804</v>
      </c>
      <c r="P63" s="27" t="n">
        <f aca="false">IF(Assumptions!$C$5="INR",'INR Normalised'!P63,'Raw Data'!P63)/IF(Assumptions!$C$5="INR",INDEX('INR Normalised'!$F63:$S63,Assumptions!$C$7),INDEX('Raw Data'!$F63:$S63,Assumptions!$C$7))*100</f>
        <v>110.728269381363</v>
      </c>
      <c r="Q63" s="27" t="n">
        <f aca="false">IF(Assumptions!$C$5="INR",'INR Normalised'!Q63,'Raw Data'!Q63)/IF(Assumptions!$C$5="INR",INDEX('INR Normalised'!$F63:$S63,Assumptions!$C$7),INDEX('Raw Data'!$F63:$S63,Assumptions!$C$7))*100</f>
        <v>108.653093187157</v>
      </c>
      <c r="R63" s="27" t="n">
        <f aca="false">IF(Assumptions!$C$5="INR",'INR Normalised'!R63,'Raw Data'!R63)/IF(Assumptions!$C$5="INR",INDEX('INR Normalised'!$F63:$S63,Assumptions!$C$7),INDEX('Raw Data'!$F63:$S63,Assumptions!$C$7))*100</f>
        <v>108.613938919342</v>
      </c>
      <c r="S63" s="27" t="n">
        <f aca="false">IF(Assumptions!$C$5="INR",'INR Normalised'!S63,'Raw Data'!S63)/IF(Assumptions!$C$5="INR",INDEX('INR Normalised'!$F63:$S63,Assumptions!$C$7),INDEX('Raw Data'!$F63:$S63,Assumptions!$C$7))*100</f>
        <v>109.749412685983</v>
      </c>
      <c r="T63" s="20" t="n">
        <f aca="false">IFERROR(S63/R63-1,"")</f>
        <v>0.0104542177361211</v>
      </c>
      <c r="U63" s="20" t="n">
        <f aca="false">IFERROR(S63/F63-1,"")</f>
        <v>0.0974941268598277</v>
      </c>
    </row>
    <row r="64" customFormat="false" ht="15" hidden="false" customHeight="false" outlineLevel="0" collapsed="false">
      <c r="A64" s="24" t="str">
        <f aca="false">'Raw Data'!A64</f>
        <v>JPY 100 / INR (selling)</v>
      </c>
      <c r="B64" s="11" t="s">
        <v>191</v>
      </c>
      <c r="C64" s="24" t="str">
        <f aca="false">Assumptions!$C$5</f>
        <v>INR</v>
      </c>
      <c r="D64" s="24" t="str">
        <f aca="false">Assumptions!$C$6</f>
        <v>Jul-25</v>
      </c>
      <c r="E64" s="11" t="n">
        <v>100</v>
      </c>
      <c r="F64" s="27" t="n">
        <f aca="false">IF(Assumptions!$C$5="INR",'INR Normalised'!F64,'Raw Data'!F64)/IF(Assumptions!$C$5="INR",INDEX('INR Normalised'!$F64:$S64,Assumptions!$C$7),INDEX('Raw Data'!$F64:$S64,Assumptions!$C$7))*100</f>
        <v>100</v>
      </c>
      <c r="G64" s="27" t="n">
        <f aca="false">IF(Assumptions!$C$5="INR",'INR Normalised'!G64,'Raw Data'!G64)/IF(Assumptions!$C$5="INR",INDEX('INR Normalised'!$F64:$S64,Assumptions!$C$7),INDEX('Raw Data'!$F64:$S64,Assumptions!$C$7))*100</f>
        <v>101.092988061207</v>
      </c>
      <c r="H64" s="27" t="n">
        <f aca="false">IF(Assumptions!$C$5="INR",'INR Normalised'!H64,'Raw Data'!H64)/IF(Assumptions!$C$5="INR",INDEX('INR Normalised'!$F64:$S64,Assumptions!$C$7),INDEX('Raw Data'!$F64:$S64,Assumptions!$C$7))*100</f>
        <v>101.681520094165</v>
      </c>
      <c r="I64" s="27" t="n">
        <f aca="false">IF(Assumptions!$C$5="INR",'INR Normalised'!I64,'Raw Data'!I64)/IF(Assumptions!$C$5="INR",INDEX('INR Normalised'!$F64:$S64,Assumptions!$C$7),INDEX('Raw Data'!$F64:$S64,Assumptions!$C$7))*100</f>
        <v>99.5796199764587</v>
      </c>
      <c r="J64" s="27" t="n">
        <f aca="false">IF(Assumptions!$C$5="INR",'INR Normalised'!J64,'Raw Data'!J64)/IF(Assumptions!$C$5="INR",INDEX('INR Normalised'!$F64:$S64,Assumptions!$C$7),INDEX('Raw Data'!$F64:$S64,Assumptions!$C$7))*100</f>
        <v>97.5617958634606</v>
      </c>
      <c r="K64" s="27" t="n">
        <f aca="false">IF(Assumptions!$C$5="INR",'INR Normalised'!K64,'Raw Data'!K64)/IF(Assumptions!$C$5="INR",INDEX('INR Normalised'!$F64:$S64,Assumptions!$C$7),INDEX('Raw Data'!$F64:$S64,Assumptions!$C$7))*100</f>
        <v>98.3689255086598</v>
      </c>
      <c r="L64" s="27" t="n">
        <f aca="false">IF(Assumptions!$C$5="INR",'INR Normalised'!L64,'Raw Data'!L64)/IF(Assumptions!$C$5="INR",INDEX('INR Normalised'!$F64:$S64,Assumptions!$C$7),INDEX('Raw Data'!$F64:$S64,Assumptions!$C$7))*100</f>
        <v>98.604338321843</v>
      </c>
      <c r="M64" s="27" t="n">
        <f aca="false">IF(Assumptions!$C$5="INR",'INR Normalised'!M64,'Raw Data'!M64)/IF(Assumptions!$C$5="INR",INDEX('INR Normalised'!$F64:$S64,Assumptions!$C$7),INDEX('Raw Data'!$F64:$S64,Assumptions!$C$7))*100</f>
        <v>99.7141415839919</v>
      </c>
      <c r="N64" s="27" t="n">
        <f aca="false">IF(Assumptions!$C$5="INR",'INR Normalised'!N64,'Raw Data'!N64)/IF(Assumptions!$C$5="INR",INDEX('INR Normalised'!$F64:$S64,Assumptions!$C$7),INDEX('Raw Data'!$F64:$S64,Assumptions!$C$7))*100</f>
        <v>99.3946527661006</v>
      </c>
      <c r="O64" s="27" t="n">
        <f aca="false">IF(Assumptions!$C$5="INR",'INR Normalised'!O64,'Raw Data'!O64)/IF(Assumptions!$C$5="INR",INDEX('INR Normalised'!$F64:$S64,Assumptions!$C$7),INDEX('Raw Data'!$F64:$S64,Assumptions!$C$7))*100</f>
        <v>99.9831847990584</v>
      </c>
      <c r="P64" s="27" t="n">
        <f aca="false">IF(Assumptions!$C$5="INR",'INR Normalised'!P64,'Raw Data'!P64)/IF(Assumptions!$C$5="INR",INDEX('INR Normalised'!$F64:$S64,Assumptions!$C$7),INDEX('Raw Data'!$F64:$S64,Assumptions!$C$7))*100</f>
        <v>102.808138557256</v>
      </c>
      <c r="Q64" s="27" t="n">
        <f aca="false">IF(Assumptions!$C$5="INR",'INR Normalised'!Q64,'Raw Data'!Q64)/IF(Assumptions!$C$5="INR",INDEX('INR Normalised'!$F64:$S64,Assumptions!$C$7),INDEX('Raw Data'!$F64:$S64,Assumptions!$C$7))*100</f>
        <v>100.638977635783</v>
      </c>
      <c r="R64" s="27" t="n">
        <f aca="false">IF(Assumptions!$C$5="INR",'INR Normalised'!R64,'Raw Data'!R64)/IF(Assumptions!$C$5="INR",INDEX('INR Normalised'!$F64:$S64,Assumptions!$C$7),INDEX('Raw Data'!$F64:$S64,Assumptions!$C$7))*100</f>
        <v>100.369934420716</v>
      </c>
      <c r="S64" s="27" t="n">
        <f aca="false">IF(Assumptions!$C$5="INR",'INR Normalised'!S64,'Raw Data'!S64)/IF(Assumptions!$C$5="INR",INDEX('INR Normalised'!$F64:$S64,Assumptions!$C$7),INDEX('Raw Data'!$F64:$S64,Assumptions!$C$7))*100</f>
        <v>102.370943332773</v>
      </c>
      <c r="T64" s="20" t="n">
        <f aca="false">IFERROR(S64/R64-1,"")</f>
        <v>0.0199363377450159</v>
      </c>
      <c r="U64" s="20" t="n">
        <f aca="false">IFERROR(S64/F64-1,"")</f>
        <v>0.0237094333277283</v>
      </c>
    </row>
    <row r="65" customFormat="false" ht="15" hidden="false" customHeight="false" outlineLevel="0" collapsed="false">
      <c r="A65" s="24" t="str">
        <f aca="false">'Raw Data'!A65</f>
        <v>CNY / INR</v>
      </c>
      <c r="B65" s="11" t="s">
        <v>191</v>
      </c>
      <c r="C65" s="24" t="str">
        <f aca="false">Assumptions!$C$5</f>
        <v>INR</v>
      </c>
      <c r="D65" s="24" t="str">
        <f aca="false">Assumptions!$C$6</f>
        <v>Jul-25</v>
      </c>
      <c r="E65" s="11" t="n">
        <v>100</v>
      </c>
      <c r="F65" s="27" t="n">
        <f aca="false">IF(Assumptions!$C$5="INR",'INR Normalised'!F65,'Raw Data'!F65)/IF(Assumptions!$C$5="INR",INDEX('INR Normalised'!$F65:$S65,Assumptions!$C$7),INDEX('Raw Data'!$F65:$S65,Assumptions!$C$7))*100</f>
        <v>100</v>
      </c>
      <c r="G65" s="27" t="n">
        <f aca="false">IF(Assumptions!$C$5="INR",'INR Normalised'!G65,'Raw Data'!G65)/IF(Assumptions!$C$5="INR",INDEX('INR Normalised'!$F65:$S65,Assumptions!$C$7),INDEX('Raw Data'!$F65:$S65,Assumptions!$C$7))*100</f>
        <v>101.747088186356</v>
      </c>
      <c r="H65" s="27" t="n">
        <f aca="false">IF(Assumptions!$C$5="INR",'INR Normalised'!H65,'Raw Data'!H65)/IF(Assumptions!$C$5="INR",INDEX('INR Normalised'!$F65:$S65,Assumptions!$C$7),INDEX('Raw Data'!$F65:$S65,Assumptions!$C$7))*100</f>
        <v>103.24459234609</v>
      </c>
      <c r="I65" s="27" t="n">
        <f aca="false">IF(Assumptions!$C$5="INR",'INR Normalised'!I65,'Raw Data'!I65)/IF(Assumptions!$C$5="INR",INDEX('INR Normalised'!$F65:$S65,Assumptions!$C$7),INDEX('Raw Data'!$F65:$S65,Assumptions!$C$7))*100</f>
        <v>103.24459234609</v>
      </c>
      <c r="J65" s="27" t="n">
        <f aca="false">IF(Assumptions!$C$5="INR",'INR Normalised'!J65,'Raw Data'!J65)/IF(Assumptions!$C$5="INR",INDEX('INR Normalised'!$F65:$S65,Assumptions!$C$7),INDEX('Raw Data'!$F65:$S65,Assumptions!$C$7))*100</f>
        <v>106.073211314476</v>
      </c>
      <c r="K65" s="27" t="n">
        <f aca="false">IF(Assumptions!$C$5="INR",'INR Normalised'!K65,'Raw Data'!K65)/IF(Assumptions!$C$5="INR",INDEX('INR Normalised'!$F65:$S65,Assumptions!$C$7),INDEX('Raw Data'!$F65:$S65,Assumptions!$C$7))*100</f>
        <v>106.988352745424</v>
      </c>
      <c r="L65" s="27" t="n">
        <f aca="false">IF(Assumptions!$C$5="INR",'INR Normalised'!L65,'Raw Data'!L65)/IF(Assumptions!$C$5="INR",INDEX('INR Normalised'!$F65:$S65,Assumptions!$C$7),INDEX('Raw Data'!$F65:$S65,Assumptions!$C$7))*100</f>
        <v>110.149750415973</v>
      </c>
      <c r="M65" s="27" t="n">
        <f aca="false">IF(Assumptions!$C$5="INR",'INR Normalised'!M65,'Raw Data'!M65)/IF(Assumptions!$C$5="INR",INDEX('INR Normalised'!$F65:$S65,Assumptions!$C$7),INDEX('Raw Data'!$F65:$S65,Assumptions!$C$7))*100</f>
        <v>109.400998336107</v>
      </c>
      <c r="N65" s="27" t="n">
        <f aca="false">IF(Assumptions!$C$5="INR",'INR Normalised'!N65,'Raw Data'!N65)/IF(Assumptions!$C$5="INR",INDEX('INR Normalised'!$F65:$S65,Assumptions!$C$7),INDEX('Raw Data'!$F65:$S65,Assumptions!$C$7))*100</f>
        <v>112.312811980033</v>
      </c>
      <c r="O65" s="27" t="n">
        <f aca="false">IF(Assumptions!$C$5="INR",'INR Normalised'!O65,'Raw Data'!O65)/IF(Assumptions!$C$5="INR",INDEX('INR Normalised'!$F65:$S65,Assumptions!$C$7),INDEX('Raw Data'!$F65:$S65,Assumptions!$C$7))*100</f>
        <v>114.14309484193</v>
      </c>
      <c r="P65" s="27" t="n">
        <f aca="false">IF(Assumptions!$C$5="INR",'INR Normalised'!P65,'Raw Data'!P65)/IF(Assumptions!$C$5="INR",INDEX('INR Normalised'!$F65:$S65,Assumptions!$C$7),INDEX('Raw Data'!$F65:$S65,Assumptions!$C$7))*100</f>
        <v>117.221297836938</v>
      </c>
      <c r="Q65" s="27" t="n">
        <f aca="false">IF(Assumptions!$C$5="INR",'INR Normalised'!Q65,'Raw Data'!Q65)/IF(Assumptions!$C$5="INR",INDEX('INR Normalised'!$F65:$S65,Assumptions!$C$7),INDEX('Raw Data'!$F65:$S65,Assumptions!$C$7))*100</f>
        <v>116.805324459235</v>
      </c>
      <c r="R65" s="27" t="n">
        <f aca="false">IF(Assumptions!$C$5="INR",'INR Normalised'!R65,'Raw Data'!R65)/IF(Assumptions!$C$5="INR",INDEX('INR Normalised'!$F65:$S65,Assumptions!$C$7),INDEX('Raw Data'!$F65:$S65,Assumptions!$C$7))*100</f>
        <v>117.886855241265</v>
      </c>
      <c r="S65" s="27" t="n">
        <f aca="false">IF(Assumptions!$C$5="INR",'INR Normalised'!S65,'Raw Data'!S65)/IF(Assumptions!$C$5="INR",INDEX('INR Normalised'!$F65:$S65,Assumptions!$C$7),INDEX('Raw Data'!$F65:$S65,Assumptions!$C$7))*100</f>
        <v>117.886855241265</v>
      </c>
      <c r="T65" s="20" t="n">
        <f aca="false">IFERROR(S65/R65-1,"")</f>
        <v>0</v>
      </c>
      <c r="U65" s="20" t="n">
        <f aca="false">IFERROR(S65/F65-1,"")</f>
        <v>0.178868552412646</v>
      </c>
    </row>
    <row r="66" customFormat="false" ht="15" hidden="false" customHeight="false" outlineLevel="0" collapsed="false">
      <c r="A66" s="17" t="s">
        <v>196</v>
      </c>
      <c r="B66" s="18"/>
      <c r="C66" s="18"/>
      <c r="D66" s="18"/>
      <c r="E66" s="18"/>
      <c r="F66" s="18"/>
      <c r="G66" s="18"/>
      <c r="H66" s="18"/>
      <c r="I66" s="18"/>
      <c r="J66" s="18"/>
      <c r="K66" s="18"/>
      <c r="L66" s="18"/>
      <c r="M66" s="18"/>
      <c r="N66" s="18"/>
      <c r="O66" s="18"/>
      <c r="P66" s="18"/>
      <c r="Q66" s="18"/>
      <c r="R66" s="18"/>
      <c r="S66" s="18"/>
      <c r="T66" s="18"/>
      <c r="U66" s="18"/>
      <c r="V66" s="18"/>
    </row>
    <row r="67" customFormat="false" ht="15" hidden="false" customHeight="false" outlineLevel="0" collapsed="false">
      <c r="A67" s="24" t="str">
        <f aca="false">'Raw Data'!A67</f>
        <v>Cash Reserve Ratio (%)</v>
      </c>
      <c r="B67" s="11" t="s">
        <v>198</v>
      </c>
      <c r="C67" s="28" t="s">
        <v>224</v>
      </c>
      <c r="D67" s="29"/>
      <c r="E67" s="29"/>
    </row>
    <row r="68" customFormat="false" ht="15" hidden="false" customHeight="false" outlineLevel="0" collapsed="false">
      <c r="A68" s="24" t="str">
        <f aca="false">'Raw Data'!A68</f>
        <v>Bank Rate (% p.a.)</v>
      </c>
      <c r="B68" s="11" t="s">
        <v>198</v>
      </c>
      <c r="C68" s="28" t="s">
        <v>224</v>
      </c>
      <c r="D68" s="29"/>
      <c r="E68" s="29"/>
    </row>
    <row r="69" customFormat="false" ht="15" hidden="false" customHeight="false" outlineLevel="0" collapsed="false">
      <c r="A69" s="24" t="str">
        <f aca="false">'Raw Data'!A69</f>
        <v>Base Rate - low (% p.a.)</v>
      </c>
      <c r="B69" s="11" t="s">
        <v>198</v>
      </c>
      <c r="C69" s="28" t="s">
        <v>224</v>
      </c>
      <c r="D69" s="29"/>
      <c r="E69" s="29"/>
    </row>
    <row r="70" customFormat="false" ht="15" hidden="false" customHeight="false" outlineLevel="0" collapsed="false">
      <c r="A70" s="24" t="str">
        <f aca="false">'Raw Data'!A70</f>
        <v>Base Rate - high (% p.a.)</v>
      </c>
      <c r="B70" s="11" t="s">
        <v>198</v>
      </c>
      <c r="C70" s="28" t="s">
        <v>224</v>
      </c>
      <c r="D70" s="29"/>
      <c r="E70" s="29"/>
    </row>
    <row r="72" customFormat="false" ht="15" hidden="false" customHeight="false" outlineLevel="0" collapsed="false">
      <c r="A72" s="9" t="s">
        <v>225</v>
      </c>
    </row>
  </sheetData>
  <mergeCells count="1">
    <mergeCell ref="A1:U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6"/>
    <col collapsed="false" customWidth="true" hidden="false" outlineLevel="0" max="15" min="3" style="0" width="11"/>
  </cols>
  <sheetData>
    <row r="1" customFormat="false" ht="24" hidden="false" customHeight="true" outlineLevel="0" collapsed="false">
      <c r="A1" s="1" t="s">
        <v>226</v>
      </c>
      <c r="B1" s="1"/>
      <c r="C1" s="1"/>
      <c r="D1" s="1"/>
      <c r="E1" s="1"/>
      <c r="F1" s="1"/>
      <c r="G1" s="1"/>
      <c r="H1" s="1"/>
      <c r="I1" s="1"/>
      <c r="J1" s="1"/>
      <c r="K1" s="1"/>
      <c r="L1" s="1"/>
      <c r="M1" s="1"/>
      <c r="N1" s="1"/>
      <c r="O1" s="1"/>
      <c r="P1" s="1"/>
      <c r="Q1" s="1"/>
      <c r="R1" s="1"/>
      <c r="S1" s="1"/>
      <c r="T1" s="1"/>
    </row>
    <row r="2" customFormat="false" ht="15" hidden="false" customHeight="false" outlineLevel="0" collapsed="false">
      <c r="A2" s="2" t="s">
        <v>227</v>
      </c>
    </row>
    <row r="4" customFormat="false" ht="15" hidden="false" customHeight="false" outlineLevel="0" collapsed="false">
      <c r="C4" s="30" t="s">
        <v>228</v>
      </c>
      <c r="D4" s="30"/>
      <c r="E4" s="30"/>
      <c r="F4" s="30"/>
      <c r="G4" s="30"/>
      <c r="H4" s="30"/>
      <c r="I4" s="30" t="s">
        <v>229</v>
      </c>
      <c r="J4" s="30"/>
      <c r="K4" s="30"/>
      <c r="L4" s="30"/>
      <c r="M4" s="30"/>
      <c r="N4" s="30"/>
      <c r="O4" s="30"/>
    </row>
    <row r="5" customFormat="false" ht="33.75" hidden="false" customHeight="true" outlineLevel="0" collapsed="false">
      <c r="A5" s="15" t="s">
        <v>89</v>
      </c>
      <c r="B5" s="15" t="s">
        <v>90</v>
      </c>
      <c r="C5" s="16" t="s">
        <v>68</v>
      </c>
      <c r="D5" s="16" t="s">
        <v>69</v>
      </c>
      <c r="E5" s="16" t="s">
        <v>70</v>
      </c>
      <c r="F5" s="16" t="s">
        <v>71</v>
      </c>
      <c r="G5" s="16" t="s">
        <v>72</v>
      </c>
      <c r="H5" s="16" t="s">
        <v>73</v>
      </c>
      <c r="I5" s="31" t="s">
        <v>230</v>
      </c>
      <c r="J5" s="31" t="s">
        <v>231</v>
      </c>
      <c r="K5" s="31" t="s">
        <v>232</v>
      </c>
      <c r="L5" s="31" t="s">
        <v>142</v>
      </c>
      <c r="M5" s="31" t="s">
        <v>233</v>
      </c>
      <c r="N5" s="31" t="s">
        <v>234</v>
      </c>
      <c r="O5" s="31" t="s">
        <v>235</v>
      </c>
    </row>
    <row r="6" customFormat="false" ht="15" hidden="false" customHeight="false" outlineLevel="0" collapsed="false">
      <c r="A6" s="17" t="s">
        <v>109</v>
      </c>
      <c r="B6" s="18"/>
      <c r="C6" s="18"/>
      <c r="D6" s="18"/>
      <c r="E6" s="18"/>
      <c r="F6" s="18"/>
      <c r="G6" s="18"/>
      <c r="H6" s="18"/>
      <c r="I6" s="18"/>
      <c r="J6" s="18"/>
      <c r="K6" s="18"/>
      <c r="L6" s="18"/>
      <c r="M6" s="18"/>
      <c r="N6" s="18"/>
      <c r="O6" s="18"/>
    </row>
    <row r="7" customFormat="false" ht="15" hidden="false" customHeight="false" outlineLevel="0" collapsed="false">
      <c r="A7" s="24" t="str">
        <f aca="false">'Raw Data'!A7</f>
        <v>HR Steel (HRC 1.8mm, IS2062)</v>
      </c>
      <c r="B7" s="11" t="s">
        <v>111</v>
      </c>
      <c r="C7" s="32" t="n">
        <v>23</v>
      </c>
      <c r="D7" s="32" t="n">
        <v>20</v>
      </c>
      <c r="E7" s="32" t="n">
        <v>28</v>
      </c>
      <c r="F7" s="32" t="n">
        <v>30</v>
      </c>
      <c r="G7" s="32" t="n">
        <v>12</v>
      </c>
      <c r="H7" s="32" t="n">
        <v>14</v>
      </c>
      <c r="I7" s="32" t="n">
        <v>32</v>
      </c>
      <c r="J7" s="32" t="n">
        <v>0</v>
      </c>
      <c r="K7" s="32" t="n">
        <v>0</v>
      </c>
      <c r="L7" s="32" t="n">
        <v>0</v>
      </c>
      <c r="M7" s="32" t="n">
        <v>0</v>
      </c>
      <c r="N7" s="32" t="n">
        <v>0</v>
      </c>
      <c r="O7" s="32" t="n">
        <v>0</v>
      </c>
    </row>
    <row r="8" customFormat="false" ht="15" hidden="false" customHeight="false" outlineLevel="0" collapsed="false">
      <c r="A8" s="24" t="str">
        <f aca="false">'Raw Data'!A8</f>
        <v>CR Steel (CRC 0.90mm, IS513 GrO)</v>
      </c>
      <c r="B8" s="11" t="s">
        <v>111</v>
      </c>
      <c r="C8" s="32" t="n">
        <v>16</v>
      </c>
      <c r="D8" s="32" t="n">
        <v>12</v>
      </c>
      <c r="E8" s="32" t="n">
        <v>10</v>
      </c>
      <c r="F8" s="32" t="n">
        <v>8</v>
      </c>
      <c r="G8" s="32" t="n">
        <v>8</v>
      </c>
      <c r="H8" s="32" t="n">
        <v>8</v>
      </c>
      <c r="I8" s="32" t="n">
        <v>22</v>
      </c>
      <c r="J8" s="32" t="n">
        <v>0</v>
      </c>
      <c r="K8" s="32" t="n">
        <v>0</v>
      </c>
      <c r="L8" s="32" t="n">
        <v>0</v>
      </c>
      <c r="M8" s="32" t="n">
        <v>0</v>
      </c>
      <c r="N8" s="32" t="n">
        <v>0</v>
      </c>
      <c r="O8" s="32" t="n">
        <v>0</v>
      </c>
    </row>
    <row r="9" customFormat="false" ht="15" hidden="false" customHeight="false" outlineLevel="0" collapsed="false">
      <c r="A9" s="24" t="str">
        <f aca="false">'Raw Data'!A9</f>
        <v>Alloy Steel - Forging (20MnCr5)</v>
      </c>
      <c r="B9" s="11" t="s">
        <v>111</v>
      </c>
      <c r="C9" s="32" t="n">
        <v>4</v>
      </c>
      <c r="D9" s="32" t="n">
        <v>5</v>
      </c>
      <c r="E9" s="32" t="n">
        <v>6</v>
      </c>
      <c r="F9" s="32" t="n">
        <v>8</v>
      </c>
      <c r="G9" s="32" t="n">
        <v>0</v>
      </c>
      <c r="H9" s="32" t="n">
        <v>0</v>
      </c>
      <c r="I9" s="32" t="n">
        <v>8</v>
      </c>
      <c r="J9" s="32" t="n">
        <v>0</v>
      </c>
      <c r="K9" s="32" t="n">
        <v>0</v>
      </c>
      <c r="L9" s="32" t="n">
        <v>0</v>
      </c>
      <c r="M9" s="32" t="n">
        <v>0</v>
      </c>
      <c r="N9" s="32" t="n">
        <v>0</v>
      </c>
      <c r="O9" s="32" t="n">
        <v>0</v>
      </c>
    </row>
    <row r="10" customFormat="false" ht="15" hidden="false" customHeight="false" outlineLevel="0" collapsed="false">
      <c r="A10" s="24" t="str">
        <f aca="false">'Raw Data'!A10</f>
        <v>Alloy Steel - Forging (EN-8)</v>
      </c>
      <c r="B10" s="11" t="s">
        <v>111</v>
      </c>
      <c r="C10" s="32" t="n">
        <v>3</v>
      </c>
      <c r="D10" s="32" t="n">
        <v>4</v>
      </c>
      <c r="E10" s="32" t="n">
        <v>5</v>
      </c>
      <c r="F10" s="32" t="n">
        <v>6</v>
      </c>
      <c r="G10" s="32" t="n">
        <v>0</v>
      </c>
      <c r="H10" s="32" t="n">
        <v>0</v>
      </c>
      <c r="I10" s="32" t="n">
        <v>6</v>
      </c>
      <c r="J10" s="32" t="n">
        <v>0</v>
      </c>
      <c r="K10" s="32" t="n">
        <v>0</v>
      </c>
      <c r="L10" s="32" t="n">
        <v>0</v>
      </c>
      <c r="M10" s="32" t="n">
        <v>0</v>
      </c>
      <c r="N10" s="32" t="n">
        <v>0</v>
      </c>
      <c r="O10" s="32" t="n">
        <v>0</v>
      </c>
    </row>
    <row r="11" customFormat="false" ht="15" hidden="false" customHeight="false" outlineLevel="0" collapsed="false">
      <c r="A11" s="24" t="str">
        <f aca="false">'Raw Data'!A11</f>
        <v>Pig Iron (Foundry Grade B)</v>
      </c>
      <c r="B11" s="11" t="s">
        <v>111</v>
      </c>
      <c r="C11" s="32" t="n">
        <v>3</v>
      </c>
      <c r="D11" s="32" t="n">
        <v>3</v>
      </c>
      <c r="E11" s="32" t="n">
        <v>4</v>
      </c>
      <c r="F11" s="32" t="n">
        <v>8</v>
      </c>
      <c r="G11" s="32" t="n">
        <v>0</v>
      </c>
      <c r="H11" s="32" t="n">
        <v>0</v>
      </c>
      <c r="I11" s="32" t="n">
        <v>10</v>
      </c>
      <c r="J11" s="32" t="n">
        <v>0</v>
      </c>
      <c r="K11" s="32" t="n">
        <v>0</v>
      </c>
      <c r="L11" s="32" t="n">
        <v>0</v>
      </c>
      <c r="M11" s="32" t="n">
        <v>0</v>
      </c>
      <c r="N11" s="32" t="n">
        <v>0</v>
      </c>
      <c r="O11" s="32" t="n">
        <v>0</v>
      </c>
    </row>
    <row r="12" customFormat="false" ht="15" hidden="false" customHeight="false" outlineLevel="0" collapsed="false">
      <c r="A12" s="24" t="str">
        <f aca="false">'Raw Data'!A12</f>
        <v>Stainless Steel (G304 CR Coil)</v>
      </c>
      <c r="B12" s="11" t="s">
        <v>111</v>
      </c>
      <c r="C12" s="32" t="n">
        <v>2</v>
      </c>
      <c r="D12" s="32" t="n">
        <v>3</v>
      </c>
      <c r="E12" s="32" t="n">
        <v>1</v>
      </c>
      <c r="F12" s="32" t="n">
        <v>0</v>
      </c>
      <c r="G12" s="32" t="n">
        <v>1</v>
      </c>
      <c r="H12" s="32" t="n">
        <v>0</v>
      </c>
      <c r="I12" s="32" t="n">
        <v>5</v>
      </c>
      <c r="J12" s="32" t="n">
        <v>0</v>
      </c>
      <c r="K12" s="32" t="n">
        <v>0</v>
      </c>
      <c r="L12" s="32" t="n">
        <v>0</v>
      </c>
      <c r="M12" s="32" t="n">
        <v>0</v>
      </c>
      <c r="N12" s="32" t="n">
        <v>0</v>
      </c>
      <c r="O12" s="32" t="n">
        <v>0</v>
      </c>
    </row>
    <row r="13" customFormat="false" ht="15" hidden="false" customHeight="false" outlineLevel="0" collapsed="false">
      <c r="A13" s="24" t="str">
        <f aca="false">'Raw Data'!A13</f>
        <v>Stainless Steel (G304 HR Coil)</v>
      </c>
      <c r="B13" s="11" t="s">
        <v>111</v>
      </c>
      <c r="C13" s="32" t="n">
        <v>0</v>
      </c>
      <c r="D13" s="32" t="n">
        <v>0</v>
      </c>
      <c r="E13" s="32" t="n">
        <v>0</v>
      </c>
      <c r="F13" s="32" t="n">
        <v>0</v>
      </c>
      <c r="G13" s="32" t="n">
        <v>0</v>
      </c>
      <c r="H13" s="32" t="n">
        <v>0</v>
      </c>
      <c r="I13" s="32" t="n">
        <v>3</v>
      </c>
      <c r="J13" s="32" t="n">
        <v>0</v>
      </c>
      <c r="K13" s="32" t="n">
        <v>0</v>
      </c>
      <c r="L13" s="32" t="n">
        <v>0</v>
      </c>
      <c r="M13" s="32" t="n">
        <v>0</v>
      </c>
      <c r="N13" s="32" t="n">
        <v>0</v>
      </c>
      <c r="O13" s="32" t="n">
        <v>0</v>
      </c>
    </row>
    <row r="14" customFormat="false" ht="15" hidden="false" customHeight="false" outlineLevel="0" collapsed="false">
      <c r="A14" s="24" t="str">
        <f aca="false">'Raw Data'!A14</f>
        <v>Steel Scrap (RM end scrap)</v>
      </c>
      <c r="B14" s="11" t="s">
        <v>111</v>
      </c>
      <c r="C14" s="32" t="n">
        <v>2</v>
      </c>
      <c r="D14" s="32" t="n">
        <v>2</v>
      </c>
      <c r="E14" s="32" t="n">
        <v>3</v>
      </c>
      <c r="F14" s="32" t="n">
        <v>4</v>
      </c>
      <c r="G14" s="32" t="n">
        <v>1</v>
      </c>
      <c r="H14" s="32" t="n">
        <v>1</v>
      </c>
      <c r="I14" s="32" t="n">
        <v>6</v>
      </c>
      <c r="J14" s="32" t="n">
        <v>0</v>
      </c>
      <c r="K14" s="32" t="n">
        <v>0</v>
      </c>
      <c r="L14" s="32" t="n">
        <v>0</v>
      </c>
      <c r="M14" s="32" t="n">
        <v>0</v>
      </c>
      <c r="N14" s="32" t="n">
        <v>0</v>
      </c>
      <c r="O14" s="32" t="n">
        <v>0</v>
      </c>
    </row>
    <row r="15" customFormat="false" ht="15" hidden="false" customHeight="false" outlineLevel="0" collapsed="false">
      <c r="A15" s="17" t="s">
        <v>121</v>
      </c>
      <c r="B15" s="18"/>
      <c r="C15" s="18"/>
      <c r="D15" s="18"/>
      <c r="E15" s="18"/>
      <c r="F15" s="18"/>
      <c r="G15" s="18"/>
      <c r="H15" s="18"/>
      <c r="I15" s="18"/>
      <c r="J15" s="18"/>
      <c r="K15" s="18"/>
      <c r="L15" s="18"/>
      <c r="M15" s="18"/>
      <c r="N15" s="18"/>
      <c r="O15" s="18"/>
    </row>
    <row r="16" customFormat="false" ht="15" hidden="false" customHeight="false" outlineLevel="0" collapsed="false">
      <c r="A16" s="24" t="str">
        <f aca="false">'Raw Data'!A16</f>
        <v>Coking Coal (Premium HCC, Australia)</v>
      </c>
      <c r="B16" s="11" t="s">
        <v>123</v>
      </c>
      <c r="C16" s="32" t="n">
        <v>0</v>
      </c>
      <c r="D16" s="32" t="n">
        <v>0</v>
      </c>
      <c r="E16" s="32" t="n">
        <v>0</v>
      </c>
      <c r="F16" s="32" t="n">
        <v>0</v>
      </c>
      <c r="G16" s="32" t="n">
        <v>0</v>
      </c>
      <c r="H16" s="32" t="n">
        <v>0</v>
      </c>
      <c r="I16" s="32" t="n">
        <v>3</v>
      </c>
      <c r="J16" s="32" t="n">
        <v>0</v>
      </c>
      <c r="K16" s="32" t="n">
        <v>0</v>
      </c>
      <c r="L16" s="32" t="n">
        <v>0</v>
      </c>
      <c r="M16" s="32" t="n">
        <v>0</v>
      </c>
      <c r="N16" s="32" t="n">
        <v>0</v>
      </c>
      <c r="O16" s="32" t="n">
        <v>15</v>
      </c>
    </row>
    <row r="17" customFormat="false" ht="15" hidden="false" customHeight="false" outlineLevel="0" collapsed="false">
      <c r="A17" s="24" t="str">
        <f aca="false">'Raw Data'!A17</f>
        <v>Iron Ore (Fe 62%, Australia)</v>
      </c>
      <c r="B17" s="11" t="s">
        <v>123</v>
      </c>
      <c r="C17" s="32" t="n">
        <v>0</v>
      </c>
      <c r="D17" s="32" t="n">
        <v>0</v>
      </c>
      <c r="E17" s="32" t="n">
        <v>0</v>
      </c>
      <c r="F17" s="32" t="n">
        <v>0</v>
      </c>
      <c r="G17" s="32" t="n">
        <v>0</v>
      </c>
      <c r="H17" s="32" t="n">
        <v>0</v>
      </c>
      <c r="I17" s="32" t="n">
        <v>5</v>
      </c>
      <c r="J17" s="32" t="n">
        <v>0</v>
      </c>
      <c r="K17" s="32" t="n">
        <v>0</v>
      </c>
      <c r="L17" s="32" t="n">
        <v>0</v>
      </c>
      <c r="M17" s="32" t="n">
        <v>0</v>
      </c>
      <c r="N17" s="32" t="n">
        <v>0</v>
      </c>
      <c r="O17" s="32" t="n">
        <v>0</v>
      </c>
    </row>
    <row r="18" customFormat="false" ht="15" hidden="false" customHeight="false" outlineLevel="0" collapsed="false">
      <c r="A18" s="17" t="s">
        <v>127</v>
      </c>
      <c r="B18" s="18"/>
      <c r="C18" s="18"/>
      <c r="D18" s="18"/>
      <c r="E18" s="18"/>
      <c r="F18" s="18"/>
      <c r="G18" s="18"/>
      <c r="H18" s="18"/>
      <c r="I18" s="18"/>
      <c r="J18" s="18"/>
      <c r="K18" s="18"/>
      <c r="L18" s="18"/>
      <c r="M18" s="18"/>
      <c r="N18" s="18"/>
      <c r="O18" s="18"/>
    </row>
    <row r="19" customFormat="false" ht="15" hidden="false" customHeight="false" outlineLevel="0" collapsed="false">
      <c r="A19" s="24" t="str">
        <f aca="false">'Raw Data'!A19</f>
        <v>Virgin Aluminium</v>
      </c>
      <c r="B19" s="11" t="s">
        <v>129</v>
      </c>
      <c r="C19" s="32" t="n">
        <v>14</v>
      </c>
      <c r="D19" s="32" t="n">
        <v>20</v>
      </c>
      <c r="E19" s="32" t="n">
        <v>10</v>
      </c>
      <c r="F19" s="32" t="n">
        <v>6</v>
      </c>
      <c r="G19" s="32" t="n">
        <v>15</v>
      </c>
      <c r="H19" s="32" t="n">
        <v>18</v>
      </c>
      <c r="I19" s="32" t="n">
        <v>0</v>
      </c>
      <c r="J19" s="32" t="n">
        <v>55</v>
      </c>
      <c r="K19" s="32" t="n">
        <v>0</v>
      </c>
      <c r="L19" s="32" t="n">
        <v>0</v>
      </c>
      <c r="M19" s="32" t="n">
        <v>0</v>
      </c>
      <c r="N19" s="32" t="n">
        <v>0</v>
      </c>
      <c r="O19" s="32" t="n">
        <v>0</v>
      </c>
    </row>
    <row r="20" customFormat="false" ht="15" hidden="false" customHeight="false" outlineLevel="0" collapsed="false">
      <c r="A20" s="24" t="str">
        <f aca="false">'Raw Data'!A20</f>
        <v>Copper</v>
      </c>
      <c r="B20" s="11" t="s">
        <v>129</v>
      </c>
      <c r="C20" s="32" t="n">
        <v>6</v>
      </c>
      <c r="D20" s="32" t="n">
        <v>5</v>
      </c>
      <c r="E20" s="32" t="n">
        <v>5</v>
      </c>
      <c r="F20" s="32" t="n">
        <v>5</v>
      </c>
      <c r="G20" s="32" t="n">
        <v>12</v>
      </c>
      <c r="H20" s="32" t="n">
        <v>10</v>
      </c>
      <c r="I20" s="32" t="n">
        <v>0</v>
      </c>
      <c r="J20" s="32" t="n">
        <v>25</v>
      </c>
      <c r="K20" s="32" t="n">
        <v>0</v>
      </c>
      <c r="L20" s="32" t="n">
        <v>0</v>
      </c>
      <c r="M20" s="32" t="n">
        <v>0</v>
      </c>
      <c r="N20" s="32" t="n">
        <v>0</v>
      </c>
      <c r="O20" s="32" t="n">
        <v>0</v>
      </c>
    </row>
    <row r="21" customFormat="false" ht="15" hidden="false" customHeight="false" outlineLevel="0" collapsed="false">
      <c r="A21" s="24" t="str">
        <f aca="false">'Raw Data'!A21</f>
        <v>Lead</v>
      </c>
      <c r="B21" s="11" t="s">
        <v>129</v>
      </c>
      <c r="C21" s="32" t="n">
        <v>1</v>
      </c>
      <c r="D21" s="32" t="n">
        <v>2</v>
      </c>
      <c r="E21" s="32" t="n">
        <v>1</v>
      </c>
      <c r="F21" s="32" t="n">
        <v>2</v>
      </c>
      <c r="G21" s="32" t="n">
        <v>0</v>
      </c>
      <c r="H21" s="32" t="n">
        <v>0</v>
      </c>
      <c r="I21" s="32" t="n">
        <v>0</v>
      </c>
      <c r="J21" s="32" t="n">
        <v>5</v>
      </c>
      <c r="K21" s="32" t="n">
        <v>0</v>
      </c>
      <c r="L21" s="32" t="n">
        <v>0</v>
      </c>
      <c r="M21" s="32" t="n">
        <v>0</v>
      </c>
      <c r="N21" s="32" t="n">
        <v>0</v>
      </c>
      <c r="O21" s="32" t="n">
        <v>0</v>
      </c>
    </row>
    <row r="22" customFormat="false" ht="15" hidden="false" customHeight="false" outlineLevel="0" collapsed="false">
      <c r="A22" s="24" t="str">
        <f aca="false">'Raw Data'!A22</f>
        <v>Nickel</v>
      </c>
      <c r="B22" s="11" t="s">
        <v>129</v>
      </c>
      <c r="C22" s="32" t="n">
        <v>1</v>
      </c>
      <c r="D22" s="32" t="n">
        <v>1</v>
      </c>
      <c r="E22" s="32" t="n">
        <v>1</v>
      </c>
      <c r="F22" s="32" t="n">
        <v>0</v>
      </c>
      <c r="G22" s="32" t="n">
        <v>3</v>
      </c>
      <c r="H22" s="32" t="n">
        <v>2</v>
      </c>
      <c r="I22" s="32" t="n">
        <v>0</v>
      </c>
      <c r="J22" s="32" t="n">
        <v>7</v>
      </c>
      <c r="K22" s="32" t="n">
        <v>0</v>
      </c>
      <c r="L22" s="32" t="n">
        <v>0</v>
      </c>
      <c r="M22" s="32" t="n">
        <v>0</v>
      </c>
      <c r="N22" s="32" t="n">
        <v>0</v>
      </c>
      <c r="O22" s="32" t="n">
        <v>0</v>
      </c>
    </row>
    <row r="23" customFormat="false" ht="15" hidden="false" customHeight="false" outlineLevel="0" collapsed="false">
      <c r="A23" s="24" t="str">
        <f aca="false">'Raw Data'!A23</f>
        <v>Zinc</v>
      </c>
      <c r="B23" s="11" t="s">
        <v>129</v>
      </c>
      <c r="C23" s="32" t="n">
        <v>2</v>
      </c>
      <c r="D23" s="32" t="n">
        <v>2</v>
      </c>
      <c r="E23" s="32" t="n">
        <v>2</v>
      </c>
      <c r="F23" s="32" t="n">
        <v>2</v>
      </c>
      <c r="G23" s="32" t="n">
        <v>1</v>
      </c>
      <c r="H23" s="32" t="n">
        <v>0</v>
      </c>
      <c r="I23" s="32" t="n">
        <v>0</v>
      </c>
      <c r="J23" s="32" t="n">
        <v>8</v>
      </c>
      <c r="K23" s="32" t="n">
        <v>0</v>
      </c>
      <c r="L23" s="32" t="n">
        <v>0</v>
      </c>
      <c r="M23" s="32" t="n">
        <v>0</v>
      </c>
      <c r="N23" s="32" t="n">
        <v>0</v>
      </c>
      <c r="O23" s="32" t="n">
        <v>0</v>
      </c>
    </row>
    <row r="24" customFormat="false" ht="15" hidden="false" customHeight="false" outlineLevel="0" collapsed="false">
      <c r="A24" s="17" t="s">
        <v>134</v>
      </c>
      <c r="B24" s="18"/>
      <c r="C24" s="18"/>
      <c r="D24" s="18"/>
      <c r="E24" s="18"/>
      <c r="F24" s="18"/>
      <c r="G24" s="18"/>
      <c r="H24" s="18"/>
      <c r="I24" s="18"/>
      <c r="J24" s="18"/>
      <c r="K24" s="18"/>
      <c r="L24" s="18"/>
      <c r="M24" s="18"/>
      <c r="N24" s="18"/>
      <c r="O24" s="18"/>
    </row>
    <row r="25" customFormat="false" ht="15" hidden="false" customHeight="false" outlineLevel="0" collapsed="false">
      <c r="A25" s="24" t="str">
        <f aca="false">'Raw Data'!A25</f>
        <v>Platinum</v>
      </c>
      <c r="B25" s="11" t="s">
        <v>136</v>
      </c>
      <c r="C25" s="32" t="n">
        <v>1.5</v>
      </c>
      <c r="D25" s="32" t="n">
        <v>1</v>
      </c>
      <c r="E25" s="32" t="n">
        <v>1</v>
      </c>
      <c r="F25" s="32" t="n">
        <v>0</v>
      </c>
      <c r="G25" s="32" t="n">
        <v>0</v>
      </c>
      <c r="H25" s="32" t="n">
        <v>0</v>
      </c>
      <c r="I25" s="32" t="n">
        <v>0</v>
      </c>
      <c r="J25" s="32" t="n">
        <v>0</v>
      </c>
      <c r="K25" s="32" t="n">
        <v>40</v>
      </c>
      <c r="L25" s="32" t="n">
        <v>0</v>
      </c>
      <c r="M25" s="32" t="n">
        <v>0</v>
      </c>
      <c r="N25" s="32" t="n">
        <v>0</v>
      </c>
      <c r="O25" s="32" t="n">
        <v>0</v>
      </c>
    </row>
    <row r="26" customFormat="false" ht="15" hidden="false" customHeight="false" outlineLevel="0" collapsed="false">
      <c r="A26" s="24" t="str">
        <f aca="false">'Raw Data'!A26</f>
        <v>Palladium</v>
      </c>
      <c r="B26" s="11" t="s">
        <v>136</v>
      </c>
      <c r="C26" s="32" t="n">
        <v>2</v>
      </c>
      <c r="D26" s="32" t="n">
        <v>1.5</v>
      </c>
      <c r="E26" s="32" t="n">
        <v>2</v>
      </c>
      <c r="F26" s="32" t="n">
        <v>0</v>
      </c>
      <c r="G26" s="32" t="n">
        <v>0</v>
      </c>
      <c r="H26" s="32" t="n">
        <v>0</v>
      </c>
      <c r="I26" s="32" t="n">
        <v>0</v>
      </c>
      <c r="J26" s="32" t="n">
        <v>0</v>
      </c>
      <c r="K26" s="32" t="n">
        <v>40</v>
      </c>
      <c r="L26" s="32" t="n">
        <v>0</v>
      </c>
      <c r="M26" s="32" t="n">
        <v>0</v>
      </c>
      <c r="N26" s="32" t="n">
        <v>0</v>
      </c>
      <c r="O26" s="32" t="n">
        <v>0</v>
      </c>
    </row>
    <row r="27" customFormat="false" ht="15" hidden="false" customHeight="false" outlineLevel="0" collapsed="false">
      <c r="A27" s="24" t="str">
        <f aca="false">'Raw Data'!A27</f>
        <v>Rhodium</v>
      </c>
      <c r="B27" s="11" t="s">
        <v>136</v>
      </c>
      <c r="C27" s="32" t="n">
        <v>1</v>
      </c>
      <c r="D27" s="32" t="n">
        <v>0.5</v>
      </c>
      <c r="E27" s="32" t="n">
        <v>1</v>
      </c>
      <c r="F27" s="32" t="n">
        <v>0</v>
      </c>
      <c r="G27" s="32" t="n">
        <v>0</v>
      </c>
      <c r="H27" s="32" t="n">
        <v>0</v>
      </c>
      <c r="I27" s="32" t="n">
        <v>0</v>
      </c>
      <c r="J27" s="32" t="n">
        <v>0</v>
      </c>
      <c r="K27" s="32" t="n">
        <v>20</v>
      </c>
      <c r="L27" s="32" t="n">
        <v>0</v>
      </c>
      <c r="M27" s="32" t="n">
        <v>0</v>
      </c>
      <c r="N27" s="32" t="n">
        <v>0</v>
      </c>
      <c r="O27" s="32" t="n">
        <v>0</v>
      </c>
    </row>
    <row r="28" customFormat="false" ht="15" hidden="false" customHeight="false" outlineLevel="0" collapsed="false">
      <c r="A28" s="17" t="s">
        <v>140</v>
      </c>
      <c r="B28" s="18"/>
      <c r="C28" s="18"/>
      <c r="D28" s="18"/>
      <c r="E28" s="18"/>
      <c r="F28" s="18"/>
      <c r="G28" s="18"/>
      <c r="H28" s="18"/>
      <c r="I28" s="18"/>
      <c r="J28" s="18"/>
      <c r="K28" s="18"/>
      <c r="L28" s="18"/>
      <c r="M28" s="18"/>
      <c r="N28" s="18"/>
      <c r="O28" s="18"/>
    </row>
    <row r="29" customFormat="false" ht="15" hidden="false" customHeight="false" outlineLevel="0" collapsed="false">
      <c r="A29" s="24" t="str">
        <f aca="false">'Raw Data'!A29</f>
        <v>Polypropylene (PP)</v>
      </c>
      <c r="B29" s="11" t="s">
        <v>142</v>
      </c>
      <c r="C29" s="32" t="n">
        <v>6</v>
      </c>
      <c r="D29" s="32" t="n">
        <v>6</v>
      </c>
      <c r="E29" s="32" t="n">
        <v>5</v>
      </c>
      <c r="F29" s="32" t="n">
        <v>4</v>
      </c>
      <c r="G29" s="32" t="n">
        <v>5</v>
      </c>
      <c r="H29" s="32" t="n">
        <v>7</v>
      </c>
      <c r="I29" s="32" t="n">
        <v>0</v>
      </c>
      <c r="J29" s="32" t="n">
        <v>0</v>
      </c>
      <c r="K29" s="32" t="n">
        <v>0</v>
      </c>
      <c r="L29" s="32" t="n">
        <v>55</v>
      </c>
      <c r="M29" s="32" t="n">
        <v>0</v>
      </c>
      <c r="N29" s="32" t="n">
        <v>0</v>
      </c>
      <c r="O29" s="32" t="n">
        <v>0</v>
      </c>
    </row>
    <row r="30" customFormat="false" ht="15" hidden="false" customHeight="false" outlineLevel="0" collapsed="false">
      <c r="A30" s="24" t="str">
        <f aca="false">'Raw Data'!A30</f>
        <v>ABS</v>
      </c>
      <c r="B30" s="11" t="s">
        <v>142</v>
      </c>
      <c r="C30" s="32" t="n">
        <v>3</v>
      </c>
      <c r="D30" s="32" t="n">
        <v>4</v>
      </c>
      <c r="E30" s="32" t="n">
        <v>2</v>
      </c>
      <c r="F30" s="32" t="n">
        <v>2</v>
      </c>
      <c r="G30" s="32" t="n">
        <v>3</v>
      </c>
      <c r="H30" s="32" t="n">
        <v>4</v>
      </c>
      <c r="I30" s="32" t="n">
        <v>0</v>
      </c>
      <c r="J30" s="32" t="n">
        <v>0</v>
      </c>
      <c r="K30" s="32" t="n">
        <v>0</v>
      </c>
      <c r="L30" s="32" t="n">
        <v>30</v>
      </c>
      <c r="M30" s="32" t="n">
        <v>0</v>
      </c>
      <c r="N30" s="32" t="n">
        <v>0</v>
      </c>
      <c r="O30" s="32" t="n">
        <v>0</v>
      </c>
    </row>
    <row r="31" customFormat="false" ht="15" hidden="false" customHeight="false" outlineLevel="0" collapsed="false">
      <c r="A31" s="24" t="str">
        <f aca="false">'Raw Data'!A31</f>
        <v>Polycarbonate (PC)</v>
      </c>
      <c r="B31" s="11" t="s">
        <v>142</v>
      </c>
      <c r="C31" s="32" t="n">
        <v>2</v>
      </c>
      <c r="D31" s="32" t="n">
        <v>1</v>
      </c>
      <c r="E31" s="32" t="n">
        <v>1</v>
      </c>
      <c r="F31" s="32" t="n">
        <v>0</v>
      </c>
      <c r="G31" s="32" t="n">
        <v>2</v>
      </c>
      <c r="H31" s="32" t="n">
        <v>0</v>
      </c>
      <c r="I31" s="32" t="n">
        <v>0</v>
      </c>
      <c r="J31" s="32" t="n">
        <v>0</v>
      </c>
      <c r="K31" s="32" t="n">
        <v>0</v>
      </c>
      <c r="L31" s="32" t="n">
        <v>15</v>
      </c>
      <c r="M31" s="32" t="n">
        <v>0</v>
      </c>
      <c r="N31" s="32" t="n">
        <v>0</v>
      </c>
      <c r="O31" s="32" t="n">
        <v>0</v>
      </c>
    </row>
    <row r="32" customFormat="false" ht="15" hidden="false" customHeight="false" outlineLevel="0" collapsed="false">
      <c r="A32" s="17" t="s">
        <v>146</v>
      </c>
      <c r="B32" s="18"/>
      <c r="C32" s="18"/>
      <c r="D32" s="18"/>
      <c r="E32" s="18"/>
      <c r="F32" s="18"/>
      <c r="G32" s="18"/>
      <c r="H32" s="18"/>
      <c r="I32" s="18"/>
      <c r="J32" s="18"/>
      <c r="K32" s="18"/>
      <c r="L32" s="18"/>
      <c r="M32" s="18"/>
      <c r="N32" s="18"/>
      <c r="O32" s="18"/>
    </row>
    <row r="33" customFormat="false" ht="15" hidden="false" customHeight="false" outlineLevel="0" collapsed="false">
      <c r="A33" s="24" t="str">
        <f aca="false">'Raw Data'!A33</f>
        <v>Urea (Prilled), CFR</v>
      </c>
      <c r="B33" s="11" t="s">
        <v>148</v>
      </c>
      <c r="C33" s="32" t="n">
        <v>0</v>
      </c>
      <c r="D33" s="32" t="n">
        <v>0</v>
      </c>
      <c r="E33" s="32" t="n">
        <v>0</v>
      </c>
      <c r="F33" s="32" t="n">
        <v>0</v>
      </c>
      <c r="G33" s="32" t="n">
        <v>0</v>
      </c>
      <c r="H33" s="32" t="n">
        <v>0</v>
      </c>
      <c r="I33" s="32" t="n">
        <v>0</v>
      </c>
      <c r="J33" s="32" t="n">
        <v>0</v>
      </c>
      <c r="K33" s="32" t="n">
        <v>0</v>
      </c>
      <c r="L33" s="32" t="n">
        <v>0</v>
      </c>
      <c r="M33" s="32" t="n">
        <v>0</v>
      </c>
      <c r="N33" s="32" t="n">
        <v>0</v>
      </c>
      <c r="O33" s="32" t="n">
        <v>0</v>
      </c>
    </row>
    <row r="34" customFormat="false" ht="15" hidden="false" customHeight="false" outlineLevel="0" collapsed="false">
      <c r="A34" s="17" t="s">
        <v>151</v>
      </c>
      <c r="B34" s="18"/>
      <c r="C34" s="18"/>
      <c r="D34" s="18"/>
      <c r="E34" s="18"/>
      <c r="F34" s="18"/>
      <c r="G34" s="18"/>
      <c r="H34" s="18"/>
      <c r="I34" s="18"/>
      <c r="J34" s="18"/>
      <c r="K34" s="18"/>
      <c r="L34" s="18"/>
      <c r="M34" s="18"/>
      <c r="N34" s="18"/>
      <c r="O34" s="18"/>
    </row>
    <row r="35" customFormat="false" ht="15" hidden="false" customHeight="false" outlineLevel="0" collapsed="false">
      <c r="A35" s="24" t="str">
        <f aca="false">'Raw Data'!A35</f>
        <v>Natural Rubber (RSS 4)</v>
      </c>
      <c r="B35" s="11" t="s">
        <v>153</v>
      </c>
      <c r="C35" s="32" t="n">
        <v>2.5</v>
      </c>
      <c r="D35" s="32" t="n">
        <v>3</v>
      </c>
      <c r="E35" s="32" t="n">
        <v>6</v>
      </c>
      <c r="F35" s="32" t="n">
        <v>8</v>
      </c>
      <c r="G35" s="32" t="n">
        <v>2</v>
      </c>
      <c r="H35" s="32" t="n">
        <v>2</v>
      </c>
      <c r="I35" s="32" t="n">
        <v>0</v>
      </c>
      <c r="J35" s="32" t="n">
        <v>0</v>
      </c>
      <c r="K35" s="32" t="n">
        <v>0</v>
      </c>
      <c r="L35" s="32" t="n">
        <v>0</v>
      </c>
      <c r="M35" s="32" t="n">
        <v>40</v>
      </c>
      <c r="N35" s="32" t="n">
        <v>0</v>
      </c>
      <c r="O35" s="32" t="n">
        <v>0</v>
      </c>
    </row>
    <row r="36" customFormat="false" ht="15" hidden="false" customHeight="false" outlineLevel="0" collapsed="false">
      <c r="A36" s="24" t="str">
        <f aca="false">'Raw Data'!A36</f>
        <v>Synthetic Rubber - SBR 1502</v>
      </c>
      <c r="B36" s="11" t="s">
        <v>153</v>
      </c>
      <c r="C36" s="32" t="n">
        <v>1.5</v>
      </c>
      <c r="D36" s="32" t="n">
        <v>1.5</v>
      </c>
      <c r="E36" s="32" t="n">
        <v>2</v>
      </c>
      <c r="F36" s="32" t="n">
        <v>2</v>
      </c>
      <c r="G36" s="32" t="n">
        <v>1</v>
      </c>
      <c r="H36" s="32" t="n">
        <v>0</v>
      </c>
      <c r="I36" s="32" t="n">
        <v>0</v>
      </c>
      <c r="J36" s="32" t="n">
        <v>0</v>
      </c>
      <c r="K36" s="32" t="n">
        <v>0</v>
      </c>
      <c r="L36" s="32" t="n">
        <v>0</v>
      </c>
      <c r="M36" s="32" t="n">
        <v>20</v>
      </c>
      <c r="N36" s="32" t="n">
        <v>0</v>
      </c>
      <c r="O36" s="32" t="n">
        <v>0</v>
      </c>
    </row>
    <row r="37" customFormat="false" ht="15" hidden="false" customHeight="false" outlineLevel="0" collapsed="false">
      <c r="A37" s="24" t="str">
        <f aca="false">'Raw Data'!A37</f>
        <v>EPDM</v>
      </c>
      <c r="B37" s="11" t="s">
        <v>153</v>
      </c>
      <c r="C37" s="32" t="n">
        <v>1.5</v>
      </c>
      <c r="D37" s="32" t="n">
        <v>0.5</v>
      </c>
      <c r="E37" s="32" t="n">
        <v>1</v>
      </c>
      <c r="F37" s="32" t="n">
        <v>1</v>
      </c>
      <c r="G37" s="32" t="n">
        <v>1</v>
      </c>
      <c r="H37" s="32" t="n">
        <v>0</v>
      </c>
      <c r="I37" s="32" t="n">
        <v>0</v>
      </c>
      <c r="J37" s="32" t="n">
        <v>0</v>
      </c>
      <c r="K37" s="32" t="n">
        <v>0</v>
      </c>
      <c r="L37" s="32" t="n">
        <v>0</v>
      </c>
      <c r="M37" s="32" t="n">
        <v>12</v>
      </c>
      <c r="N37" s="32" t="n">
        <v>0</v>
      </c>
      <c r="O37" s="32" t="n">
        <v>0</v>
      </c>
    </row>
    <row r="38" customFormat="false" ht="15" hidden="false" customHeight="false" outlineLevel="0" collapsed="false">
      <c r="A38" s="24" t="str">
        <f aca="false">'Raw Data'!A38</f>
        <v>Carbon Black (N330)</v>
      </c>
      <c r="B38" s="11" t="s">
        <v>153</v>
      </c>
      <c r="C38" s="32" t="n">
        <v>1</v>
      </c>
      <c r="D38" s="32" t="n">
        <v>1</v>
      </c>
      <c r="E38" s="32" t="n">
        <v>2</v>
      </c>
      <c r="F38" s="32" t="n">
        <v>3</v>
      </c>
      <c r="G38" s="32" t="n">
        <v>1</v>
      </c>
      <c r="H38" s="32" t="n">
        <v>1</v>
      </c>
      <c r="I38" s="32" t="n">
        <v>0</v>
      </c>
      <c r="J38" s="32" t="n">
        <v>0</v>
      </c>
      <c r="K38" s="32" t="n">
        <v>0</v>
      </c>
      <c r="L38" s="32" t="n">
        <v>0</v>
      </c>
      <c r="M38" s="32" t="n">
        <v>18</v>
      </c>
      <c r="N38" s="32" t="n">
        <v>0</v>
      </c>
      <c r="O38" s="32" t="n">
        <v>0</v>
      </c>
    </row>
    <row r="39" customFormat="false" ht="15" hidden="false" customHeight="false" outlineLevel="0" collapsed="false">
      <c r="A39" s="24" t="str">
        <f aca="false">'Raw Data'!A39</f>
        <v>Polybutadiene Rubber (1220)</v>
      </c>
      <c r="B39" s="11" t="s">
        <v>153</v>
      </c>
      <c r="C39" s="32" t="n">
        <v>1</v>
      </c>
      <c r="D39" s="32" t="n">
        <v>1</v>
      </c>
      <c r="E39" s="32" t="n">
        <v>1</v>
      </c>
      <c r="F39" s="32" t="n">
        <v>1</v>
      </c>
      <c r="G39" s="32" t="n">
        <v>0</v>
      </c>
      <c r="H39" s="32" t="n">
        <v>0</v>
      </c>
      <c r="I39" s="32" t="n">
        <v>0</v>
      </c>
      <c r="J39" s="32" t="n">
        <v>0</v>
      </c>
      <c r="K39" s="32" t="n">
        <v>0</v>
      </c>
      <c r="L39" s="32" t="n">
        <v>0</v>
      </c>
      <c r="M39" s="32" t="n">
        <v>10</v>
      </c>
      <c r="N39" s="32" t="n">
        <v>0</v>
      </c>
      <c r="O39" s="32" t="n">
        <v>0</v>
      </c>
    </row>
    <row r="40" customFormat="false" ht="15" hidden="false" customHeight="false" outlineLevel="0" collapsed="false">
      <c r="A40" s="17" t="s">
        <v>158</v>
      </c>
      <c r="B40" s="18"/>
      <c r="C40" s="18"/>
      <c r="D40" s="18"/>
      <c r="E40" s="18"/>
      <c r="F40" s="18"/>
      <c r="G40" s="18"/>
      <c r="H40" s="18"/>
      <c r="I40" s="18"/>
      <c r="J40" s="18"/>
      <c r="K40" s="18"/>
      <c r="L40" s="18"/>
      <c r="M40" s="18"/>
      <c r="N40" s="18"/>
      <c r="O40" s="18"/>
    </row>
    <row r="41" customFormat="false" ht="15" hidden="false" customHeight="false" outlineLevel="0" collapsed="false">
      <c r="A41" s="24" t="str">
        <f aca="false">'Raw Data'!A41</f>
        <v>Lithium Carbonate (99.5% batt grade)</v>
      </c>
      <c r="B41" s="11" t="s">
        <v>160</v>
      </c>
      <c r="C41" s="32" t="n">
        <v>0</v>
      </c>
      <c r="D41" s="32" t="n">
        <v>0</v>
      </c>
      <c r="E41" s="32" t="n">
        <v>0</v>
      </c>
      <c r="F41" s="32" t="n">
        <v>0</v>
      </c>
      <c r="G41" s="32" t="n">
        <v>12</v>
      </c>
      <c r="H41" s="32" t="n">
        <v>14</v>
      </c>
      <c r="I41" s="32" t="n">
        <v>0</v>
      </c>
      <c r="J41" s="32" t="n">
        <v>0</v>
      </c>
      <c r="K41" s="32" t="n">
        <v>0</v>
      </c>
      <c r="L41" s="32" t="n">
        <v>0</v>
      </c>
      <c r="M41" s="32" t="n">
        <v>0</v>
      </c>
      <c r="N41" s="32" t="n">
        <v>40</v>
      </c>
      <c r="O41" s="32" t="n">
        <v>0</v>
      </c>
    </row>
    <row r="42" customFormat="false" ht="15" hidden="false" customHeight="false" outlineLevel="0" collapsed="false">
      <c r="A42" s="24" t="str">
        <f aca="false">'Raw Data'!A42</f>
        <v>Lithium Hydroxide (56.5% batt grade)</v>
      </c>
      <c r="B42" s="11" t="s">
        <v>160</v>
      </c>
      <c r="C42" s="32" t="n">
        <v>0</v>
      </c>
      <c r="D42" s="32" t="n">
        <v>0</v>
      </c>
      <c r="E42" s="32" t="n">
        <v>0</v>
      </c>
      <c r="F42" s="32" t="n">
        <v>0</v>
      </c>
      <c r="G42" s="32" t="n">
        <v>8</v>
      </c>
      <c r="H42" s="32" t="n">
        <v>8</v>
      </c>
      <c r="I42" s="32" t="n">
        <v>0</v>
      </c>
      <c r="J42" s="32" t="n">
        <v>0</v>
      </c>
      <c r="K42" s="32" t="n">
        <v>0</v>
      </c>
      <c r="L42" s="32" t="n">
        <v>0</v>
      </c>
      <c r="M42" s="32" t="n">
        <v>0</v>
      </c>
      <c r="N42" s="32" t="n">
        <v>25</v>
      </c>
      <c r="O42" s="32" t="n">
        <v>0</v>
      </c>
    </row>
    <row r="43" customFormat="false" ht="15" hidden="false" customHeight="false" outlineLevel="0" collapsed="false">
      <c r="A43" s="24" t="str">
        <f aca="false">'Raw Data'!A43</f>
        <v>Cobalt Oxide (Co&gt;=72%)</v>
      </c>
      <c r="B43" s="11" t="s">
        <v>160</v>
      </c>
      <c r="C43" s="32" t="n">
        <v>0</v>
      </c>
      <c r="D43" s="32" t="n">
        <v>0</v>
      </c>
      <c r="E43" s="32" t="n">
        <v>0</v>
      </c>
      <c r="F43" s="32" t="n">
        <v>0</v>
      </c>
      <c r="G43" s="32" t="n">
        <v>4</v>
      </c>
      <c r="H43" s="32" t="n">
        <v>3</v>
      </c>
      <c r="I43" s="32" t="n">
        <v>0</v>
      </c>
      <c r="J43" s="32" t="n">
        <v>0</v>
      </c>
      <c r="K43" s="32" t="n">
        <v>0</v>
      </c>
      <c r="L43" s="32" t="n">
        <v>0</v>
      </c>
      <c r="M43" s="32" t="n">
        <v>0</v>
      </c>
      <c r="N43" s="32" t="n">
        <v>15</v>
      </c>
      <c r="O43" s="32" t="n">
        <v>0</v>
      </c>
    </row>
    <row r="44" customFormat="false" ht="15" hidden="false" customHeight="false" outlineLevel="0" collapsed="false">
      <c r="A44" s="24" t="str">
        <f aca="false">'Raw Data'!A44</f>
        <v>Cobalt Metal (Co&gt;=99.8%)</v>
      </c>
      <c r="B44" s="11" t="s">
        <v>160</v>
      </c>
      <c r="C44" s="32" t="n">
        <v>0</v>
      </c>
      <c r="D44" s="32" t="n">
        <v>0</v>
      </c>
      <c r="E44" s="32" t="n">
        <v>0</v>
      </c>
      <c r="F44" s="32" t="n">
        <v>0</v>
      </c>
      <c r="G44" s="32" t="n">
        <v>2</v>
      </c>
      <c r="H44" s="32" t="n">
        <v>1</v>
      </c>
      <c r="I44" s="32" t="n">
        <v>0</v>
      </c>
      <c r="J44" s="32" t="n">
        <v>0</v>
      </c>
      <c r="K44" s="32" t="n">
        <v>0</v>
      </c>
      <c r="L44" s="32" t="n">
        <v>0</v>
      </c>
      <c r="M44" s="32" t="n">
        <v>0</v>
      </c>
      <c r="N44" s="32" t="n">
        <v>10</v>
      </c>
      <c r="O44" s="32" t="n">
        <v>0</v>
      </c>
    </row>
    <row r="45" customFormat="false" ht="15" hidden="false" customHeight="false" outlineLevel="0" collapsed="false">
      <c r="A45" s="17" t="s">
        <v>165</v>
      </c>
      <c r="B45" s="18"/>
      <c r="C45" s="18"/>
      <c r="D45" s="18"/>
      <c r="E45" s="18"/>
      <c r="F45" s="18"/>
      <c r="G45" s="18"/>
      <c r="H45" s="18"/>
      <c r="I45" s="18"/>
      <c r="J45" s="18"/>
      <c r="K45" s="18"/>
      <c r="L45" s="18"/>
      <c r="M45" s="18"/>
      <c r="N45" s="18"/>
      <c r="O45" s="18"/>
    </row>
    <row r="46" customFormat="false" ht="15" hidden="false" customHeight="false" outlineLevel="0" collapsed="false">
      <c r="A46" s="24" t="str">
        <f aca="false">'Raw Data'!A46</f>
        <v>NdFeB Magnet (GD - scrap)</v>
      </c>
      <c r="B46" s="11" t="s">
        <v>167</v>
      </c>
      <c r="C46" s="32" t="n">
        <v>0</v>
      </c>
      <c r="D46" s="32" t="n">
        <v>0</v>
      </c>
      <c r="E46" s="32" t="n">
        <v>0</v>
      </c>
      <c r="F46" s="32" t="n">
        <v>0</v>
      </c>
      <c r="G46" s="32" t="n">
        <v>6</v>
      </c>
      <c r="H46" s="32" t="n">
        <v>7</v>
      </c>
      <c r="I46" s="32" t="n">
        <v>0</v>
      </c>
      <c r="J46" s="32" t="n">
        <v>0</v>
      </c>
      <c r="K46" s="32" t="n">
        <v>0</v>
      </c>
      <c r="L46" s="32" t="n">
        <v>0</v>
      </c>
      <c r="M46" s="32" t="n">
        <v>0</v>
      </c>
      <c r="N46" s="32" t="n">
        <v>10</v>
      </c>
      <c r="O46" s="32" t="n">
        <v>0</v>
      </c>
    </row>
    <row r="47" customFormat="false" ht="15" hidden="false" customHeight="false" outlineLevel="0" collapsed="false">
      <c r="A47" s="17" t="s">
        <v>169</v>
      </c>
      <c r="B47" s="18"/>
      <c r="C47" s="18"/>
      <c r="D47" s="18"/>
      <c r="E47" s="18"/>
      <c r="F47" s="18"/>
      <c r="G47" s="18"/>
      <c r="H47" s="18"/>
      <c r="I47" s="18"/>
      <c r="J47" s="18"/>
      <c r="K47" s="18"/>
      <c r="L47" s="18"/>
      <c r="M47" s="18"/>
      <c r="N47" s="18"/>
      <c r="O47" s="18"/>
    </row>
    <row r="48" customFormat="false" ht="15" hidden="false" customHeight="false" outlineLevel="0" collapsed="false">
      <c r="A48" s="24" t="str">
        <f aca="false">'Raw Data'!A48</f>
        <v>Brent Crude (Europe spot FOB)</v>
      </c>
      <c r="B48" s="11" t="s">
        <v>171</v>
      </c>
      <c r="C48" s="32" t="n">
        <v>0</v>
      </c>
      <c r="D48" s="32" t="n">
        <v>0</v>
      </c>
      <c r="E48" s="32" t="n">
        <v>0</v>
      </c>
      <c r="F48" s="32" t="n">
        <v>0</v>
      </c>
      <c r="G48" s="32" t="n">
        <v>0</v>
      </c>
      <c r="H48" s="32" t="n">
        <v>0</v>
      </c>
      <c r="I48" s="32" t="n">
        <v>0</v>
      </c>
      <c r="J48" s="32" t="n">
        <v>0</v>
      </c>
      <c r="K48" s="32" t="n">
        <v>0</v>
      </c>
      <c r="L48" s="32" t="n">
        <v>0</v>
      </c>
      <c r="M48" s="32" t="n">
        <v>0</v>
      </c>
      <c r="N48" s="32" t="n">
        <v>0</v>
      </c>
      <c r="O48" s="32" t="n">
        <v>35</v>
      </c>
    </row>
    <row r="49" customFormat="false" ht="15" hidden="false" customHeight="false" outlineLevel="0" collapsed="false">
      <c r="A49" s="24" t="str">
        <f aca="false">'Raw Data'!A49</f>
        <v>CNG - Delhi (IGL)</v>
      </c>
      <c r="B49" s="11" t="s">
        <v>171</v>
      </c>
      <c r="C49" s="32" t="n">
        <v>0</v>
      </c>
      <c r="D49" s="32" t="n">
        <v>0</v>
      </c>
      <c r="E49" s="32" t="n">
        <v>0</v>
      </c>
      <c r="F49" s="32" t="n">
        <v>0</v>
      </c>
      <c r="G49" s="32" t="n">
        <v>0</v>
      </c>
      <c r="H49" s="32" t="n">
        <v>0</v>
      </c>
      <c r="I49" s="32" t="n">
        <v>0</v>
      </c>
      <c r="J49" s="32" t="n">
        <v>0</v>
      </c>
      <c r="K49" s="32" t="n">
        <v>0</v>
      </c>
      <c r="L49" s="32" t="n">
        <v>0</v>
      </c>
      <c r="M49" s="32" t="n">
        <v>0</v>
      </c>
      <c r="N49" s="32" t="n">
        <v>0</v>
      </c>
      <c r="O49" s="32" t="n">
        <v>10</v>
      </c>
    </row>
    <row r="50" customFormat="false" ht="15" hidden="false" customHeight="false" outlineLevel="0" collapsed="false">
      <c r="A50" s="24" t="str">
        <f aca="false">'Raw Data'!A50</f>
        <v>CNG - Mumbai (MGL)</v>
      </c>
      <c r="B50" s="11" t="s">
        <v>171</v>
      </c>
      <c r="C50" s="32" t="n">
        <v>0</v>
      </c>
      <c r="D50" s="32" t="n">
        <v>0</v>
      </c>
      <c r="E50" s="32" t="n">
        <v>0</v>
      </c>
      <c r="F50" s="32" t="n">
        <v>0</v>
      </c>
      <c r="G50" s="32" t="n">
        <v>0</v>
      </c>
      <c r="H50" s="32" t="n">
        <v>0</v>
      </c>
      <c r="I50" s="32" t="n">
        <v>0</v>
      </c>
      <c r="J50" s="32" t="n">
        <v>0</v>
      </c>
      <c r="K50" s="32" t="n">
        <v>0</v>
      </c>
      <c r="L50" s="32" t="n">
        <v>0</v>
      </c>
      <c r="M50" s="32" t="n">
        <v>0</v>
      </c>
      <c r="N50" s="32" t="n">
        <v>0</v>
      </c>
      <c r="O50" s="32" t="n">
        <v>0</v>
      </c>
    </row>
    <row r="51" customFormat="false" ht="15" hidden="false" customHeight="false" outlineLevel="0" collapsed="false">
      <c r="A51" s="24" t="str">
        <f aca="false">'Raw Data'!A51</f>
        <v>Petrol - Delhi</v>
      </c>
      <c r="B51" s="11" t="s">
        <v>171</v>
      </c>
      <c r="C51" s="32" t="n">
        <v>0</v>
      </c>
      <c r="D51" s="32" t="n">
        <v>0</v>
      </c>
      <c r="E51" s="32" t="n">
        <v>0</v>
      </c>
      <c r="F51" s="32" t="n">
        <v>0</v>
      </c>
      <c r="G51" s="32" t="n">
        <v>0</v>
      </c>
      <c r="H51" s="32" t="n">
        <v>0</v>
      </c>
      <c r="I51" s="32" t="n">
        <v>0</v>
      </c>
      <c r="J51" s="32" t="n">
        <v>0</v>
      </c>
      <c r="K51" s="32" t="n">
        <v>0</v>
      </c>
      <c r="L51" s="32" t="n">
        <v>0</v>
      </c>
      <c r="M51" s="32" t="n">
        <v>0</v>
      </c>
      <c r="N51" s="32" t="n">
        <v>0</v>
      </c>
      <c r="O51" s="32" t="n">
        <v>0</v>
      </c>
    </row>
    <row r="52" customFormat="false" ht="15" hidden="false" customHeight="false" outlineLevel="0" collapsed="false">
      <c r="A52" s="24" t="str">
        <f aca="false">'Raw Data'!A52</f>
        <v>Diesel - Delhi</v>
      </c>
      <c r="B52" s="11" t="s">
        <v>171</v>
      </c>
      <c r="C52" s="32" t="n">
        <v>0</v>
      </c>
      <c r="D52" s="32" t="n">
        <v>0</v>
      </c>
      <c r="E52" s="32" t="n">
        <v>0</v>
      </c>
      <c r="F52" s="32" t="n">
        <v>0</v>
      </c>
      <c r="G52" s="32" t="n">
        <v>0</v>
      </c>
      <c r="H52" s="32" t="n">
        <v>0</v>
      </c>
      <c r="I52" s="32" t="n">
        <v>0</v>
      </c>
      <c r="J52" s="32" t="n">
        <v>0</v>
      </c>
      <c r="K52" s="32" t="n">
        <v>0</v>
      </c>
      <c r="L52" s="32" t="n">
        <v>0</v>
      </c>
      <c r="M52" s="32" t="n">
        <v>0</v>
      </c>
      <c r="N52" s="32" t="n">
        <v>0</v>
      </c>
      <c r="O52" s="32" t="n">
        <v>20</v>
      </c>
    </row>
    <row r="53" customFormat="false" ht="15" hidden="false" customHeight="false" outlineLevel="0" collapsed="false">
      <c r="A53" s="24" t="str">
        <f aca="false">'Raw Data'!A53</f>
        <v>Petrol - Mumbai</v>
      </c>
      <c r="B53" s="11" t="s">
        <v>171</v>
      </c>
      <c r="C53" s="32" t="n">
        <v>0</v>
      </c>
      <c r="D53" s="32" t="n">
        <v>0</v>
      </c>
      <c r="E53" s="32" t="n">
        <v>0</v>
      </c>
      <c r="F53" s="32" t="n">
        <v>0</v>
      </c>
      <c r="G53" s="32" t="n">
        <v>0</v>
      </c>
      <c r="H53" s="32" t="n">
        <v>0</v>
      </c>
      <c r="I53" s="32" t="n">
        <v>0</v>
      </c>
      <c r="J53" s="32" t="n">
        <v>0</v>
      </c>
      <c r="K53" s="32" t="n">
        <v>0</v>
      </c>
      <c r="L53" s="32" t="n">
        <v>0</v>
      </c>
      <c r="M53" s="32" t="n">
        <v>0</v>
      </c>
      <c r="N53" s="32" t="n">
        <v>0</v>
      </c>
      <c r="O53" s="32" t="n">
        <v>0</v>
      </c>
    </row>
    <row r="54" customFormat="false" ht="15" hidden="false" customHeight="false" outlineLevel="0" collapsed="false">
      <c r="A54" s="24" t="str">
        <f aca="false">'Raw Data'!A54</f>
        <v>Diesel - Mumbai</v>
      </c>
      <c r="B54" s="11" t="s">
        <v>171</v>
      </c>
      <c r="C54" s="32" t="n">
        <v>0</v>
      </c>
      <c r="D54" s="32" t="n">
        <v>0</v>
      </c>
      <c r="E54" s="32" t="n">
        <v>0</v>
      </c>
      <c r="F54" s="32" t="n">
        <v>0</v>
      </c>
      <c r="G54" s="32" t="n">
        <v>0</v>
      </c>
      <c r="H54" s="32" t="n">
        <v>0</v>
      </c>
      <c r="I54" s="32" t="n">
        <v>0</v>
      </c>
      <c r="J54" s="32" t="n">
        <v>0</v>
      </c>
      <c r="K54" s="32" t="n">
        <v>0</v>
      </c>
      <c r="L54" s="32" t="n">
        <v>0</v>
      </c>
      <c r="M54" s="32" t="n">
        <v>0</v>
      </c>
      <c r="N54" s="32" t="n">
        <v>0</v>
      </c>
      <c r="O54" s="32" t="n">
        <v>0</v>
      </c>
    </row>
    <row r="55" customFormat="false" ht="15" hidden="false" customHeight="false" outlineLevel="0" collapsed="false">
      <c r="A55" s="24" t="str">
        <f aca="false">'Raw Data'!A55</f>
        <v>Ethanol - Sugarcane Juice</v>
      </c>
      <c r="B55" s="11" t="s">
        <v>171</v>
      </c>
      <c r="C55" s="32" t="n">
        <v>0</v>
      </c>
      <c r="D55" s="32" t="n">
        <v>0</v>
      </c>
      <c r="E55" s="32" t="n">
        <v>0</v>
      </c>
      <c r="F55" s="32" t="n">
        <v>0</v>
      </c>
      <c r="G55" s="32" t="n">
        <v>0</v>
      </c>
      <c r="H55" s="32" t="n">
        <v>0</v>
      </c>
      <c r="I55" s="32" t="n">
        <v>0</v>
      </c>
      <c r="J55" s="32" t="n">
        <v>0</v>
      </c>
      <c r="K55" s="32" t="n">
        <v>0</v>
      </c>
      <c r="L55" s="32" t="n">
        <v>0</v>
      </c>
      <c r="M55" s="32" t="n">
        <v>0</v>
      </c>
      <c r="N55" s="32" t="n">
        <v>0</v>
      </c>
      <c r="O55" s="32" t="n">
        <v>0</v>
      </c>
    </row>
    <row r="56" customFormat="false" ht="15" hidden="false" customHeight="false" outlineLevel="0" collapsed="false">
      <c r="A56" s="24" t="str">
        <f aca="false">'Raw Data'!A56</f>
        <v>Ethanol - B-Heavy Molasses</v>
      </c>
      <c r="B56" s="11" t="s">
        <v>171</v>
      </c>
      <c r="C56" s="32" t="n">
        <v>0</v>
      </c>
      <c r="D56" s="32" t="n">
        <v>0</v>
      </c>
      <c r="E56" s="32" t="n">
        <v>0</v>
      </c>
      <c r="F56" s="32" t="n">
        <v>0</v>
      </c>
      <c r="G56" s="32" t="n">
        <v>0</v>
      </c>
      <c r="H56" s="32" t="n">
        <v>0</v>
      </c>
      <c r="I56" s="32" t="n">
        <v>0</v>
      </c>
      <c r="J56" s="32" t="n">
        <v>0</v>
      </c>
      <c r="K56" s="32" t="n">
        <v>0</v>
      </c>
      <c r="L56" s="32" t="n">
        <v>0</v>
      </c>
      <c r="M56" s="32" t="n">
        <v>0</v>
      </c>
      <c r="N56" s="32" t="n">
        <v>0</v>
      </c>
      <c r="O56" s="32" t="n">
        <v>0</v>
      </c>
    </row>
    <row r="57" customFormat="false" ht="15" hidden="false" customHeight="false" outlineLevel="0" collapsed="false">
      <c r="A57" s="24" t="str">
        <f aca="false">'Raw Data'!A57</f>
        <v>Ethanol - C-Heavy Molasses</v>
      </c>
      <c r="B57" s="11" t="s">
        <v>171</v>
      </c>
      <c r="C57" s="32" t="n">
        <v>0</v>
      </c>
      <c r="D57" s="32" t="n">
        <v>0</v>
      </c>
      <c r="E57" s="32" t="n">
        <v>0</v>
      </c>
      <c r="F57" s="32" t="n">
        <v>0</v>
      </c>
      <c r="G57" s="32" t="n">
        <v>0</v>
      </c>
      <c r="H57" s="32" t="n">
        <v>0</v>
      </c>
      <c r="I57" s="32" t="n">
        <v>0</v>
      </c>
      <c r="J57" s="32" t="n">
        <v>0</v>
      </c>
      <c r="K57" s="32" t="n">
        <v>0</v>
      </c>
      <c r="L57" s="32" t="n">
        <v>0</v>
      </c>
      <c r="M57" s="32" t="n">
        <v>0</v>
      </c>
      <c r="N57" s="32" t="n">
        <v>0</v>
      </c>
      <c r="O57" s="32" t="n">
        <v>0</v>
      </c>
    </row>
    <row r="58" customFormat="false" ht="15" hidden="false" customHeight="false" outlineLevel="0" collapsed="false">
      <c r="A58" s="17" t="s">
        <v>183</v>
      </c>
      <c r="B58" s="18"/>
      <c r="C58" s="18"/>
      <c r="D58" s="18"/>
      <c r="E58" s="18"/>
      <c r="F58" s="18"/>
      <c r="G58" s="18"/>
      <c r="H58" s="18"/>
      <c r="I58" s="18"/>
      <c r="J58" s="18"/>
      <c r="K58" s="18"/>
      <c r="L58" s="18"/>
      <c r="M58" s="18"/>
      <c r="N58" s="18"/>
      <c r="O58" s="18"/>
    </row>
    <row r="59" customFormat="false" ht="15" hidden="false" customHeight="false" outlineLevel="0" collapsed="false">
      <c r="A59" s="24" t="str">
        <f aca="false">'Raw Data'!A59</f>
        <v>Baltic Dry Index (Dry Bulk)</v>
      </c>
      <c r="B59" s="11" t="s">
        <v>185</v>
      </c>
      <c r="C59" s="32" t="n">
        <v>0</v>
      </c>
      <c r="D59" s="32" t="n">
        <v>0</v>
      </c>
      <c r="E59" s="32" t="n">
        <v>0</v>
      </c>
      <c r="F59" s="32" t="n">
        <v>0</v>
      </c>
      <c r="G59" s="32" t="n">
        <v>0</v>
      </c>
      <c r="H59" s="32" t="n">
        <v>0</v>
      </c>
      <c r="I59" s="32" t="n">
        <v>0</v>
      </c>
      <c r="J59" s="32" t="n">
        <v>0</v>
      </c>
      <c r="K59" s="32" t="n">
        <v>0</v>
      </c>
      <c r="L59" s="32" t="n">
        <v>0</v>
      </c>
      <c r="M59" s="32" t="n">
        <v>0</v>
      </c>
      <c r="N59" s="32" t="n">
        <v>0</v>
      </c>
      <c r="O59" s="32" t="n">
        <v>20</v>
      </c>
    </row>
    <row r="60" customFormat="false" ht="15" hidden="false" customHeight="false" outlineLevel="0" collapsed="false">
      <c r="A60" s="17" t="s">
        <v>189</v>
      </c>
      <c r="B60" s="18"/>
      <c r="C60" s="18"/>
      <c r="D60" s="18"/>
      <c r="E60" s="18"/>
      <c r="F60" s="18"/>
      <c r="G60" s="18"/>
      <c r="H60" s="18"/>
      <c r="I60" s="18"/>
      <c r="J60" s="18"/>
      <c r="K60" s="18"/>
      <c r="L60" s="18"/>
      <c r="M60" s="18"/>
      <c r="N60" s="18"/>
      <c r="O60" s="18"/>
    </row>
    <row r="61" customFormat="false" ht="15" hidden="false" customHeight="false" outlineLevel="0" collapsed="false">
      <c r="A61" s="24" t="str">
        <f aca="false">'Raw Data'!A61</f>
        <v>USD / INR (selling)</v>
      </c>
      <c r="B61" s="11" t="s">
        <v>191</v>
      </c>
      <c r="C61" s="32" t="n">
        <v>0</v>
      </c>
      <c r="D61" s="32" t="n">
        <v>0</v>
      </c>
      <c r="E61" s="32" t="n">
        <v>0</v>
      </c>
      <c r="F61" s="32" t="n">
        <v>0</v>
      </c>
      <c r="G61" s="32" t="n">
        <v>0</v>
      </c>
      <c r="H61" s="32" t="n">
        <v>0</v>
      </c>
      <c r="I61" s="32" t="n">
        <v>0</v>
      </c>
      <c r="J61" s="32" t="n">
        <v>0</v>
      </c>
      <c r="K61" s="32" t="n">
        <v>0</v>
      </c>
      <c r="L61" s="32" t="n">
        <v>0</v>
      </c>
      <c r="M61" s="32" t="n">
        <v>0</v>
      </c>
      <c r="N61" s="32" t="n">
        <v>0</v>
      </c>
      <c r="O61" s="32" t="n">
        <v>0</v>
      </c>
    </row>
    <row r="62" customFormat="false" ht="15" hidden="false" customHeight="false" outlineLevel="0" collapsed="false">
      <c r="A62" s="24" t="str">
        <f aca="false">'Raw Data'!A62</f>
        <v>GBP / INR (selling)</v>
      </c>
      <c r="B62" s="11" t="s">
        <v>191</v>
      </c>
      <c r="C62" s="32" t="n">
        <v>0</v>
      </c>
      <c r="D62" s="32" t="n">
        <v>0</v>
      </c>
      <c r="E62" s="32" t="n">
        <v>0</v>
      </c>
      <c r="F62" s="32" t="n">
        <v>0</v>
      </c>
      <c r="G62" s="32" t="n">
        <v>0</v>
      </c>
      <c r="H62" s="32" t="n">
        <v>0</v>
      </c>
      <c r="I62" s="32" t="n">
        <v>0</v>
      </c>
      <c r="J62" s="32" t="n">
        <v>0</v>
      </c>
      <c r="K62" s="32" t="n">
        <v>0</v>
      </c>
      <c r="L62" s="32" t="n">
        <v>0</v>
      </c>
      <c r="M62" s="32" t="n">
        <v>0</v>
      </c>
      <c r="N62" s="32" t="n">
        <v>0</v>
      </c>
      <c r="O62" s="32" t="n">
        <v>0</v>
      </c>
    </row>
    <row r="63" customFormat="false" ht="15" hidden="false" customHeight="false" outlineLevel="0" collapsed="false">
      <c r="A63" s="24" t="str">
        <f aca="false">'Raw Data'!A63</f>
        <v>EUR / INR (selling)</v>
      </c>
      <c r="B63" s="11" t="s">
        <v>191</v>
      </c>
      <c r="C63" s="32" t="n">
        <v>0</v>
      </c>
      <c r="D63" s="32" t="n">
        <v>0</v>
      </c>
      <c r="E63" s="32" t="n">
        <v>0</v>
      </c>
      <c r="F63" s="32" t="n">
        <v>0</v>
      </c>
      <c r="G63" s="32" t="n">
        <v>0</v>
      </c>
      <c r="H63" s="32" t="n">
        <v>0</v>
      </c>
      <c r="I63" s="32" t="n">
        <v>0</v>
      </c>
      <c r="J63" s="32" t="n">
        <v>0</v>
      </c>
      <c r="K63" s="32" t="n">
        <v>0</v>
      </c>
      <c r="L63" s="32" t="n">
        <v>0</v>
      </c>
      <c r="M63" s="32" t="n">
        <v>0</v>
      </c>
      <c r="N63" s="32" t="n">
        <v>0</v>
      </c>
      <c r="O63" s="32" t="n">
        <v>0</v>
      </c>
    </row>
    <row r="64" customFormat="false" ht="15" hidden="false" customHeight="false" outlineLevel="0" collapsed="false">
      <c r="A64" s="24" t="str">
        <f aca="false">'Raw Data'!A64</f>
        <v>JPY 100 / INR (selling)</v>
      </c>
      <c r="B64" s="11" t="s">
        <v>191</v>
      </c>
      <c r="C64" s="32" t="n">
        <v>0</v>
      </c>
      <c r="D64" s="32" t="n">
        <v>0</v>
      </c>
      <c r="E64" s="32" t="n">
        <v>0</v>
      </c>
      <c r="F64" s="32" t="n">
        <v>0</v>
      </c>
      <c r="G64" s="32" t="n">
        <v>0</v>
      </c>
      <c r="H64" s="32" t="n">
        <v>0</v>
      </c>
      <c r="I64" s="32" t="n">
        <v>0</v>
      </c>
      <c r="J64" s="32" t="n">
        <v>0</v>
      </c>
      <c r="K64" s="32" t="n">
        <v>0</v>
      </c>
      <c r="L64" s="32" t="n">
        <v>0</v>
      </c>
      <c r="M64" s="32" t="n">
        <v>0</v>
      </c>
      <c r="N64" s="32" t="n">
        <v>0</v>
      </c>
      <c r="O64" s="32" t="n">
        <v>0</v>
      </c>
    </row>
    <row r="65" customFormat="false" ht="15" hidden="false" customHeight="false" outlineLevel="0" collapsed="false">
      <c r="A65" s="24" t="str">
        <f aca="false">'Raw Data'!A65</f>
        <v>CNY / INR</v>
      </c>
      <c r="B65" s="11" t="s">
        <v>191</v>
      </c>
      <c r="C65" s="32" t="n">
        <v>0</v>
      </c>
      <c r="D65" s="32" t="n">
        <v>0</v>
      </c>
      <c r="E65" s="32" t="n">
        <v>0</v>
      </c>
      <c r="F65" s="32" t="n">
        <v>0</v>
      </c>
      <c r="G65" s="32" t="n">
        <v>0</v>
      </c>
      <c r="H65" s="32" t="n">
        <v>0</v>
      </c>
      <c r="I65" s="32" t="n">
        <v>0</v>
      </c>
      <c r="J65" s="32" t="n">
        <v>0</v>
      </c>
      <c r="K65" s="32" t="n">
        <v>0</v>
      </c>
      <c r="L65" s="32" t="n">
        <v>0</v>
      </c>
      <c r="M65" s="32" t="n">
        <v>0</v>
      </c>
      <c r="N65" s="32" t="n">
        <v>0</v>
      </c>
      <c r="O65" s="32" t="n">
        <v>0</v>
      </c>
    </row>
    <row r="66" customFormat="false" ht="15" hidden="false" customHeight="false" outlineLevel="0" collapsed="false">
      <c r="A66" s="17" t="s">
        <v>196</v>
      </c>
      <c r="B66" s="18"/>
      <c r="C66" s="18"/>
      <c r="D66" s="18"/>
      <c r="E66" s="18"/>
      <c r="F66" s="18"/>
      <c r="G66" s="18"/>
      <c r="H66" s="18"/>
      <c r="I66" s="18"/>
      <c r="J66" s="18"/>
      <c r="K66" s="18"/>
      <c r="L66" s="18"/>
      <c r="M66" s="18"/>
      <c r="N66" s="18"/>
      <c r="O66" s="18"/>
    </row>
    <row r="67" customFormat="false" ht="15" hidden="false" customHeight="false" outlineLevel="0" collapsed="false">
      <c r="A67" s="24" t="str">
        <f aca="false">'Raw Data'!A67</f>
        <v>Cash Reserve Ratio (%)</v>
      </c>
      <c r="B67" s="11" t="s">
        <v>198</v>
      </c>
    </row>
    <row r="68" customFormat="false" ht="15" hidden="false" customHeight="false" outlineLevel="0" collapsed="false">
      <c r="A68" s="24" t="str">
        <f aca="false">'Raw Data'!A68</f>
        <v>Bank Rate (% p.a.)</v>
      </c>
      <c r="B68" s="11" t="s">
        <v>198</v>
      </c>
    </row>
    <row r="69" customFormat="false" ht="15" hidden="false" customHeight="false" outlineLevel="0" collapsed="false">
      <c r="A69" s="24" t="str">
        <f aca="false">'Raw Data'!A69</f>
        <v>Base Rate - low (% p.a.)</v>
      </c>
      <c r="B69" s="11" t="s">
        <v>198</v>
      </c>
    </row>
    <row r="70" customFormat="false" ht="15" hidden="false" customHeight="false" outlineLevel="0" collapsed="false">
      <c r="A70" s="24" t="str">
        <f aca="false">'Raw Data'!A70</f>
        <v>Base Rate - high (% p.a.)</v>
      </c>
      <c r="B70" s="11" t="s">
        <v>198</v>
      </c>
    </row>
    <row r="72" customFormat="false" ht="15" hidden="false" customHeight="false" outlineLevel="0" collapsed="false">
      <c r="A72" s="5" t="s">
        <v>236</v>
      </c>
      <c r="C72" s="33" t="n">
        <f aca="false">SUM(C7:C59)</f>
        <v>100</v>
      </c>
      <c r="D72" s="33" t="n">
        <f aca="false">SUM(D7:D59)</f>
        <v>100</v>
      </c>
      <c r="E72" s="33" t="n">
        <f aca="false">SUM(E7:E59)</f>
        <v>100</v>
      </c>
      <c r="F72" s="33" t="n">
        <f aca="false">SUM(F7:F59)</f>
        <v>100</v>
      </c>
      <c r="G72" s="33" t="n">
        <f aca="false">SUM(G7:G59)</f>
        <v>100</v>
      </c>
      <c r="H72" s="33" t="n">
        <f aca="false">SUM(H7:H59)</f>
        <v>100</v>
      </c>
      <c r="I72" s="33" t="n">
        <f aca="false">SUM(I7:I59)</f>
        <v>100</v>
      </c>
      <c r="J72" s="33" t="n">
        <f aca="false">SUM(J7:J59)</f>
        <v>100</v>
      </c>
      <c r="K72" s="33" t="n">
        <f aca="false">SUM(K7:K59)</f>
        <v>100</v>
      </c>
      <c r="L72" s="33" t="n">
        <f aca="false">SUM(L7:L59)</f>
        <v>100</v>
      </c>
      <c r="M72" s="33" t="n">
        <f aca="false">SUM(M7:M59)</f>
        <v>100</v>
      </c>
      <c r="N72" s="33" t="n">
        <f aca="false">SUM(N7:N59)</f>
        <v>100</v>
      </c>
      <c r="O72" s="33" t="n">
        <f aca="false">SUM(O7:O59)</f>
        <v>100</v>
      </c>
    </row>
    <row r="74" customFormat="false" ht="15" hidden="false" customHeight="false" outlineLevel="0" collapsed="false">
      <c r="A74" s="9" t="s">
        <v>237</v>
      </c>
    </row>
    <row r="75" customFormat="false" ht="15" hidden="false" customHeight="false" outlineLevel="0" collapsed="false">
      <c r="A75" s="9" t="s">
        <v>238</v>
      </c>
    </row>
    <row r="76" customFormat="false" ht="15" hidden="false" customHeight="false" outlineLevel="0" collapsed="false">
      <c r="A76" s="9" t="s">
        <v>239</v>
      </c>
    </row>
  </sheetData>
  <mergeCells count="3">
    <mergeCell ref="A1:T1"/>
    <mergeCell ref="C4:H4"/>
    <mergeCell ref="I4:O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5" topLeftCell="F6" activePane="bottomRight" state="frozen"/>
      <selection pane="topLeft" activeCell="A1" activeCellId="0" sqref="A1"/>
      <selection pane="topRight" activeCell="F1" activeCellId="0" sqref="F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6"/>
    <col collapsed="false" customWidth="true" hidden="false" outlineLevel="0" max="19" min="6" style="0" width="10.51"/>
    <col collapsed="false" customWidth="true" hidden="false" outlineLevel="0" max="21" min="20" style="0" width="9"/>
    <col collapsed="false" customWidth="true" hidden="false" outlineLevel="0" max="22" min="22" style="0" width="40"/>
  </cols>
  <sheetData>
    <row r="1" customFormat="false" ht="24" hidden="false" customHeight="true" outlineLevel="0" collapsed="false">
      <c r="A1" s="1" t="s">
        <v>240</v>
      </c>
      <c r="B1" s="1"/>
      <c r="C1" s="1"/>
      <c r="D1" s="1"/>
      <c r="E1" s="1"/>
      <c r="F1" s="1"/>
      <c r="G1" s="1"/>
      <c r="H1" s="1"/>
      <c r="I1" s="1"/>
      <c r="J1" s="1"/>
      <c r="K1" s="1"/>
      <c r="L1" s="1"/>
      <c r="M1" s="1"/>
      <c r="N1" s="1"/>
      <c r="O1" s="1"/>
      <c r="P1" s="1"/>
      <c r="Q1" s="1"/>
      <c r="R1" s="1"/>
      <c r="S1" s="1"/>
      <c r="T1" s="1"/>
      <c r="U1" s="1"/>
    </row>
    <row r="2" customFormat="false" ht="15" hidden="false" customHeight="false" outlineLevel="0" collapsed="false">
      <c r="A2" s="2" t="s">
        <v>241</v>
      </c>
    </row>
    <row r="5" customFormat="false" ht="25.5" hidden="false" customHeight="true" outlineLevel="0" collapsed="false">
      <c r="A5" s="15" t="s">
        <v>242</v>
      </c>
      <c r="B5" s="15" t="s">
        <v>243</v>
      </c>
      <c r="C5" s="16"/>
      <c r="D5" s="16"/>
      <c r="E5" s="16"/>
      <c r="F5" s="16" t="s">
        <v>53</v>
      </c>
      <c r="G5" s="16" t="s">
        <v>94</v>
      </c>
      <c r="H5" s="16" t="s">
        <v>95</v>
      </c>
      <c r="I5" s="16" t="s">
        <v>96</v>
      </c>
      <c r="J5" s="16" t="s">
        <v>97</v>
      </c>
      <c r="K5" s="16" t="s">
        <v>98</v>
      </c>
      <c r="L5" s="16" t="s">
        <v>99</v>
      </c>
      <c r="M5" s="16" t="s">
        <v>100</v>
      </c>
      <c r="N5" s="16" t="s">
        <v>101</v>
      </c>
      <c r="O5" s="16" t="s">
        <v>102</v>
      </c>
      <c r="P5" s="16" t="s">
        <v>103</v>
      </c>
      <c r="Q5" s="16" t="s">
        <v>104</v>
      </c>
      <c r="R5" s="16" t="s">
        <v>105</v>
      </c>
      <c r="S5" s="16" t="s">
        <v>59</v>
      </c>
      <c r="T5" s="16" t="s">
        <v>106</v>
      </c>
      <c r="U5" s="16" t="s">
        <v>107</v>
      </c>
      <c r="V5" s="15" t="s">
        <v>244</v>
      </c>
    </row>
    <row r="6" customFormat="false" ht="15" hidden="false" customHeight="false" outlineLevel="0" collapsed="false">
      <c r="A6" s="17" t="s">
        <v>228</v>
      </c>
      <c r="B6" s="18"/>
      <c r="C6" s="18"/>
      <c r="D6" s="18"/>
      <c r="E6" s="18"/>
      <c r="F6" s="18"/>
      <c r="G6" s="18"/>
      <c r="H6" s="18"/>
      <c r="I6" s="18"/>
      <c r="J6" s="18"/>
      <c r="K6" s="18"/>
      <c r="L6" s="18"/>
      <c r="M6" s="18"/>
      <c r="N6" s="18"/>
      <c r="O6" s="18"/>
      <c r="P6" s="18"/>
      <c r="Q6" s="18"/>
      <c r="R6" s="18"/>
      <c r="S6" s="18"/>
      <c r="T6" s="18"/>
      <c r="U6" s="18"/>
      <c r="V6" s="18"/>
    </row>
    <row r="7" customFormat="false" ht="15" hidden="false" customHeight="false" outlineLevel="0" collapsed="false">
      <c r="A7" s="34" t="s">
        <v>68</v>
      </c>
      <c r="B7" s="11" t="s">
        <v>245</v>
      </c>
      <c r="F7" s="27" t="n">
        <f aca="false">SUMPRODUCT('Basket Weights'!$C$7:$C$59,'Commodity Indices'!F$7:F$59)/SUM('Basket Weights'!$C$7:$C$59)</f>
        <v>100</v>
      </c>
      <c r="G7" s="27" t="n">
        <f aca="false">SUMPRODUCT('Basket Weights'!$C$7:$C$59,'Commodity Indices'!G$7:G$59)/SUM('Basket Weights'!$C$7:$C$59)</f>
        <v>100.551360949287</v>
      </c>
      <c r="H7" s="27" t="n">
        <f aca="false">SUMPRODUCT('Basket Weights'!$C$7:$C$59,'Commodity Indices'!H$7:H$59)/SUM('Basket Weights'!$C$7:$C$59)</f>
        <v>101.019451500065</v>
      </c>
      <c r="I7" s="27" t="n">
        <f aca="false">SUMPRODUCT('Basket Weights'!$C$7:$C$59,'Commodity Indices'!I$7:I$59)/SUM('Basket Weights'!$C$7:$C$59)</f>
        <v>102.098710029204</v>
      </c>
      <c r="J7" s="27" t="n">
        <f aca="false">SUMPRODUCT('Basket Weights'!$C$7:$C$59,'Commodity Indices'!J$7:J$59)/SUM('Basket Weights'!$C$7:$C$59)</f>
        <v>100.95892735609</v>
      </c>
      <c r="K7" s="27" t="n">
        <f aca="false">SUMPRODUCT('Basket Weights'!$C$7:$C$59,'Commodity Indices'!K$7:K$59)/SUM('Basket Weights'!$C$7:$C$59)</f>
        <v>102.731752682089</v>
      </c>
      <c r="L7" s="27" t="n">
        <f aca="false">SUMPRODUCT('Basket Weights'!$C$7:$C$59,'Commodity Indices'!L$7:L$59)/SUM('Basket Weights'!$C$7:$C$59)</f>
        <v>110.654797509813</v>
      </c>
      <c r="M7" s="27" t="n">
        <f aca="false">SUMPRODUCT('Basket Weights'!$C$7:$C$59,'Commodity Indices'!M$7:M$59)/SUM('Basket Weights'!$C$7:$C$59)</f>
        <v>111.529762555243</v>
      </c>
      <c r="N7" s="27" t="n">
        <f aca="false">SUMPRODUCT('Basket Weights'!$C$7:$C$59,'Commodity Indices'!N$7:N$59)/SUM('Basket Weights'!$C$7:$C$59)</f>
        <v>119.486720616965</v>
      </c>
      <c r="O7" s="27" t="n">
        <f aca="false">SUMPRODUCT('Basket Weights'!$C$7:$C$59,'Commodity Indices'!O$7:O$59)/SUM('Basket Weights'!$C$7:$C$59)</f>
        <v>127.711373203337</v>
      </c>
      <c r="P7" s="27" t="n">
        <f aca="false">SUMPRODUCT('Basket Weights'!$C$7:$C$59,'Commodity Indices'!P$7:P$59)/SUM('Basket Weights'!$C$7:$C$59)</f>
        <v>129.063224661261</v>
      </c>
      <c r="Q7" s="27" t="n">
        <f aca="false">SUMPRODUCT('Basket Weights'!$C$7:$C$59,'Commodity Indices'!Q$7:Q$59)/SUM('Basket Weights'!$C$7:$C$59)</f>
        <v>126.887982221519</v>
      </c>
      <c r="R7" s="27" t="n">
        <f aca="false">SUMPRODUCT('Basket Weights'!$C$7:$C$59,'Commodity Indices'!R$7:R$59)/SUM('Basket Weights'!$C$7:$C$59)</f>
        <v>124.27920722108</v>
      </c>
      <c r="S7" s="27" t="n">
        <f aca="false">SUMPRODUCT('Basket Weights'!$C$7:$C$59,'Commodity Indices'!S$7:S$59)/SUM('Basket Weights'!$C$7:$C$59)</f>
        <v>126.559060789787</v>
      </c>
      <c r="T7" s="20" t="n">
        <f aca="false">IFERROR(S7/R7-1,"")</f>
        <v>0.0183446098481428</v>
      </c>
      <c r="U7" s="20" t="n">
        <f aca="false">IFERROR(S7/F7-1,"")</f>
        <v>0.265590607897874</v>
      </c>
    </row>
    <row r="8" customFormat="false" ht="15" hidden="false" customHeight="false" outlineLevel="0" collapsed="false">
      <c r="A8" s="34" t="s">
        <v>69</v>
      </c>
      <c r="B8" s="11" t="s">
        <v>245</v>
      </c>
      <c r="F8" s="27" t="n">
        <f aca="false">SUMPRODUCT('Basket Weights'!$D$7:$D$59,'Commodity Indices'!F$7:F$59)/SUM('Basket Weights'!$D$7:$D$59)</f>
        <v>100</v>
      </c>
      <c r="G8" s="27" t="n">
        <f aca="false">SUMPRODUCT('Basket Weights'!$D$7:$D$59,'Commodity Indices'!G$7:G$59)/SUM('Basket Weights'!$D$7:$D$59)</f>
        <v>100.435896168124</v>
      </c>
      <c r="H8" s="27" t="n">
        <f aca="false">SUMPRODUCT('Basket Weights'!$D$7:$D$59,'Commodity Indices'!H$7:H$59)/SUM('Basket Weights'!$D$7:$D$59)</f>
        <v>101.017428427576</v>
      </c>
      <c r="I8" s="27" t="n">
        <f aca="false">SUMPRODUCT('Basket Weights'!$D$7:$D$59,'Commodity Indices'!I$7:I$59)/SUM('Basket Weights'!$D$7:$D$59)</f>
        <v>102.230205109437</v>
      </c>
      <c r="J8" s="27" t="n">
        <f aca="false">SUMPRODUCT('Basket Weights'!$D$7:$D$59,'Commodity Indices'!J$7:J$59)/SUM('Basket Weights'!$D$7:$D$59)</f>
        <v>101.220227881049</v>
      </c>
      <c r="K8" s="27" t="n">
        <f aca="false">SUMPRODUCT('Basket Weights'!$D$7:$D$59,'Commodity Indices'!K$7:K$59)/SUM('Basket Weights'!$D$7:$D$59)</f>
        <v>102.796938261115</v>
      </c>
      <c r="L8" s="27" t="n">
        <f aca="false">SUMPRODUCT('Basket Weights'!$D$7:$D$59,'Commodity Indices'!L$7:L$59)/SUM('Basket Weights'!$D$7:$D$59)</f>
        <v>110.445685909385</v>
      </c>
      <c r="M8" s="27" t="n">
        <f aca="false">SUMPRODUCT('Basket Weights'!$D$7:$D$59,'Commodity Indices'!M$7:M$59)/SUM('Basket Weights'!$D$7:$D$59)</f>
        <v>111.172882743799</v>
      </c>
      <c r="N8" s="27" t="n">
        <f aca="false">SUMPRODUCT('Basket Weights'!$D$7:$D$59,'Commodity Indices'!N$7:N$59)/SUM('Basket Weights'!$D$7:$D$59)</f>
        <v>119.72258139271</v>
      </c>
      <c r="O8" s="27" t="n">
        <f aca="false">SUMPRODUCT('Basket Weights'!$D$7:$D$59,'Commodity Indices'!O$7:O$59)/SUM('Basket Weights'!$D$7:$D$59)</f>
        <v>128.376986093684</v>
      </c>
      <c r="P8" s="27" t="n">
        <f aca="false">SUMPRODUCT('Basket Weights'!$D$7:$D$59,'Commodity Indices'!P$7:P$59)/SUM('Basket Weights'!$D$7:$D$59)</f>
        <v>130.10167239549</v>
      </c>
      <c r="Q8" s="27" t="n">
        <f aca="false">SUMPRODUCT('Basket Weights'!$D$7:$D$59,'Commodity Indices'!Q$7:Q$59)/SUM('Basket Weights'!$D$7:$D$59)</f>
        <v>127.513302613819</v>
      </c>
      <c r="R8" s="27" t="n">
        <f aca="false">SUMPRODUCT('Basket Weights'!$D$7:$D$59,'Commodity Indices'!R$7:R$59)/SUM('Basket Weights'!$D$7:$D$59)</f>
        <v>124.190180370693</v>
      </c>
      <c r="S8" s="27" t="n">
        <f aca="false">SUMPRODUCT('Basket Weights'!$D$7:$D$59,'Commodity Indices'!S$7:S$59)/SUM('Basket Weights'!$D$7:$D$59)</f>
        <v>126.308908560544</v>
      </c>
      <c r="T8" s="20" t="n">
        <f aca="false">IFERROR(S8/R8-1,"")</f>
        <v>0.0170603519821497</v>
      </c>
      <c r="U8" s="20" t="n">
        <f aca="false">IFERROR(S8/F8-1,"")</f>
        <v>0.263089085605438</v>
      </c>
    </row>
    <row r="9" customFormat="false" ht="15" hidden="false" customHeight="false" outlineLevel="0" collapsed="false">
      <c r="A9" s="34" t="s">
        <v>70</v>
      </c>
      <c r="B9" s="11" t="s">
        <v>245</v>
      </c>
      <c r="F9" s="27" t="n">
        <f aca="false">SUMPRODUCT('Basket Weights'!$E$7:$E$59,'Commodity Indices'!F$7:F$59)/SUM('Basket Weights'!$E$7:$E$59)</f>
        <v>100</v>
      </c>
      <c r="G9" s="27" t="n">
        <f aca="false">SUMPRODUCT('Basket Weights'!$E$7:$E$59,'Commodity Indices'!G$7:G$59)/SUM('Basket Weights'!$E$7:$E$59)</f>
        <v>100.19416586047</v>
      </c>
      <c r="H9" s="27" t="n">
        <f aca="false">SUMPRODUCT('Basket Weights'!$E$7:$E$59,'Commodity Indices'!H$7:H$59)/SUM('Basket Weights'!$E$7:$E$59)</f>
        <v>100.266805568293</v>
      </c>
      <c r="I9" s="27" t="n">
        <f aca="false">SUMPRODUCT('Basket Weights'!$E$7:$E$59,'Commodity Indices'!I$7:I$59)/SUM('Basket Weights'!$E$7:$E$59)</f>
        <v>100.955007580725</v>
      </c>
      <c r="J9" s="27" t="n">
        <f aca="false">SUMPRODUCT('Basket Weights'!$E$7:$E$59,'Commodity Indices'!J$7:J$59)/SUM('Basket Weights'!$E$7:$E$59)</f>
        <v>99.6274728470527</v>
      </c>
      <c r="K9" s="27" t="n">
        <f aca="false">SUMPRODUCT('Basket Weights'!$E$7:$E$59,'Commodity Indices'!K$7:K$59)/SUM('Basket Weights'!$E$7:$E$59)</f>
        <v>101.123328425063</v>
      </c>
      <c r="L9" s="27" t="n">
        <f aca="false">SUMPRODUCT('Basket Weights'!$E$7:$E$59,'Commodity Indices'!L$7:L$59)/SUM('Basket Weights'!$E$7:$E$59)</f>
        <v>108.536546445272</v>
      </c>
      <c r="M9" s="27" t="n">
        <f aca="false">SUMPRODUCT('Basket Weights'!$E$7:$E$59,'Commodity Indices'!M$7:M$59)/SUM('Basket Weights'!$E$7:$E$59)</f>
        <v>110.125406326355</v>
      </c>
      <c r="N9" s="27" t="n">
        <f aca="false">SUMPRODUCT('Basket Weights'!$E$7:$E$59,'Commodity Indices'!N$7:N$59)/SUM('Basket Weights'!$E$7:$E$59)</f>
        <v>116.659866117086</v>
      </c>
      <c r="O9" s="27" t="n">
        <f aca="false">SUMPRODUCT('Basket Weights'!$E$7:$E$59,'Commodity Indices'!O$7:O$59)/SUM('Basket Weights'!$E$7:$E$59)</f>
        <v>125.021372084788</v>
      </c>
      <c r="P9" s="27" t="n">
        <f aca="false">SUMPRODUCT('Basket Weights'!$E$7:$E$59,'Commodity Indices'!P$7:P$59)/SUM('Basket Weights'!$E$7:$E$59)</f>
        <v>126.536102112857</v>
      </c>
      <c r="Q9" s="27" t="n">
        <f aca="false">SUMPRODUCT('Basket Weights'!$E$7:$E$59,'Commodity Indices'!Q$7:Q$59)/SUM('Basket Weights'!$E$7:$E$59)</f>
        <v>125.0942520203</v>
      </c>
      <c r="R9" s="27" t="n">
        <f aca="false">SUMPRODUCT('Basket Weights'!$E$7:$E$59,'Commodity Indices'!R$7:R$59)/SUM('Basket Weights'!$E$7:$E$59)</f>
        <v>123.110632758004</v>
      </c>
      <c r="S9" s="27" t="n">
        <f aca="false">SUMPRODUCT('Basket Weights'!$E$7:$E$59,'Commodity Indices'!S$7:S$59)/SUM('Basket Weights'!$E$7:$E$59)</f>
        <v>125.267115735474</v>
      </c>
      <c r="T9" s="20" t="n">
        <f aca="false">IFERROR(S9/R9-1,"")</f>
        <v>0.0175166265428028</v>
      </c>
      <c r="U9" s="20" t="n">
        <f aca="false">IFERROR(S9/F9-1,"")</f>
        <v>0.252671157354745</v>
      </c>
    </row>
    <row r="10" customFormat="false" ht="15" hidden="false" customHeight="false" outlineLevel="0" collapsed="false">
      <c r="A10" s="34" t="s">
        <v>71</v>
      </c>
      <c r="B10" s="11" t="s">
        <v>245</v>
      </c>
      <c r="F10" s="27" t="n">
        <f aca="false">SUMPRODUCT('Basket Weights'!$F$7:$F$59,'Commodity Indices'!F$7:F$59)/SUM('Basket Weights'!$F$7:$F$59)</f>
        <v>100</v>
      </c>
      <c r="G10" s="27" t="n">
        <f aca="false">SUMPRODUCT('Basket Weights'!$F$7:$F$59,'Commodity Indices'!G$7:G$59)/SUM('Basket Weights'!$F$7:$F$59)</f>
        <v>99.7731231261939</v>
      </c>
      <c r="H10" s="27" t="n">
        <f aca="false">SUMPRODUCT('Basket Weights'!$F$7:$F$59,'Commodity Indices'!H$7:H$59)/SUM('Basket Weights'!$F$7:$F$59)</f>
        <v>99.5215136705555</v>
      </c>
      <c r="I10" s="27" t="n">
        <f aca="false">SUMPRODUCT('Basket Weights'!$F$7:$F$59,'Commodity Indices'!I$7:I$59)/SUM('Basket Weights'!$F$7:$F$59)</f>
        <v>99.3116190888004</v>
      </c>
      <c r="J10" s="27" t="n">
        <f aca="false">SUMPRODUCT('Basket Weights'!$F$7:$F$59,'Commodity Indices'!J$7:J$59)/SUM('Basket Weights'!$F$7:$F$59)</f>
        <v>97.7822224537592</v>
      </c>
      <c r="K10" s="27" t="n">
        <f aca="false">SUMPRODUCT('Basket Weights'!$F$7:$F$59,'Commodity Indices'!K$7:K$59)/SUM('Basket Weights'!$F$7:$F$59)</f>
        <v>98.5109332021425</v>
      </c>
      <c r="L10" s="27" t="n">
        <f aca="false">SUMPRODUCT('Basket Weights'!$F$7:$F$59,'Commodity Indices'!L$7:L$59)/SUM('Basket Weights'!$F$7:$F$59)</f>
        <v>104.465508800253</v>
      </c>
      <c r="M10" s="27" t="n">
        <f aca="false">SUMPRODUCT('Basket Weights'!$F$7:$F$59,'Commodity Indices'!M$7:M$59)/SUM('Basket Weights'!$F$7:$F$59)</f>
        <v>106.905502095071</v>
      </c>
      <c r="N10" s="27" t="n">
        <f aca="false">SUMPRODUCT('Basket Weights'!$F$7:$F$59,'Commodity Indices'!N$7:N$59)/SUM('Basket Weights'!$F$7:$F$59)</f>
        <v>112.549873241742</v>
      </c>
      <c r="O10" s="27" t="n">
        <f aca="false">SUMPRODUCT('Basket Weights'!$F$7:$F$59,'Commodity Indices'!O$7:O$59)/SUM('Basket Weights'!$F$7:$F$59)</f>
        <v>121.356780262041</v>
      </c>
      <c r="P10" s="27" t="n">
        <f aca="false">SUMPRODUCT('Basket Weights'!$F$7:$F$59,'Commodity Indices'!P$7:P$59)/SUM('Basket Weights'!$F$7:$F$59)</f>
        <v>123.029650961553</v>
      </c>
      <c r="Q10" s="27" t="n">
        <f aca="false">SUMPRODUCT('Basket Weights'!$F$7:$F$59,'Commodity Indices'!Q$7:Q$59)/SUM('Basket Weights'!$F$7:$F$59)</f>
        <v>122.992636734703</v>
      </c>
      <c r="R10" s="27" t="n">
        <f aca="false">SUMPRODUCT('Basket Weights'!$F$7:$F$59,'Commodity Indices'!R$7:R$59)/SUM('Basket Weights'!$F$7:$F$59)</f>
        <v>121.732707094916</v>
      </c>
      <c r="S10" s="27" t="n">
        <f aca="false">SUMPRODUCT('Basket Weights'!$F$7:$F$59,'Commodity Indices'!S$7:S$59)/SUM('Basket Weights'!$F$7:$F$59)</f>
        <v>123.652888952801</v>
      </c>
      <c r="T10" s="20" t="n">
        <f aca="false">IFERROR(S10/R10-1,"")</f>
        <v>0.0157737546770191</v>
      </c>
      <c r="U10" s="20" t="n">
        <f aca="false">IFERROR(S10/F10-1,"")</f>
        <v>0.236528889528006</v>
      </c>
    </row>
    <row r="11" customFormat="false" ht="15" hidden="false" customHeight="false" outlineLevel="0" collapsed="false">
      <c r="A11" s="34" t="s">
        <v>72</v>
      </c>
      <c r="B11" s="11" t="s">
        <v>245</v>
      </c>
      <c r="F11" s="27" t="n">
        <f aca="false">SUMPRODUCT('Basket Weights'!$G$7:$G$59,'Commodity Indices'!F$7:F$59)/SUM('Basket Weights'!$G$7:$G$59)</f>
        <v>100</v>
      </c>
      <c r="G11" s="27" t="n">
        <f aca="false">SUMPRODUCT('Basket Weights'!$G$7:$G$59,'Commodity Indices'!G$7:G$59)/SUM('Basket Weights'!$G$7:$G$59)</f>
        <v>102.971578324949</v>
      </c>
      <c r="H11" s="27" t="n">
        <f aca="false">SUMPRODUCT('Basket Weights'!$G$7:$G$59,'Commodity Indices'!H$7:H$59)/SUM('Basket Weights'!$G$7:$G$59)</f>
        <v>105.043191537924</v>
      </c>
      <c r="I11" s="27" t="n">
        <f aca="false">SUMPRODUCT('Basket Weights'!$G$7:$G$59,'Commodity Indices'!I$7:I$59)/SUM('Basket Weights'!$G$7:$G$59)</f>
        <v>109.225158954763</v>
      </c>
      <c r="J11" s="27" t="n">
        <f aca="false">SUMPRODUCT('Basket Weights'!$G$7:$G$59,'Commodity Indices'!J$7:J$59)/SUM('Basket Weights'!$G$7:$G$59)</f>
        <v>111.372885303579</v>
      </c>
      <c r="K11" s="27" t="n">
        <f aca="false">SUMPRODUCT('Basket Weights'!$G$7:$G$59,'Commodity Indices'!K$7:K$59)/SUM('Basket Weights'!$G$7:$G$59)</f>
        <v>116.976930456641</v>
      </c>
      <c r="L11" s="27" t="n">
        <f aca="false">SUMPRODUCT('Basket Weights'!$G$7:$G$59,'Commodity Indices'!L$7:L$59)/SUM('Basket Weights'!$G$7:$G$59)</f>
        <v>138.908179373182</v>
      </c>
      <c r="M11" s="27" t="n">
        <f aca="false">SUMPRODUCT('Basket Weights'!$G$7:$G$59,'Commodity Indices'!M$7:M$59)/SUM('Basket Weights'!$G$7:$G$59)</f>
        <v>141.249821607433</v>
      </c>
      <c r="N11" s="27" t="n">
        <f aca="false">SUMPRODUCT('Basket Weights'!$G$7:$G$59,'Commodity Indices'!N$7:N$59)/SUM('Basket Weights'!$G$7:$G$59)</f>
        <v>152.270698066155</v>
      </c>
      <c r="O11" s="27" t="n">
        <f aca="false">SUMPRODUCT('Basket Weights'!$G$7:$G$59,'Commodity Indices'!O$7:O$59)/SUM('Basket Weights'!$G$7:$G$59)</f>
        <v>159.551327712117</v>
      </c>
      <c r="P11" s="27" t="n">
        <f aca="false">SUMPRODUCT('Basket Weights'!$G$7:$G$59,'Commodity Indices'!P$7:P$59)/SUM('Basket Weights'!$G$7:$G$59)</f>
        <v>167.933851325035</v>
      </c>
      <c r="Q11" s="27" t="n">
        <f aca="false">SUMPRODUCT('Basket Weights'!$G$7:$G$59,'Commodity Indices'!Q$7:Q$59)/SUM('Basket Weights'!$G$7:$G$59)</f>
        <v>162.588153214197</v>
      </c>
      <c r="R11" s="27" t="n">
        <f aca="false">SUMPRODUCT('Basket Weights'!$G$7:$G$59,'Commodity Indices'!R$7:R$59)/SUM('Basket Weights'!$G$7:$G$59)</f>
        <v>156.812398610886</v>
      </c>
      <c r="S11" s="27" t="n">
        <f aca="false">SUMPRODUCT('Basket Weights'!$G$7:$G$59,'Commodity Indices'!S$7:S$59)/SUM('Basket Weights'!$G$7:$G$59)</f>
        <v>157.053267158236</v>
      </c>
      <c r="T11" s="20" t="n">
        <f aca="false">IFERROR(S11/R11-1,"")</f>
        <v>0.00153602999178371</v>
      </c>
      <c r="U11" s="20" t="n">
        <f aca="false">IFERROR(S11/F11-1,"")</f>
        <v>0.570532671582357</v>
      </c>
    </row>
    <row r="12" customFormat="false" ht="15" hidden="false" customHeight="false" outlineLevel="0" collapsed="false">
      <c r="A12" s="34" t="s">
        <v>73</v>
      </c>
      <c r="B12" s="11" t="s">
        <v>245</v>
      </c>
      <c r="F12" s="27" t="n">
        <f aca="false">SUMPRODUCT('Basket Weights'!$H$7:$H$59,'Commodity Indices'!F$7:F$59)/SUM('Basket Weights'!$H$7:$H$59)</f>
        <v>100</v>
      </c>
      <c r="G12" s="27" t="n">
        <f aca="false">SUMPRODUCT('Basket Weights'!$H$7:$H$59,'Commodity Indices'!G$7:G$59)/SUM('Basket Weights'!$H$7:$H$59)</f>
        <v>103.151956729254</v>
      </c>
      <c r="H12" s="27" t="n">
        <f aca="false">SUMPRODUCT('Basket Weights'!$H$7:$H$59,'Commodity Indices'!H$7:H$59)/SUM('Basket Weights'!$H$7:$H$59)</f>
        <v>104.917682910225</v>
      </c>
      <c r="I12" s="27" t="n">
        <f aca="false">SUMPRODUCT('Basket Weights'!$H$7:$H$59,'Commodity Indices'!I$7:I$59)/SUM('Basket Weights'!$H$7:$H$59)</f>
        <v>108.133630976994</v>
      </c>
      <c r="J12" s="27" t="n">
        <f aca="false">SUMPRODUCT('Basket Weights'!$H$7:$H$59,'Commodity Indices'!J$7:J$59)/SUM('Basket Weights'!$H$7:$H$59)</f>
        <v>110.224080663271</v>
      </c>
      <c r="K12" s="27" t="n">
        <f aca="false">SUMPRODUCT('Basket Weights'!$H$7:$H$59,'Commodity Indices'!K$7:K$59)/SUM('Basket Weights'!$H$7:$H$59)</f>
        <v>115.937379552977</v>
      </c>
      <c r="L12" s="27" t="n">
        <f aca="false">SUMPRODUCT('Basket Weights'!$H$7:$H$59,'Commodity Indices'!L$7:L$59)/SUM('Basket Weights'!$H$7:$H$59)</f>
        <v>139.036972524703</v>
      </c>
      <c r="M12" s="27" t="n">
        <f aca="false">SUMPRODUCT('Basket Weights'!$H$7:$H$59,'Commodity Indices'!M$7:M$59)/SUM('Basket Weights'!$H$7:$H$59)</f>
        <v>141.879553504549</v>
      </c>
      <c r="N12" s="27" t="n">
        <f aca="false">SUMPRODUCT('Basket Weights'!$H$7:$H$59,'Commodity Indices'!N$7:N$59)/SUM('Basket Weights'!$H$7:$H$59)</f>
        <v>154.266116681054</v>
      </c>
      <c r="O12" s="27" t="n">
        <f aca="false">SUMPRODUCT('Basket Weights'!$H$7:$H$59,'Commodity Indices'!O$7:O$59)/SUM('Basket Weights'!$H$7:$H$59)</f>
        <v>161.044921265903</v>
      </c>
      <c r="P12" s="27" t="n">
        <f aca="false">SUMPRODUCT('Basket Weights'!$H$7:$H$59,'Commodity Indices'!P$7:P$59)/SUM('Basket Weights'!$H$7:$H$59)</f>
        <v>169.242281699556</v>
      </c>
      <c r="Q12" s="27" t="n">
        <f aca="false">SUMPRODUCT('Basket Weights'!$H$7:$H$59,'Commodity Indices'!Q$7:Q$59)/SUM('Basket Weights'!$H$7:$H$59)</f>
        <v>164.031688982727</v>
      </c>
      <c r="R12" s="27" t="n">
        <f aca="false">SUMPRODUCT('Basket Weights'!$H$7:$H$59,'Commodity Indices'!R$7:R$59)/SUM('Basket Weights'!$H$7:$H$59)</f>
        <v>157.881796437047</v>
      </c>
      <c r="S12" s="27" t="n">
        <f aca="false">SUMPRODUCT('Basket Weights'!$H$7:$H$59,'Commodity Indices'!S$7:S$59)/SUM('Basket Weights'!$H$7:$H$59)</f>
        <v>158.163643050973</v>
      </c>
      <c r="T12" s="20" t="n">
        <f aca="false">IFERROR(S12/R12-1,"")</f>
        <v>0.00178517486048024</v>
      </c>
      <c r="U12" s="20" t="n">
        <f aca="false">IFERROR(S12/F12-1,"")</f>
        <v>0.581636430509734</v>
      </c>
    </row>
    <row r="13" customFormat="false" ht="15" hidden="false" customHeight="false" outlineLevel="0" collapsed="false">
      <c r="A13" s="17" t="s">
        <v>229</v>
      </c>
      <c r="B13" s="18"/>
      <c r="C13" s="18"/>
      <c r="D13" s="18"/>
      <c r="E13" s="18"/>
      <c r="F13" s="18"/>
      <c r="G13" s="18"/>
      <c r="H13" s="18"/>
      <c r="I13" s="18"/>
      <c r="J13" s="18"/>
      <c r="K13" s="18"/>
      <c r="L13" s="18"/>
      <c r="M13" s="18"/>
      <c r="N13" s="18"/>
      <c r="O13" s="18"/>
      <c r="P13" s="18"/>
      <c r="Q13" s="18"/>
      <c r="R13" s="18"/>
      <c r="S13" s="18"/>
      <c r="T13" s="18"/>
      <c r="U13" s="18"/>
      <c r="V13" s="18"/>
    </row>
    <row r="14" customFormat="false" ht="15" hidden="false" customHeight="false" outlineLevel="0" collapsed="false">
      <c r="A14" s="34" t="s">
        <v>230</v>
      </c>
      <c r="B14" s="11" t="s">
        <v>246</v>
      </c>
      <c r="F14" s="27" t="n">
        <f aca="false">SUMPRODUCT('Basket Weights'!$I$7:$I$59,'Commodity Indices'!F$7:F$59)/SUM('Basket Weights'!$I$7:$I$59)</f>
        <v>100</v>
      </c>
      <c r="G14" s="27" t="n">
        <f aca="false">SUMPRODUCT('Basket Weights'!$I$7:$I$59,'Commodity Indices'!G$7:G$59)/SUM('Basket Weights'!$I$7:$I$59)</f>
        <v>101.13645837533</v>
      </c>
      <c r="H14" s="27" t="n">
        <f aca="false">SUMPRODUCT('Basket Weights'!$I$7:$I$59,'Commodity Indices'!H$7:H$59)/SUM('Basket Weights'!$I$7:$I$59)</f>
        <v>100.995782486952</v>
      </c>
      <c r="I14" s="27" t="n">
        <f aca="false">SUMPRODUCT('Basket Weights'!$I$7:$I$59,'Commodity Indices'!I$7:I$59)/SUM('Basket Weights'!$I$7:$I$59)</f>
        <v>99.9117040506844</v>
      </c>
      <c r="J14" s="27" t="n">
        <f aca="false">SUMPRODUCT('Basket Weights'!$I$7:$I$59,'Commodity Indices'!J$7:J$59)/SUM('Basket Weights'!$I$7:$I$59)</f>
        <v>97.9737318291154</v>
      </c>
      <c r="K14" s="27" t="n">
        <f aca="false">SUMPRODUCT('Basket Weights'!$I$7:$I$59,'Commodity Indices'!K$7:K$59)/SUM('Basket Weights'!$I$7:$I$59)</f>
        <v>98.6650051984871</v>
      </c>
      <c r="L14" s="27" t="n">
        <f aca="false">SUMPRODUCT('Basket Weights'!$I$7:$I$59,'Commodity Indices'!L$7:L$59)/SUM('Basket Weights'!$I$7:$I$59)</f>
        <v>104.765988449387</v>
      </c>
      <c r="M14" s="27" t="n">
        <f aca="false">SUMPRODUCT('Basket Weights'!$I$7:$I$59,'Commodity Indices'!M$7:M$59)/SUM('Basket Weights'!$I$7:$I$59)</f>
        <v>107.387163418897</v>
      </c>
      <c r="N14" s="27" t="n">
        <f aca="false">SUMPRODUCT('Basket Weights'!$I$7:$I$59,'Commodity Indices'!N$7:N$59)/SUM('Basket Weights'!$I$7:$I$59)</f>
        <v>111.442595986911</v>
      </c>
      <c r="O14" s="27" t="n">
        <f aca="false">SUMPRODUCT('Basket Weights'!$I$7:$I$59,'Commodity Indices'!O$7:O$59)/SUM('Basket Weights'!$I$7:$I$59)</f>
        <v>117.258404614409</v>
      </c>
      <c r="P14" s="27" t="n">
        <f aca="false">SUMPRODUCT('Basket Weights'!$I$7:$I$59,'Commodity Indices'!P$7:P$59)/SUM('Basket Weights'!$I$7:$I$59)</f>
        <v>117.14542993654</v>
      </c>
      <c r="Q14" s="27" t="n">
        <f aca="false">SUMPRODUCT('Basket Weights'!$I$7:$I$59,'Commodity Indices'!Q$7:Q$59)/SUM('Basket Weights'!$I$7:$I$59)</f>
        <v>116.465639823223</v>
      </c>
      <c r="R14" s="27" t="n">
        <f aca="false">SUMPRODUCT('Basket Weights'!$I$7:$I$59,'Commodity Indices'!R$7:R$59)/SUM('Basket Weights'!$I$7:$I$59)</f>
        <v>114.924174538947</v>
      </c>
      <c r="S14" s="27" t="n">
        <f aca="false">SUMPRODUCT('Basket Weights'!$I$7:$I$59,'Commodity Indices'!S$7:S$59)/SUM('Basket Weights'!$I$7:$I$59)</f>
        <v>116.261769322143</v>
      </c>
      <c r="T14" s="20" t="n">
        <f aca="false">IFERROR(S14/R14-1,"")</f>
        <v>0.0116389331362361</v>
      </c>
      <c r="U14" s="20" t="n">
        <f aca="false">IFERROR(S14/F14-1,"")</f>
        <v>0.162617693221427</v>
      </c>
    </row>
    <row r="15" customFormat="false" ht="15" hidden="false" customHeight="false" outlineLevel="0" collapsed="false">
      <c r="A15" s="34" t="s">
        <v>231</v>
      </c>
      <c r="B15" s="11" t="s">
        <v>246</v>
      </c>
      <c r="F15" s="27" t="n">
        <f aca="false">SUMPRODUCT('Basket Weights'!$J$7:$J$59,'Commodity Indices'!F$7:F$59)/SUM('Basket Weights'!$J$7:$J$59)</f>
        <v>100</v>
      </c>
      <c r="G15" s="27" t="n">
        <f aca="false">SUMPRODUCT('Basket Weights'!$J$7:$J$59,'Commodity Indices'!G$7:G$59)/SUM('Basket Weights'!$J$7:$J$59)</f>
        <v>100.981072557246</v>
      </c>
      <c r="H15" s="27" t="n">
        <f aca="false">SUMPRODUCT('Basket Weights'!$J$7:$J$59,'Commodity Indices'!H$7:H$59)/SUM('Basket Weights'!$J$7:$J$59)</f>
        <v>104.477256141339</v>
      </c>
      <c r="I15" s="27" t="n">
        <f aca="false">SUMPRODUCT('Basket Weights'!$J$7:$J$59,'Commodity Indices'!I$7:I$59)/SUM('Basket Weights'!$J$7:$J$59)</f>
        <v>110.10462551681</v>
      </c>
      <c r="J15" s="27" t="n">
        <f aca="false">SUMPRODUCT('Basket Weights'!$J$7:$J$59,'Commodity Indices'!J$7:J$59)/SUM('Basket Weights'!$J$7:$J$59)</f>
        <v>111.723852541098</v>
      </c>
      <c r="K15" s="27" t="n">
        <f aca="false">SUMPRODUCT('Basket Weights'!$J$7:$J$59,'Commodity Indices'!K$7:K$59)/SUM('Basket Weights'!$J$7:$J$59)</f>
        <v>116.91664630986</v>
      </c>
      <c r="L15" s="27" t="n">
        <f aca="false">SUMPRODUCT('Basket Weights'!$J$7:$J$59,'Commodity Indices'!L$7:L$59)/SUM('Basket Weights'!$J$7:$J$59)</f>
        <v>129.166019999663</v>
      </c>
      <c r="M15" s="27" t="n">
        <f aca="false">SUMPRODUCT('Basket Weights'!$J$7:$J$59,'Commodity Indices'!M$7:M$59)/SUM('Basket Weights'!$J$7:$J$59)</f>
        <v>126.706780605966</v>
      </c>
      <c r="N15" s="27" t="n">
        <f aca="false">SUMPRODUCT('Basket Weights'!$J$7:$J$59,'Commodity Indices'!N$7:N$59)/SUM('Basket Weights'!$J$7:$J$59)</f>
        <v>134.471932499853</v>
      </c>
      <c r="O15" s="27" t="n">
        <f aca="false">SUMPRODUCT('Basket Weights'!$J$7:$J$59,'Commodity Indices'!O$7:O$59)/SUM('Basket Weights'!$J$7:$J$59)</f>
        <v>143.23689912036</v>
      </c>
      <c r="P15" s="27" t="n">
        <f aca="false">SUMPRODUCT('Basket Weights'!$J$7:$J$59,'Commodity Indices'!P$7:P$59)/SUM('Basket Weights'!$J$7:$J$59)</f>
        <v>150.727271572796</v>
      </c>
      <c r="Q15" s="27" t="n">
        <f aca="false">SUMPRODUCT('Basket Weights'!$J$7:$J$59,'Commodity Indices'!Q$7:Q$59)/SUM('Basket Weights'!$J$7:$J$59)</f>
        <v>144.462117285097</v>
      </c>
      <c r="R15" s="27" t="n">
        <f aca="false">SUMPRODUCT('Basket Weights'!$J$7:$J$59,'Commodity Indices'!R$7:R$59)/SUM('Basket Weights'!$J$7:$J$59)</f>
        <v>137.850360685195</v>
      </c>
      <c r="S15" s="27" t="n">
        <f aca="false">SUMPRODUCT('Basket Weights'!$J$7:$J$59,'Commodity Indices'!S$7:S$59)/SUM('Basket Weights'!$J$7:$J$59)</f>
        <v>142.981000249416</v>
      </c>
      <c r="T15" s="20" t="n">
        <f aca="false">IFERROR(S15/R15-1,"")</f>
        <v>0.0372189056214245</v>
      </c>
      <c r="U15" s="20" t="n">
        <f aca="false">IFERROR(S15/F15-1,"")</f>
        <v>0.429810002494164</v>
      </c>
    </row>
    <row r="16" customFormat="false" ht="15" hidden="false" customHeight="false" outlineLevel="0" collapsed="false">
      <c r="A16" s="34" t="s">
        <v>232</v>
      </c>
      <c r="B16" s="11" t="s">
        <v>246</v>
      </c>
      <c r="F16" s="27" t="n">
        <f aca="false">SUMPRODUCT('Basket Weights'!$K$7:$K$59,'Commodity Indices'!F$7:F$59)/SUM('Basket Weights'!$K$7:$K$59)</f>
        <v>100</v>
      </c>
      <c r="G16" s="27" t="n">
        <f aca="false">SUMPRODUCT('Basket Weights'!$K$7:$K$59,'Commodity Indices'!G$7:G$59)/SUM('Basket Weights'!$K$7:$K$59)</f>
        <v>102.3670095177</v>
      </c>
      <c r="H16" s="27" t="n">
        <f aca="false">SUMPRODUCT('Basket Weights'!$K$7:$K$59,'Commodity Indices'!H$7:H$59)/SUM('Basket Weights'!$K$7:$K$59)</f>
        <v>107.279080912941</v>
      </c>
      <c r="I16" s="27" t="n">
        <f aca="false">SUMPRODUCT('Basket Weights'!$K$7:$K$59,'Commodity Indices'!I$7:I$59)/SUM('Basket Weights'!$K$7:$K$59)</f>
        <v>122.372536250087</v>
      </c>
      <c r="J16" s="27" t="n">
        <f aca="false">SUMPRODUCT('Basket Weights'!$K$7:$K$59,'Commodity Indices'!J$7:J$59)/SUM('Basket Weights'!$K$7:$K$59)</f>
        <v>123.27524888915</v>
      </c>
      <c r="K16" s="27" t="n">
        <f aca="false">SUMPRODUCT('Basket Weights'!$K$7:$K$59,'Commodity Indices'!K$7:K$59)/SUM('Basket Weights'!$K$7:$K$59)</f>
        <v>139.49939234677</v>
      </c>
      <c r="L16" s="27" t="n">
        <f aca="false">SUMPRODUCT('Basket Weights'!$K$7:$K$59,'Commodity Indices'!L$7:L$59)/SUM('Basket Weights'!$K$7:$K$59)</f>
        <v>174.457389699371</v>
      </c>
      <c r="M16" s="27" t="n">
        <f aca="false">SUMPRODUCT('Basket Weights'!$K$7:$K$59,'Commodity Indices'!M$7:M$59)/SUM('Basket Weights'!$K$7:$K$59)</f>
        <v>164.786271996793</v>
      </c>
      <c r="N16" s="27" t="n">
        <f aca="false">SUMPRODUCT('Basket Weights'!$K$7:$K$59,'Commodity Indices'!N$7:N$59)/SUM('Basket Weights'!$K$7:$K$59)</f>
        <v>161.050501492311</v>
      </c>
      <c r="O16" s="27" t="n">
        <f aca="false">SUMPRODUCT('Basket Weights'!$K$7:$K$59,'Commodity Indices'!O$7:O$59)/SUM('Basket Weights'!$K$7:$K$59)</f>
        <v>155.48274606457</v>
      </c>
      <c r="P16" s="27" t="n">
        <f aca="false">SUMPRODUCT('Basket Weights'!$K$7:$K$59,'Commodity Indices'!P$7:P$59)/SUM('Basket Weights'!$K$7:$K$59)</f>
        <v>153.573085930192</v>
      </c>
      <c r="Q16" s="27" t="n">
        <f aca="false">SUMPRODUCT('Basket Weights'!$K$7:$K$59,'Commodity Indices'!Q$7:Q$59)/SUM('Basket Weights'!$K$7:$K$59)</f>
        <v>132.52680789942</v>
      </c>
      <c r="R16" s="27" t="n">
        <f aca="false">SUMPRODUCT('Basket Weights'!$K$7:$K$59,'Commodity Indices'!R$7:R$59)/SUM('Basket Weights'!$K$7:$K$59)</f>
        <v>129.746339259132</v>
      </c>
      <c r="S16" s="27" t="n">
        <f aca="false">SUMPRODUCT('Basket Weights'!$K$7:$K$59,'Commodity Indices'!S$7:S$59)/SUM('Basket Weights'!$K$7:$K$59)</f>
        <v>138.87077889248</v>
      </c>
      <c r="T16" s="20" t="n">
        <f aca="false">IFERROR(S16/R16-1,"")</f>
        <v>0.0703252183102014</v>
      </c>
      <c r="U16" s="20" t="n">
        <f aca="false">IFERROR(S16/F16-1,"")</f>
        <v>0.3887077889248</v>
      </c>
    </row>
    <row r="17" customFormat="false" ht="15" hidden="false" customHeight="false" outlineLevel="0" collapsed="false">
      <c r="A17" s="34" t="s">
        <v>142</v>
      </c>
      <c r="B17" s="11" t="s">
        <v>246</v>
      </c>
      <c r="F17" s="27" t="n">
        <f aca="false">SUMPRODUCT('Basket Weights'!$L$7:$L$59,'Commodity Indices'!F$7:F$59)/SUM('Basket Weights'!$L$7:$L$59)</f>
        <v>100</v>
      </c>
      <c r="G17" s="27" t="n">
        <f aca="false">SUMPRODUCT('Basket Weights'!$L$7:$L$59,'Commodity Indices'!G$7:G$59)/SUM('Basket Weights'!$L$7:$L$59)</f>
        <v>100.431787695765</v>
      </c>
      <c r="H17" s="27" t="n">
        <f aca="false">SUMPRODUCT('Basket Weights'!$L$7:$L$59,'Commodity Indices'!H$7:H$59)/SUM('Basket Weights'!$L$7:$L$59)</f>
        <v>99.3257724692176</v>
      </c>
      <c r="I17" s="27" t="n">
        <f aca="false">SUMPRODUCT('Basket Weights'!$L$7:$L$59,'Commodity Indices'!I$7:I$59)/SUM('Basket Weights'!$L$7:$L$59)</f>
        <v>98.1837223043677</v>
      </c>
      <c r="J17" s="27" t="n">
        <f aca="false">SUMPRODUCT('Basket Weights'!$L$7:$L$59,'Commodity Indices'!J$7:J$59)/SUM('Basket Weights'!$L$7:$L$59)</f>
        <v>94.4614372403164</v>
      </c>
      <c r="K17" s="27" t="n">
        <f aca="false">SUMPRODUCT('Basket Weights'!$L$7:$L$59,'Commodity Indices'!K$7:K$59)/SUM('Basket Weights'!$L$7:$L$59)</f>
        <v>91.7904616650501</v>
      </c>
      <c r="L17" s="27" t="n">
        <f aca="false">SUMPRODUCT('Basket Weights'!$L$7:$L$59,'Commodity Indices'!L$7:L$59)/SUM('Basket Weights'!$L$7:$L$59)</f>
        <v>93.4199651983608</v>
      </c>
      <c r="M17" s="27" t="n">
        <f aca="false">SUMPRODUCT('Basket Weights'!$L$7:$L$59,'Commodity Indices'!M$7:M$59)/SUM('Basket Weights'!$L$7:$L$59)</f>
        <v>94.1968488335235</v>
      </c>
      <c r="N17" s="27" t="n">
        <f aca="false">SUMPRODUCT('Basket Weights'!$L$7:$L$59,'Commodity Indices'!N$7:N$59)/SUM('Basket Weights'!$L$7:$L$59)</f>
        <v>125.516361857328</v>
      </c>
      <c r="O17" s="27" t="n">
        <f aca="false">SUMPRODUCT('Basket Weights'!$L$7:$L$59,'Commodity Indices'!O$7:O$59)/SUM('Basket Weights'!$L$7:$L$59)</f>
        <v>134.200135286983</v>
      </c>
      <c r="P17" s="27" t="n">
        <f aca="false">SUMPRODUCT('Basket Weights'!$L$7:$L$59,'Commodity Indices'!P$7:P$59)/SUM('Basket Weights'!$L$7:$L$59)</f>
        <v>128.393217970059</v>
      </c>
      <c r="Q17" s="27" t="n">
        <f aca="false">SUMPRODUCT('Basket Weights'!$L$7:$L$59,'Commodity Indices'!Q$7:Q$59)/SUM('Basket Weights'!$L$7:$L$59)</f>
        <v>130.193421854329</v>
      </c>
      <c r="R17" s="27" t="n">
        <f aca="false">SUMPRODUCT('Basket Weights'!$L$7:$L$59,'Commodity Indices'!R$7:R$59)/SUM('Basket Weights'!$L$7:$L$59)</f>
        <v>128.024947612477</v>
      </c>
      <c r="S17" s="27" t="n">
        <f aca="false">SUMPRODUCT('Basket Weights'!$L$7:$L$59,'Commodity Indices'!S$7:S$59)/SUM('Basket Weights'!$L$7:$L$59)</f>
        <v>126.59388007433</v>
      </c>
      <c r="T17" s="20" t="n">
        <f aca="false">IFERROR(S17/R17-1,"")</f>
        <v>-0.0111780365064378</v>
      </c>
      <c r="U17" s="20" t="n">
        <f aca="false">IFERROR(S17/F17-1,"")</f>
        <v>0.265938800743295</v>
      </c>
    </row>
    <row r="18" customFormat="false" ht="15" hidden="false" customHeight="false" outlineLevel="0" collapsed="false">
      <c r="A18" s="34" t="s">
        <v>233</v>
      </c>
      <c r="B18" s="11" t="s">
        <v>246</v>
      </c>
      <c r="F18" s="27" t="n">
        <f aca="false">SUMPRODUCT('Basket Weights'!$M$7:$M$59,'Commodity Indices'!F$7:F$59)/SUM('Basket Weights'!$M$7:$M$59)</f>
        <v>100</v>
      </c>
      <c r="G18" s="27" t="n">
        <f aca="false">SUMPRODUCT('Basket Weights'!$M$7:$M$59,'Commodity Indices'!G$7:G$59)/SUM('Basket Weights'!$M$7:$M$59)</f>
        <v>95.4359946447065</v>
      </c>
      <c r="H18" s="27" t="n">
        <f aca="false">SUMPRODUCT('Basket Weights'!$M$7:$M$59,'Commodity Indices'!H$7:H$59)/SUM('Basket Weights'!$M$7:$M$59)</f>
        <v>94.0246619773864</v>
      </c>
      <c r="I18" s="27" t="n">
        <f aca="false">SUMPRODUCT('Basket Weights'!$M$7:$M$59,'Commodity Indices'!I$7:I$59)/SUM('Basket Weights'!$M$7:$M$59)</f>
        <v>92.9449949660771</v>
      </c>
      <c r="J18" s="27" t="n">
        <f aca="false">SUMPRODUCT('Basket Weights'!$M$7:$M$59,'Commodity Indices'!J$7:J$59)/SUM('Basket Weights'!$M$7:$M$59)</f>
        <v>91.7758306706338</v>
      </c>
      <c r="K18" s="27" t="n">
        <f aca="false">SUMPRODUCT('Basket Weights'!$M$7:$M$59,'Commodity Indices'!K$7:K$59)/SUM('Basket Weights'!$M$7:$M$59)</f>
        <v>89.6647848045864</v>
      </c>
      <c r="L18" s="27" t="n">
        <f aca="false">SUMPRODUCT('Basket Weights'!$M$7:$M$59,'Commodity Indices'!L$7:L$59)/SUM('Basket Weights'!$M$7:$M$59)</f>
        <v>88.9940592346502</v>
      </c>
      <c r="M18" s="27" t="n">
        <f aca="false">SUMPRODUCT('Basket Weights'!$M$7:$M$59,'Commodity Indices'!M$7:M$59)/SUM('Basket Weights'!$M$7:$M$59)</f>
        <v>91.9985752861461</v>
      </c>
      <c r="N18" s="27" t="n">
        <f aca="false">SUMPRODUCT('Basket Weights'!$M$7:$M$59,'Commodity Indices'!N$7:N$59)/SUM('Basket Weights'!$M$7:$M$59)</f>
        <v>97.6347270815528</v>
      </c>
      <c r="O18" s="27" t="n">
        <f aca="false">SUMPRODUCT('Basket Weights'!$M$7:$M$59,'Commodity Indices'!O$7:O$59)/SUM('Basket Weights'!$M$7:$M$59)</f>
        <v>124.688403162051</v>
      </c>
      <c r="P18" s="27" t="n">
        <f aca="false">SUMPRODUCT('Basket Weights'!$M$7:$M$59,'Commodity Indices'!P$7:P$59)/SUM('Basket Weights'!$M$7:$M$59)</f>
        <v>135.331296548001</v>
      </c>
      <c r="Q18" s="27" t="n">
        <f aca="false">SUMPRODUCT('Basket Weights'!$M$7:$M$59,'Commodity Indices'!Q$7:Q$59)/SUM('Basket Weights'!$M$7:$M$59)</f>
        <v>134.209073147329</v>
      </c>
      <c r="R18" s="27" t="n">
        <f aca="false">SUMPRODUCT('Basket Weights'!$M$7:$M$59,'Commodity Indices'!R$7:R$59)/SUM('Basket Weights'!$M$7:$M$59)</f>
        <v>136.537816341529</v>
      </c>
      <c r="S18" s="27" t="n">
        <f aca="false">SUMPRODUCT('Basket Weights'!$M$7:$M$59,'Commodity Indices'!S$7:S$59)/SUM('Basket Weights'!$M$7:$M$59)</f>
        <v>137.503238488731</v>
      </c>
      <c r="T18" s="20" t="n">
        <f aca="false">IFERROR(S18/R18-1,"")</f>
        <v>0.00707073082805909</v>
      </c>
      <c r="U18" s="20" t="n">
        <f aca="false">IFERROR(S18/F18-1,"")</f>
        <v>0.37503238488731</v>
      </c>
    </row>
    <row r="19" customFormat="false" ht="15" hidden="false" customHeight="false" outlineLevel="0" collapsed="false">
      <c r="A19" s="34" t="s">
        <v>234</v>
      </c>
      <c r="B19" s="11" t="s">
        <v>246</v>
      </c>
      <c r="F19" s="27" t="n">
        <f aca="false">SUMPRODUCT('Basket Weights'!$N$7:$N$59,'Commodity Indices'!F$7:F$59)/SUM('Basket Weights'!$N$7:$N$59)</f>
        <v>100</v>
      </c>
      <c r="G19" s="27" t="n">
        <f aca="false">SUMPRODUCT('Basket Weights'!$N$7:$N$59,'Commodity Indices'!G$7:G$59)/SUM('Basket Weights'!$N$7:$N$59)</f>
        <v>108.944810925302</v>
      </c>
      <c r="H19" s="27" t="n">
        <f aca="false">SUMPRODUCT('Basket Weights'!$N$7:$N$59,'Commodity Indices'!H$7:H$59)/SUM('Basket Weights'!$N$7:$N$59)</f>
        <v>113.631298418606</v>
      </c>
      <c r="I19" s="27" t="n">
        <f aca="false">SUMPRODUCT('Basket Weights'!$N$7:$N$59,'Commodity Indices'!I$7:I$59)/SUM('Basket Weights'!$N$7:$N$59)</f>
        <v>125.419705499412</v>
      </c>
      <c r="J19" s="27" t="n">
        <f aca="false">SUMPRODUCT('Basket Weights'!$N$7:$N$59,'Commodity Indices'!J$7:J$59)/SUM('Basket Weights'!$N$7:$N$59)</f>
        <v>134.364844243864</v>
      </c>
      <c r="K19" s="27" t="n">
        <f aca="false">SUMPRODUCT('Basket Weights'!$N$7:$N$59,'Commodity Indices'!K$7:K$59)/SUM('Basket Weights'!$N$7:$N$59)</f>
        <v>147.030031841278</v>
      </c>
      <c r="L19" s="27" t="n">
        <f aca="false">SUMPRODUCT('Basket Weights'!$N$7:$N$59,'Commodity Indices'!L$7:L$59)/SUM('Basket Weights'!$N$7:$N$59)</f>
        <v>200.554198150534</v>
      </c>
      <c r="M19" s="27" t="n">
        <f aca="false">SUMPRODUCT('Basket Weights'!$N$7:$N$59,'Commodity Indices'!M$7:M$59)/SUM('Basket Weights'!$N$7:$N$59)</f>
        <v>207.46993133359</v>
      </c>
      <c r="N19" s="27" t="n">
        <f aca="false">SUMPRODUCT('Basket Weights'!$N$7:$N$59,'Commodity Indices'!N$7:N$59)/SUM('Basket Weights'!$N$7:$N$59)</f>
        <v>222.377252984618</v>
      </c>
      <c r="O19" s="27" t="n">
        <f aca="false">SUMPRODUCT('Basket Weights'!$N$7:$N$59,'Commodity Indices'!O$7:O$59)/SUM('Basket Weights'!$N$7:$N$59)</f>
        <v>226.138129527639</v>
      </c>
      <c r="P19" s="27" t="n">
        <f aca="false">SUMPRODUCT('Basket Weights'!$N$7:$N$59,'Commodity Indices'!P$7:P$59)/SUM('Basket Weights'!$N$7:$N$59)</f>
        <v>246.491280674574</v>
      </c>
      <c r="Q19" s="27" t="n">
        <f aca="false">SUMPRODUCT('Basket Weights'!$N$7:$N$59,'Commodity Indices'!Q$7:Q$59)/SUM('Basket Weights'!$N$7:$N$59)</f>
        <v>232.750699922148</v>
      </c>
      <c r="R19" s="27" t="n">
        <f aca="false">SUMPRODUCT('Basket Weights'!$N$7:$N$59,'Commodity Indices'!R$7:R$59)/SUM('Basket Weights'!$N$7:$N$59)</f>
        <v>220.264224754248</v>
      </c>
      <c r="S19" s="27" t="n">
        <f aca="false">SUMPRODUCT('Basket Weights'!$N$7:$N$59,'Commodity Indices'!S$7:S$59)/SUM('Basket Weights'!$N$7:$N$59)</f>
        <v>213.839595582771</v>
      </c>
      <c r="T19" s="20" t="n">
        <f aca="false">IFERROR(S19/R19-1,"")</f>
        <v>-0.0291678286777842</v>
      </c>
      <c r="U19" s="20" t="n">
        <f aca="false">IFERROR(S19/F19-1,"")</f>
        <v>1.13839595582771</v>
      </c>
    </row>
    <row r="20" customFormat="false" ht="15" hidden="false" customHeight="false" outlineLevel="0" collapsed="false">
      <c r="A20" s="34" t="s">
        <v>235</v>
      </c>
      <c r="B20" s="11" t="s">
        <v>246</v>
      </c>
      <c r="F20" s="27" t="n">
        <f aca="false">SUMPRODUCT('Basket Weights'!$O$7:$O$59,'Commodity Indices'!F$7:F$59)/SUM('Basket Weights'!$O$7:$O$59)</f>
        <v>100</v>
      </c>
      <c r="G20" s="27" t="n">
        <f aca="false">SUMPRODUCT('Basket Weights'!$O$7:$O$59,'Commodity Indices'!G$7:G$59)/SUM('Basket Weights'!$O$7:$O$59)</f>
        <v>102.19511505459</v>
      </c>
      <c r="H20" s="27" t="n">
        <f aca="false">SUMPRODUCT('Basket Weights'!$O$7:$O$59,'Commodity Indices'!H$7:H$59)/SUM('Basket Weights'!$O$7:$O$59)</f>
        <v>104.031399501613</v>
      </c>
      <c r="I20" s="27" t="n">
        <f aca="false">SUMPRODUCT('Basket Weights'!$O$7:$O$59,'Commodity Indices'!I$7:I$59)/SUM('Basket Weights'!$O$7:$O$59)</f>
        <v>101.316953752644</v>
      </c>
      <c r="J20" s="27" t="n">
        <f aca="false">SUMPRODUCT('Basket Weights'!$O$7:$O$59,'Commodity Indices'!J$7:J$59)/SUM('Basket Weights'!$O$7:$O$59)</f>
        <v>104.128182561049</v>
      </c>
      <c r="K20" s="27" t="n">
        <f aca="false">SUMPRODUCT('Basket Weights'!$O$7:$O$59,'Commodity Indices'!K$7:K$59)/SUM('Basket Weights'!$O$7:$O$59)</f>
        <v>106.525687783968</v>
      </c>
      <c r="L20" s="27" t="n">
        <f aca="false">SUMPRODUCT('Basket Weights'!$O$7:$O$59,'Commodity Indices'!L$7:L$59)/SUM('Basket Weights'!$O$7:$O$59)</f>
        <v>104.587548661008</v>
      </c>
      <c r="M20" s="27" t="n">
        <f aca="false">SUMPRODUCT('Basket Weights'!$O$7:$O$59,'Commodity Indices'!M$7:M$59)/SUM('Basket Weights'!$O$7:$O$59)</f>
        <v>110.943595833402</v>
      </c>
      <c r="N20" s="27" t="n">
        <f aca="false">SUMPRODUCT('Basket Weights'!$O$7:$O$59,'Commodity Indices'!N$7:N$59)/SUM('Basket Weights'!$O$7:$O$59)</f>
        <v>128.239193656679</v>
      </c>
      <c r="O20" s="27" t="n">
        <f aca="false">SUMPRODUCT('Basket Weights'!$O$7:$O$59,'Commodity Indices'!O$7:O$59)/SUM('Basket Weights'!$O$7:$O$59)</f>
        <v>141.426346553036</v>
      </c>
      <c r="P20" s="27" t="n">
        <f aca="false">SUMPRODUCT('Basket Weights'!$O$7:$O$59,'Commodity Indices'!P$7:P$59)/SUM('Basket Weights'!$O$7:$O$59)</f>
        <v>145.967239800453</v>
      </c>
      <c r="Q20" s="27" t="n">
        <f aca="false">SUMPRODUCT('Basket Weights'!$O$7:$O$59,'Commodity Indices'!Q$7:Q$59)/SUM('Basket Weights'!$O$7:$O$59)</f>
        <v>132.751309151342</v>
      </c>
      <c r="R20" s="27" t="n">
        <f aca="false">SUMPRODUCT('Basket Weights'!$O$7:$O$59,'Commodity Indices'!R$7:R$59)/SUM('Basket Weights'!$O$7:$O$59)</f>
        <v>130.807184841117</v>
      </c>
      <c r="S20" s="27" t="n">
        <f aca="false">SUMPRODUCT('Basket Weights'!$O$7:$O$59,'Commodity Indices'!S$7:S$59)/SUM('Basket Weights'!$O$7:$O$59)</f>
        <v>134.742630741598</v>
      </c>
      <c r="T20" s="20" t="n">
        <f aca="false">IFERROR(S20/R20-1,"")</f>
        <v>0.0300858542690949</v>
      </c>
      <c r="U20" s="20" t="n">
        <f aca="false">IFERROR(S20/F20-1,"")</f>
        <v>0.347426307415975</v>
      </c>
    </row>
    <row r="22" customFormat="false" ht="15" hidden="false" customHeight="false" outlineLevel="0" collapsed="false">
      <c r="A22" s="35" t="s">
        <v>247</v>
      </c>
      <c r="B22" s="36"/>
      <c r="C22" s="36"/>
      <c r="D22" s="36"/>
      <c r="E22" s="36"/>
      <c r="F22" s="36"/>
      <c r="G22" s="36"/>
      <c r="H22" s="36"/>
      <c r="I22" s="36"/>
      <c r="J22" s="36"/>
      <c r="K22" s="36"/>
      <c r="L22" s="36"/>
      <c r="M22" s="36"/>
      <c r="N22" s="36"/>
      <c r="O22" s="36"/>
      <c r="P22" s="36"/>
      <c r="Q22" s="36"/>
      <c r="R22" s="36"/>
      <c r="S22" s="36"/>
      <c r="T22" s="36"/>
      <c r="U22" s="36"/>
      <c r="V22" s="36"/>
    </row>
    <row r="23" customFormat="false" ht="15" hidden="false" customHeight="false" outlineLevel="0" collapsed="false">
      <c r="A23" s="5" t="s">
        <v>248</v>
      </c>
      <c r="B23" s="4" t="s">
        <v>249</v>
      </c>
      <c r="F23" s="33" t="n">
        <f aca="false">(Assumptions!$C$17*F7+Assumptions!$C$18*F8+Assumptions!$C$19*F9+Assumptions!$C$20*F10+Assumptions!$C$21*F11+Assumptions!$C$22*F12)/Assumptions!$C$23</f>
        <v>100</v>
      </c>
      <c r="G23" s="33" t="n">
        <f aca="false">(Assumptions!$C$17*G7+Assumptions!$C$18*G8+Assumptions!$C$19*G9+Assumptions!$C$20*G10+Assumptions!$C$21*G11+Assumptions!$C$22*G12)/Assumptions!$C$23</f>
        <v>100.779815206368</v>
      </c>
      <c r="H23" s="33" t="n">
        <f aca="false">(Assumptions!$C$17*H7+Assumptions!$C$18*H8+Assumptions!$C$19*H9+Assumptions!$C$20*H10+Assumptions!$C$21*H11+Assumptions!$C$22*H12)/Assumptions!$C$23</f>
        <v>101.35718236661</v>
      </c>
      <c r="I23" s="33" t="n">
        <f aca="false">(Assumptions!$C$17*I7+Assumptions!$C$18*I8+Assumptions!$C$19*I9+Assumptions!$C$20*I10+Assumptions!$C$21*I11+Assumptions!$C$22*I12)/Assumptions!$C$23</f>
        <v>102.682817290339</v>
      </c>
      <c r="J23" s="33" t="n">
        <f aca="false">(Assumptions!$C$17*J7+Assumptions!$C$18*J8+Assumptions!$C$19*J9+Assumptions!$C$20*J10+Assumptions!$C$21*J11+Assumptions!$C$22*J12)/Assumptions!$C$23</f>
        <v>101.99271653701</v>
      </c>
      <c r="K23" s="33" t="n">
        <f aca="false">(Assumptions!$C$17*K7+Assumptions!$C$18*K8+Assumptions!$C$19*K9+Assumptions!$C$20*K10+Assumptions!$C$21*K11+Assumptions!$C$22*K12)/Assumptions!$C$23</f>
        <v>104.181260176783</v>
      </c>
      <c r="L23" s="33" t="n">
        <f aca="false">(Assumptions!$C$17*L7+Assumptions!$C$18*L8+Assumptions!$C$19*L9+Assumptions!$C$20*L10+Assumptions!$C$21*L11+Assumptions!$C$22*L12)/Assumptions!$C$23</f>
        <v>114.004385498777</v>
      </c>
      <c r="M23" s="33" t="n">
        <f aca="false">(Assumptions!$C$17*M7+Assumptions!$C$18*M8+Assumptions!$C$19*M9+Assumptions!$C$20*M10+Assumptions!$C$21*M11+Assumptions!$C$22*M12)/Assumptions!$C$23</f>
        <v>115.362204524562</v>
      </c>
      <c r="N23" s="33" t="n">
        <f aca="false">(Assumptions!$C$17*N7+Assumptions!$C$18*N8+Assumptions!$C$19*N9+Assumptions!$C$20*N10+Assumptions!$C$21*N11+Assumptions!$C$22*N12)/Assumptions!$C$23</f>
        <v>123.560172662443</v>
      </c>
      <c r="O23" s="33" t="n">
        <f aca="false">(Assumptions!$C$17*O7+Assumptions!$C$18*O8+Assumptions!$C$19*O9+Assumptions!$C$20*O10+Assumptions!$C$21*O11+Assumptions!$C$22*O12)/Assumptions!$C$23</f>
        <v>131.757154712426</v>
      </c>
      <c r="P23" s="33" t="n">
        <f aca="false">(Assumptions!$C$17*P7+Assumptions!$C$18*P8+Assumptions!$C$19*P9+Assumptions!$C$20*P10+Assumptions!$C$21*P11+Assumptions!$C$22*P12)/Assumptions!$C$23</f>
        <v>134.278407968974</v>
      </c>
      <c r="Q23" s="33" t="n">
        <f aca="false">(Assumptions!$C$17*Q7+Assumptions!$C$18*Q8+Assumptions!$C$19*Q9+Assumptions!$C$20*Q10+Assumptions!$C$21*Q11+Assumptions!$C$22*Q12)/Assumptions!$C$23</f>
        <v>131.852134586042</v>
      </c>
      <c r="R23" s="33" t="n">
        <f aca="false">(Assumptions!$C$17*R7+Assumptions!$C$18*R8+Assumptions!$C$19*R9+Assumptions!$C$20*R10+Assumptions!$C$21*R11+Assumptions!$C$22*R12)/Assumptions!$C$23</f>
        <v>128.81496248412</v>
      </c>
      <c r="S23" s="33" t="n">
        <f aca="false">(Assumptions!$C$17*S7+Assumptions!$C$18*S8+Assumptions!$C$19*S9+Assumptions!$C$20*S10+Assumptions!$C$21*S11+Assumptions!$C$22*S12)/Assumptions!$C$23</f>
        <v>130.710170331173</v>
      </c>
      <c r="T23" s="14" t="n">
        <f aca="false">IFERROR(S23/R23-1,"")</f>
        <v>0.0147126374957189</v>
      </c>
      <c r="U23" s="14" t="n">
        <f aca="false">IFERROR(S23/F23-1,"")</f>
        <v>0.307101703311733</v>
      </c>
    </row>
    <row r="25" customFormat="false" ht="15" hidden="false" customHeight="false" outlineLevel="0" collapsed="false">
      <c r="A25" s="9" t="s">
        <v>250</v>
      </c>
    </row>
  </sheetData>
  <mergeCells count="1">
    <mergeCell ref="A1:U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14" min="2" style="0" width="12.5"/>
  </cols>
  <sheetData>
    <row r="1" customFormat="false" ht="24" hidden="false" customHeight="true" outlineLevel="0" collapsed="false">
      <c r="A1" s="1" t="s">
        <v>251</v>
      </c>
      <c r="B1" s="1"/>
      <c r="C1" s="1"/>
      <c r="D1" s="1"/>
      <c r="E1" s="1"/>
      <c r="F1" s="1"/>
      <c r="G1" s="1"/>
      <c r="H1" s="1"/>
      <c r="I1" s="1"/>
      <c r="J1" s="1"/>
      <c r="K1" s="1"/>
      <c r="L1" s="1"/>
      <c r="M1" s="1"/>
      <c r="N1" s="1"/>
    </row>
    <row r="2" customFormat="false" ht="15" hidden="false" customHeight="false" outlineLevel="0" collapsed="false">
      <c r="A2" s="2" t="s">
        <v>252</v>
      </c>
    </row>
    <row r="4" customFormat="false" ht="15" hidden="false" customHeight="false" outlineLevel="0" collapsed="false">
      <c r="A4" s="3" t="s">
        <v>253</v>
      </c>
    </row>
    <row r="5" customFormat="false" ht="15" hidden="false" customHeight="false" outlineLevel="0" collapsed="false">
      <c r="A5" s="9" t="s">
        <v>254</v>
      </c>
    </row>
    <row r="6" customFormat="false" ht="15" hidden="false" customHeight="false" outlineLevel="0" collapsed="false">
      <c r="A6" s="15" t="s">
        <v>242</v>
      </c>
      <c r="B6" s="16" t="s">
        <v>255</v>
      </c>
      <c r="C6" s="16" t="s">
        <v>256</v>
      </c>
      <c r="D6" s="16" t="s">
        <v>257</v>
      </c>
      <c r="E6" s="16" t="s">
        <v>258</v>
      </c>
    </row>
    <row r="7" customFormat="false" ht="15" hidden="false" customHeight="false" outlineLevel="0" collapsed="false">
      <c r="A7" s="11" t="s">
        <v>68</v>
      </c>
      <c r="B7" s="27" t="n">
        <f aca="false">'Basket Monitors'!R7</f>
        <v>124.27920722108</v>
      </c>
      <c r="C7" s="27" t="n">
        <f aca="false">'Basket Monitors'!S7</f>
        <v>126.559060789787</v>
      </c>
      <c r="D7" s="27" t="n">
        <f aca="false">C7*(1+Assumptions!$C$12)</f>
        <v>126.559060789787</v>
      </c>
      <c r="E7" s="33" t="n">
        <f aca="false">AVERAGE(B7:D7)</f>
        <v>125.799109600218</v>
      </c>
    </row>
    <row r="8" customFormat="false" ht="15" hidden="false" customHeight="false" outlineLevel="0" collapsed="false">
      <c r="A8" s="11" t="s">
        <v>69</v>
      </c>
      <c r="B8" s="27" t="n">
        <f aca="false">'Basket Monitors'!R8</f>
        <v>124.190180370693</v>
      </c>
      <c r="C8" s="27" t="n">
        <f aca="false">'Basket Monitors'!S8</f>
        <v>126.308908560544</v>
      </c>
      <c r="D8" s="27" t="n">
        <f aca="false">C8*(1+Assumptions!$C$12)</f>
        <v>126.308908560544</v>
      </c>
      <c r="E8" s="33" t="n">
        <f aca="false">AVERAGE(B8:D8)</f>
        <v>125.602665830594</v>
      </c>
    </row>
    <row r="9" customFormat="false" ht="15" hidden="false" customHeight="false" outlineLevel="0" collapsed="false">
      <c r="A9" s="11" t="s">
        <v>70</v>
      </c>
      <c r="B9" s="27" t="n">
        <f aca="false">'Basket Monitors'!R9</f>
        <v>123.110632758004</v>
      </c>
      <c r="C9" s="27" t="n">
        <f aca="false">'Basket Monitors'!S9</f>
        <v>125.267115735474</v>
      </c>
      <c r="D9" s="27" t="n">
        <f aca="false">C9*(1+Assumptions!$C$12)</f>
        <v>125.267115735474</v>
      </c>
      <c r="E9" s="33" t="n">
        <f aca="false">AVERAGE(B9:D9)</f>
        <v>124.548288076318</v>
      </c>
    </row>
    <row r="10" customFormat="false" ht="15" hidden="false" customHeight="false" outlineLevel="0" collapsed="false">
      <c r="A10" s="11" t="s">
        <v>71</v>
      </c>
      <c r="B10" s="27" t="n">
        <f aca="false">'Basket Monitors'!R10</f>
        <v>121.732707094916</v>
      </c>
      <c r="C10" s="27" t="n">
        <f aca="false">'Basket Monitors'!S10</f>
        <v>123.652888952801</v>
      </c>
      <c r="D10" s="27" t="n">
        <f aca="false">C10*(1+Assumptions!$C$12)</f>
        <v>123.652888952801</v>
      </c>
      <c r="E10" s="33" t="n">
        <f aca="false">AVERAGE(B10:D10)</f>
        <v>123.012828333506</v>
      </c>
    </row>
    <row r="11" customFormat="false" ht="15" hidden="false" customHeight="false" outlineLevel="0" collapsed="false">
      <c r="A11" s="11" t="s">
        <v>72</v>
      </c>
      <c r="B11" s="27" t="n">
        <f aca="false">'Basket Monitors'!R11</f>
        <v>156.812398610886</v>
      </c>
      <c r="C11" s="27" t="n">
        <f aca="false">'Basket Monitors'!S11</f>
        <v>157.053267158236</v>
      </c>
      <c r="D11" s="27" t="n">
        <f aca="false">C11*(1+Assumptions!$C$12)</f>
        <v>157.053267158236</v>
      </c>
      <c r="E11" s="33" t="n">
        <f aca="false">AVERAGE(B11:D11)</f>
        <v>156.972977642452</v>
      </c>
    </row>
    <row r="12" customFormat="false" ht="15" hidden="false" customHeight="false" outlineLevel="0" collapsed="false">
      <c r="A12" s="11" t="s">
        <v>73</v>
      </c>
      <c r="B12" s="27" t="n">
        <f aca="false">'Basket Monitors'!R12</f>
        <v>157.881796437047</v>
      </c>
      <c r="C12" s="27" t="n">
        <f aca="false">'Basket Monitors'!S12</f>
        <v>158.163643050973</v>
      </c>
      <c r="D12" s="27" t="n">
        <f aca="false">C12*(1+Assumptions!$C$12)</f>
        <v>158.163643050973</v>
      </c>
      <c r="E12" s="33" t="n">
        <f aca="false">AVERAGE(B12:D12)</f>
        <v>158.069694179664</v>
      </c>
    </row>
    <row r="13" customFormat="false" ht="15" hidden="false" customHeight="false" outlineLevel="0" collapsed="false">
      <c r="A13" s="11" t="s">
        <v>230</v>
      </c>
      <c r="B13" s="27" t="n">
        <f aca="false">'Basket Monitors'!R14</f>
        <v>114.924174538947</v>
      </c>
      <c r="C13" s="27" t="n">
        <f aca="false">'Basket Monitors'!S14</f>
        <v>116.261769322143</v>
      </c>
      <c r="D13" s="27" t="n">
        <f aca="false">C13*(1+Assumptions!$C$12)</f>
        <v>116.261769322143</v>
      </c>
      <c r="E13" s="33" t="n">
        <f aca="false">AVERAGE(B13:D13)</f>
        <v>115.815904394411</v>
      </c>
    </row>
    <row r="14" customFormat="false" ht="15" hidden="false" customHeight="false" outlineLevel="0" collapsed="false">
      <c r="A14" s="11" t="s">
        <v>231</v>
      </c>
      <c r="B14" s="27" t="n">
        <f aca="false">'Basket Monitors'!R15</f>
        <v>137.850360685195</v>
      </c>
      <c r="C14" s="27" t="n">
        <f aca="false">'Basket Monitors'!S15</f>
        <v>142.981000249416</v>
      </c>
      <c r="D14" s="27" t="n">
        <f aca="false">C14*(1+Assumptions!$C$12)</f>
        <v>142.981000249416</v>
      </c>
      <c r="E14" s="33" t="n">
        <f aca="false">AVERAGE(B14:D14)</f>
        <v>141.270787061343</v>
      </c>
    </row>
    <row r="15" customFormat="false" ht="15" hidden="false" customHeight="false" outlineLevel="0" collapsed="false">
      <c r="A15" s="11" t="s">
        <v>232</v>
      </c>
      <c r="B15" s="27" t="n">
        <f aca="false">'Basket Monitors'!R16</f>
        <v>129.746339259132</v>
      </c>
      <c r="C15" s="27" t="n">
        <f aca="false">'Basket Monitors'!S16</f>
        <v>138.87077889248</v>
      </c>
      <c r="D15" s="27" t="n">
        <f aca="false">C15*(1+Assumptions!$C$12)</f>
        <v>138.87077889248</v>
      </c>
      <c r="E15" s="33" t="n">
        <f aca="false">AVERAGE(B15:D15)</f>
        <v>135.829299014697</v>
      </c>
    </row>
    <row r="16" customFormat="false" ht="15" hidden="false" customHeight="false" outlineLevel="0" collapsed="false">
      <c r="A16" s="11" t="s">
        <v>142</v>
      </c>
      <c r="B16" s="27" t="n">
        <f aca="false">'Basket Monitors'!R17</f>
        <v>128.024947612477</v>
      </c>
      <c r="C16" s="27" t="n">
        <f aca="false">'Basket Monitors'!S17</f>
        <v>126.59388007433</v>
      </c>
      <c r="D16" s="27" t="n">
        <f aca="false">C16*(1+Assumptions!$C$12)</f>
        <v>126.59388007433</v>
      </c>
      <c r="E16" s="33" t="n">
        <f aca="false">AVERAGE(B16:D16)</f>
        <v>127.070902587045</v>
      </c>
    </row>
    <row r="17" customFormat="false" ht="15" hidden="false" customHeight="false" outlineLevel="0" collapsed="false">
      <c r="A17" s="11" t="s">
        <v>233</v>
      </c>
      <c r="B17" s="27" t="n">
        <f aca="false">'Basket Monitors'!R18</f>
        <v>136.537816341529</v>
      </c>
      <c r="C17" s="27" t="n">
        <f aca="false">'Basket Monitors'!S18</f>
        <v>137.503238488731</v>
      </c>
      <c r="D17" s="27" t="n">
        <f aca="false">C17*(1+Assumptions!$C$12)</f>
        <v>137.503238488731</v>
      </c>
      <c r="E17" s="33" t="n">
        <f aca="false">AVERAGE(B17:D17)</f>
        <v>137.18143110633</v>
      </c>
    </row>
    <row r="18" customFormat="false" ht="15" hidden="false" customHeight="false" outlineLevel="0" collapsed="false">
      <c r="A18" s="11" t="s">
        <v>234</v>
      </c>
      <c r="B18" s="27" t="n">
        <f aca="false">'Basket Monitors'!R19</f>
        <v>220.264224754248</v>
      </c>
      <c r="C18" s="27" t="n">
        <f aca="false">'Basket Monitors'!S19</f>
        <v>213.839595582771</v>
      </c>
      <c r="D18" s="27" t="n">
        <f aca="false">C18*(1+Assumptions!$C$12)</f>
        <v>213.839595582771</v>
      </c>
      <c r="E18" s="33" t="n">
        <f aca="false">AVERAGE(B18:D18)</f>
        <v>215.98113863993</v>
      </c>
    </row>
    <row r="19" customFormat="false" ht="15" hidden="false" customHeight="false" outlineLevel="0" collapsed="false">
      <c r="A19" s="11" t="s">
        <v>235</v>
      </c>
      <c r="B19" s="27" t="n">
        <f aca="false">'Basket Monitors'!R20</f>
        <v>130.807184841117</v>
      </c>
      <c r="C19" s="27" t="n">
        <f aca="false">'Basket Monitors'!S20</f>
        <v>134.742630741598</v>
      </c>
      <c r="D19" s="27" t="n">
        <f aca="false">C19*(1+Assumptions!$C$12)</f>
        <v>134.742630741598</v>
      </c>
      <c r="E19" s="33" t="n">
        <f aca="false">AVERAGE(B19:D19)</f>
        <v>133.430815441437</v>
      </c>
    </row>
    <row r="20" customFormat="false" ht="15" hidden="false" customHeight="false" outlineLevel="0" collapsed="false">
      <c r="A20" s="34" t="s">
        <v>259</v>
      </c>
      <c r="B20" s="27" t="n">
        <f aca="false">'Basket Monitors'!R23</f>
        <v>128.81496248412</v>
      </c>
      <c r="C20" s="27" t="n">
        <f aca="false">'Basket Monitors'!S23</f>
        <v>130.710170331173</v>
      </c>
      <c r="D20" s="27" t="n">
        <f aca="false">C20*(1+Assumptions!$C$12)</f>
        <v>130.710170331173</v>
      </c>
      <c r="E20" s="33" t="n">
        <f aca="false">AVERAGE(B20:D20)</f>
        <v>130.078434382155</v>
      </c>
    </row>
    <row r="23" customFormat="false" ht="15" hidden="false" customHeight="false" outlineLevel="0" collapsed="false">
      <c r="A23" s="3" t="s">
        <v>260</v>
      </c>
    </row>
    <row r="24" customFormat="false" ht="15" hidden="false" customHeight="false" outlineLevel="0" collapsed="false">
      <c r="A24" s="9" t="s">
        <v>261</v>
      </c>
    </row>
    <row r="25" customFormat="false" ht="15" hidden="false" customHeight="false" outlineLevel="0" collapsed="false">
      <c r="A25" s="15" t="s">
        <v>242</v>
      </c>
      <c r="B25" s="16" t="s">
        <v>262</v>
      </c>
      <c r="C25" s="16" t="s">
        <v>263</v>
      </c>
      <c r="D25" s="16" t="s">
        <v>264</v>
      </c>
      <c r="E25" s="16" t="s">
        <v>265</v>
      </c>
      <c r="F25" s="16" t="s">
        <v>266</v>
      </c>
      <c r="G25" s="16" t="s">
        <v>267</v>
      </c>
      <c r="H25" s="16" t="s">
        <v>107</v>
      </c>
    </row>
    <row r="26" customFormat="false" ht="15" hidden="false" customHeight="false" outlineLevel="0" collapsed="false">
      <c r="A26" s="11" t="s">
        <v>68</v>
      </c>
      <c r="B26" s="27" t="n">
        <f aca="false">AVERAGE('Basket Monitors'!F7:H7)</f>
        <v>100.523604149784</v>
      </c>
      <c r="C26" s="27" t="n">
        <f aca="false">AVERAGE('Basket Monitors'!I7:K7)</f>
        <v>101.929796689128</v>
      </c>
      <c r="D26" s="27" t="n">
        <f aca="false">AVERAGE('Basket Monitors'!L7:N7)</f>
        <v>113.890426894007</v>
      </c>
      <c r="E26" s="27" t="n">
        <f aca="false">AVERAGE('Basket Monitors'!O7:Q7)</f>
        <v>127.887526695373</v>
      </c>
      <c r="F26" s="33" t="n">
        <f aca="false">E7</f>
        <v>125.799109600218</v>
      </c>
      <c r="G26" s="37" t="n">
        <f aca="false">IFERROR(F26/E26-1,"")</f>
        <v>-0.0163301077839193</v>
      </c>
      <c r="H26" s="37" t="n">
        <f aca="false">IFERROR(F26/B26-1,"")</f>
        <v>0.251438512021247</v>
      </c>
    </row>
    <row r="27" customFormat="false" ht="15" hidden="false" customHeight="false" outlineLevel="0" collapsed="false">
      <c r="A27" s="11" t="s">
        <v>69</v>
      </c>
      <c r="B27" s="27" t="n">
        <f aca="false">AVERAGE('Basket Monitors'!F8:H8)</f>
        <v>100.4844415319</v>
      </c>
      <c r="C27" s="27" t="n">
        <f aca="false">AVERAGE('Basket Monitors'!I8:K8)</f>
        <v>102.082457083867</v>
      </c>
      <c r="D27" s="27" t="n">
        <f aca="false">AVERAGE('Basket Monitors'!L8:N8)</f>
        <v>113.780383348631</v>
      </c>
      <c r="E27" s="27" t="n">
        <f aca="false">AVERAGE('Basket Monitors'!O8:Q8)</f>
        <v>128.663987034331</v>
      </c>
      <c r="F27" s="33" t="n">
        <f aca="false">E8</f>
        <v>125.602665830594</v>
      </c>
      <c r="G27" s="37" t="n">
        <f aca="false">IFERROR(F27/E27-1,"")</f>
        <v>-0.0237931473623673</v>
      </c>
      <c r="H27" s="37" t="n">
        <f aca="false">IFERROR(F27/B27-1,"")</f>
        <v>0.249971278297044</v>
      </c>
    </row>
    <row r="28" customFormat="false" ht="15" hidden="false" customHeight="false" outlineLevel="0" collapsed="false">
      <c r="A28" s="11" t="s">
        <v>70</v>
      </c>
      <c r="B28" s="27" t="n">
        <f aca="false">AVERAGE('Basket Monitors'!F9:H9)</f>
        <v>100.153657142921</v>
      </c>
      <c r="C28" s="27" t="n">
        <f aca="false">AVERAGE('Basket Monitors'!I9:K9)</f>
        <v>100.568602950947</v>
      </c>
      <c r="D28" s="27" t="n">
        <f aca="false">AVERAGE('Basket Monitors'!L9:N9)</f>
        <v>111.773939629571</v>
      </c>
      <c r="E28" s="27" t="n">
        <f aca="false">AVERAGE('Basket Monitors'!O9:Q9)</f>
        <v>125.550575405982</v>
      </c>
      <c r="F28" s="33" t="n">
        <f aca="false">E9</f>
        <v>124.548288076318</v>
      </c>
      <c r="G28" s="37" t="n">
        <f aca="false">IFERROR(F28/E28-1,"")</f>
        <v>-0.00798313609016277</v>
      </c>
      <c r="H28" s="37" t="n">
        <f aca="false">IFERROR(F28/B28-1,"")</f>
        <v>0.243572043490986</v>
      </c>
    </row>
    <row r="29" customFormat="false" ht="15" hidden="false" customHeight="false" outlineLevel="0" collapsed="false">
      <c r="A29" s="11" t="s">
        <v>71</v>
      </c>
      <c r="B29" s="27" t="n">
        <f aca="false">AVERAGE('Basket Monitors'!F10:H10)</f>
        <v>99.7648789322498</v>
      </c>
      <c r="C29" s="27" t="n">
        <f aca="false">AVERAGE('Basket Monitors'!I10:K10)</f>
        <v>98.5349249149007</v>
      </c>
      <c r="D29" s="27" t="n">
        <f aca="false">AVERAGE('Basket Monitors'!L10:N10)</f>
        <v>107.973628045689</v>
      </c>
      <c r="E29" s="27" t="n">
        <f aca="false">AVERAGE('Basket Monitors'!O10:Q10)</f>
        <v>122.459689319432</v>
      </c>
      <c r="F29" s="33" t="n">
        <f aca="false">E10</f>
        <v>123.012828333506</v>
      </c>
      <c r="G29" s="37" t="n">
        <f aca="false">IFERROR(F29/E29-1,"")</f>
        <v>0.00451690688705408</v>
      </c>
      <c r="H29" s="37" t="n">
        <f aca="false">IFERROR(F29/B29-1,"")</f>
        <v>0.233027390501256</v>
      </c>
    </row>
    <row r="30" customFormat="false" ht="15" hidden="false" customHeight="false" outlineLevel="0" collapsed="false">
      <c r="A30" s="11" t="s">
        <v>72</v>
      </c>
      <c r="B30" s="27" t="n">
        <f aca="false">AVERAGE('Basket Monitors'!F11:H11)</f>
        <v>102.671589954291</v>
      </c>
      <c r="C30" s="27" t="n">
        <f aca="false">AVERAGE('Basket Monitors'!I11:K11)</f>
        <v>112.524991571661</v>
      </c>
      <c r="D30" s="27" t="n">
        <f aca="false">AVERAGE('Basket Monitors'!L11:N11)</f>
        <v>144.142899682256</v>
      </c>
      <c r="E30" s="27" t="n">
        <f aca="false">AVERAGE('Basket Monitors'!O11:Q11)</f>
        <v>163.357777417116</v>
      </c>
      <c r="F30" s="33" t="n">
        <f aca="false">E11</f>
        <v>156.972977642452</v>
      </c>
      <c r="G30" s="37" t="n">
        <f aca="false">IFERROR(F30/E30-1,"")</f>
        <v>-0.0390847615315008</v>
      </c>
      <c r="H30" s="37" t="n">
        <f aca="false">IFERROR(F30/B30-1,"")</f>
        <v>0.528884258170502</v>
      </c>
    </row>
    <row r="31" customFormat="false" ht="15" hidden="false" customHeight="false" outlineLevel="0" collapsed="false">
      <c r="A31" s="11" t="s">
        <v>73</v>
      </c>
      <c r="B31" s="27" t="n">
        <f aca="false">AVERAGE('Basket Monitors'!F12:H12)</f>
        <v>102.689879879826</v>
      </c>
      <c r="C31" s="27" t="n">
        <f aca="false">AVERAGE('Basket Monitors'!I12:K12)</f>
        <v>111.431697064414</v>
      </c>
      <c r="D31" s="27" t="n">
        <f aca="false">AVERAGE('Basket Monitors'!L12:N12)</f>
        <v>145.060880903435</v>
      </c>
      <c r="E31" s="27" t="n">
        <f aca="false">AVERAGE('Basket Monitors'!O12:Q12)</f>
        <v>164.772963982729</v>
      </c>
      <c r="F31" s="33" t="n">
        <f aca="false">E12</f>
        <v>158.069694179664</v>
      </c>
      <c r="G31" s="37" t="n">
        <f aca="false">IFERROR(F31/E31-1,"")</f>
        <v>-0.0406818548446257</v>
      </c>
      <c r="H31" s="37" t="n">
        <f aca="false">IFERROR(F31/B31-1,"")</f>
        <v>0.539291840292802</v>
      </c>
    </row>
    <row r="32" customFormat="false" ht="15" hidden="false" customHeight="false" outlineLevel="0" collapsed="false">
      <c r="A32" s="11" t="s">
        <v>230</v>
      </c>
      <c r="B32" s="27" t="n">
        <f aca="false">AVERAGE('Basket Monitors'!F14:H14)</f>
        <v>100.710746954094</v>
      </c>
      <c r="C32" s="27" t="n">
        <f aca="false">AVERAGE('Basket Monitors'!I14:K14)</f>
        <v>98.8501470260956</v>
      </c>
      <c r="D32" s="27" t="n">
        <f aca="false">AVERAGE('Basket Monitors'!L14:N14)</f>
        <v>107.865249285065</v>
      </c>
      <c r="E32" s="27" t="n">
        <f aca="false">AVERAGE('Basket Monitors'!O14:Q14)</f>
        <v>116.956491458057</v>
      </c>
      <c r="F32" s="33" t="n">
        <f aca="false">E13</f>
        <v>115.815904394411</v>
      </c>
      <c r="G32" s="37" t="n">
        <f aca="false">IFERROR(F32/E32-1,"")</f>
        <v>-0.00975223392414881</v>
      </c>
      <c r="H32" s="37" t="n">
        <f aca="false">IFERROR(F32/B32-1,"")</f>
        <v>0.149985556627852</v>
      </c>
    </row>
    <row r="33" customFormat="false" ht="15" hidden="false" customHeight="false" outlineLevel="0" collapsed="false">
      <c r="A33" s="11" t="s">
        <v>231</v>
      </c>
      <c r="B33" s="27" t="n">
        <f aca="false">AVERAGE('Basket Monitors'!F15:H15)</f>
        <v>101.819442899528</v>
      </c>
      <c r="C33" s="27" t="n">
        <f aca="false">AVERAGE('Basket Monitors'!I15:K15)</f>
        <v>112.915041455922</v>
      </c>
      <c r="D33" s="27" t="n">
        <f aca="false">AVERAGE('Basket Monitors'!L15:N15)</f>
        <v>130.114911035161</v>
      </c>
      <c r="E33" s="27" t="n">
        <f aca="false">AVERAGE('Basket Monitors'!O15:Q15)</f>
        <v>146.142095992751</v>
      </c>
      <c r="F33" s="33" t="n">
        <f aca="false">E14</f>
        <v>141.270787061343</v>
      </c>
      <c r="G33" s="37" t="n">
        <f aca="false">IFERROR(F33/E33-1,"")</f>
        <v>-0.0333326882875014</v>
      </c>
      <c r="H33" s="37" t="n">
        <f aca="false">IFERROR(F33/B33-1,"")</f>
        <v>0.387463759753072</v>
      </c>
    </row>
    <row r="34" customFormat="false" ht="15" hidden="false" customHeight="false" outlineLevel="0" collapsed="false">
      <c r="A34" s="11" t="s">
        <v>232</v>
      </c>
      <c r="B34" s="27" t="n">
        <f aca="false">AVERAGE('Basket Monitors'!F16:H16)</f>
        <v>103.215363476881</v>
      </c>
      <c r="C34" s="27" t="n">
        <f aca="false">AVERAGE('Basket Monitors'!I16:K16)</f>
        <v>128.382392495336</v>
      </c>
      <c r="D34" s="27" t="n">
        <f aca="false">AVERAGE('Basket Monitors'!L16:N16)</f>
        <v>166.764721062825</v>
      </c>
      <c r="E34" s="27" t="n">
        <f aca="false">AVERAGE('Basket Monitors'!O16:Q16)</f>
        <v>147.194213298061</v>
      </c>
      <c r="F34" s="33" t="n">
        <f aca="false">E15</f>
        <v>135.829299014697</v>
      </c>
      <c r="G34" s="37" t="n">
        <f aca="false">IFERROR(F34/E34-1,"")</f>
        <v>-0.077210333400471</v>
      </c>
      <c r="H34" s="37" t="n">
        <f aca="false">IFERROR(F34/B34-1,"")</f>
        <v>0.315979467001753</v>
      </c>
    </row>
    <row r="35" customFormat="false" ht="15" hidden="false" customHeight="false" outlineLevel="0" collapsed="false">
      <c r="A35" s="11" t="s">
        <v>142</v>
      </c>
      <c r="B35" s="27" t="n">
        <f aca="false">AVERAGE('Basket Monitors'!F17:H17)</f>
        <v>99.9191867216609</v>
      </c>
      <c r="C35" s="27" t="n">
        <f aca="false">AVERAGE('Basket Monitors'!I17:K17)</f>
        <v>94.8118737365781</v>
      </c>
      <c r="D35" s="27" t="n">
        <f aca="false">AVERAGE('Basket Monitors'!L17:N17)</f>
        <v>104.377725296404</v>
      </c>
      <c r="E35" s="27" t="n">
        <f aca="false">AVERAGE('Basket Monitors'!O17:Q17)</f>
        <v>130.928925037124</v>
      </c>
      <c r="F35" s="33" t="n">
        <f aca="false">E16</f>
        <v>127.070902587045</v>
      </c>
      <c r="G35" s="37" t="n">
        <f aca="false">IFERROR(F35/E35-1,"")</f>
        <v>-0.0294665403308284</v>
      </c>
      <c r="H35" s="37" t="n">
        <f aca="false">IFERROR(F35/B35-1,"")</f>
        <v>0.271736758036465</v>
      </c>
    </row>
    <row r="36" customFormat="false" ht="15" hidden="false" customHeight="false" outlineLevel="0" collapsed="false">
      <c r="A36" s="11" t="s">
        <v>233</v>
      </c>
      <c r="B36" s="27" t="n">
        <f aca="false">AVERAGE('Basket Monitors'!F18:H18)</f>
        <v>96.4868855406976</v>
      </c>
      <c r="C36" s="27" t="n">
        <f aca="false">AVERAGE('Basket Monitors'!I18:K18)</f>
        <v>91.4618701470991</v>
      </c>
      <c r="D36" s="27" t="n">
        <f aca="false">AVERAGE('Basket Monitors'!L18:N18)</f>
        <v>92.875787200783</v>
      </c>
      <c r="E36" s="27" t="n">
        <f aca="false">AVERAGE('Basket Monitors'!O18:Q18)</f>
        <v>131.40959095246</v>
      </c>
      <c r="F36" s="33" t="n">
        <f aca="false">E17</f>
        <v>137.18143110633</v>
      </c>
      <c r="G36" s="37" t="n">
        <f aca="false">IFERROR(F36/E36-1,"")</f>
        <v>0.0439225182274405</v>
      </c>
      <c r="H36" s="37" t="n">
        <f aca="false">IFERROR(F36/B36-1,"")</f>
        <v>0.42176245339029</v>
      </c>
    </row>
    <row r="37" customFormat="false" ht="15" hidden="false" customHeight="false" outlineLevel="0" collapsed="false">
      <c r="A37" s="11" t="s">
        <v>234</v>
      </c>
      <c r="B37" s="27" t="n">
        <f aca="false">AVERAGE('Basket Monitors'!F19:H19)</f>
        <v>107.525369781303</v>
      </c>
      <c r="C37" s="27" t="n">
        <f aca="false">AVERAGE('Basket Monitors'!I19:K19)</f>
        <v>135.604860528185</v>
      </c>
      <c r="D37" s="27" t="n">
        <f aca="false">AVERAGE('Basket Monitors'!L19:N19)</f>
        <v>210.133794156247</v>
      </c>
      <c r="E37" s="27" t="n">
        <f aca="false">AVERAGE('Basket Monitors'!O19:Q19)</f>
        <v>235.126703374787</v>
      </c>
      <c r="F37" s="33" t="n">
        <f aca="false">E18</f>
        <v>215.98113863993</v>
      </c>
      <c r="G37" s="37" t="n">
        <f aca="false">IFERROR(F37/E37-1,"")</f>
        <v>-0.0814265860068596</v>
      </c>
      <c r="H37" s="37" t="n">
        <f aca="false">IFERROR(F37/B37-1,"")</f>
        <v>1.0086528330869</v>
      </c>
    </row>
    <row r="38" customFormat="false" ht="15" hidden="false" customHeight="false" outlineLevel="0" collapsed="false">
      <c r="A38" s="11" t="s">
        <v>235</v>
      </c>
      <c r="B38" s="27" t="n">
        <f aca="false">AVERAGE('Basket Monitors'!F20:H20)</f>
        <v>102.075504852068</v>
      </c>
      <c r="C38" s="27" t="n">
        <f aca="false">AVERAGE('Basket Monitors'!I20:K20)</f>
        <v>103.99027469922</v>
      </c>
      <c r="D38" s="27" t="n">
        <f aca="false">AVERAGE('Basket Monitors'!L20:N20)</f>
        <v>114.59011271703</v>
      </c>
      <c r="E38" s="27" t="n">
        <f aca="false">AVERAGE('Basket Monitors'!O20:Q20)</f>
        <v>140.04829850161</v>
      </c>
      <c r="F38" s="33" t="n">
        <f aca="false">E19</f>
        <v>133.430815441437</v>
      </c>
      <c r="G38" s="37" t="n">
        <f aca="false">IFERROR(F38/E38-1,"")</f>
        <v>-0.0472514349047719</v>
      </c>
      <c r="H38" s="37" t="n">
        <f aca="false">IFERROR(F38/B38-1,"")</f>
        <v>0.307177619496578</v>
      </c>
    </row>
    <row r="39" customFormat="false" ht="15" hidden="false" customHeight="false" outlineLevel="0" collapsed="false">
      <c r="A39" s="34" t="s">
        <v>259</v>
      </c>
      <c r="B39" s="27" t="n">
        <f aca="false">AVERAGE('Basket Monitors'!F23:H23)</f>
        <v>100.712332524326</v>
      </c>
      <c r="C39" s="27" t="n">
        <f aca="false">AVERAGE('Basket Monitors'!I23:K23)</f>
        <v>102.952264668044</v>
      </c>
      <c r="D39" s="27" t="n">
        <f aca="false">AVERAGE('Basket Monitors'!L23:N23)</f>
        <v>117.642254228594</v>
      </c>
      <c r="E39" s="27" t="n">
        <f aca="false">AVERAGE('Basket Monitors'!O23:Q23)</f>
        <v>132.629232422481</v>
      </c>
      <c r="F39" s="33" t="n">
        <f aca="false">E20</f>
        <v>130.078434382155</v>
      </c>
      <c r="G39" s="37" t="n">
        <f aca="false">IFERROR(F39/E39-1,"")</f>
        <v>-0.0192325477101463</v>
      </c>
      <c r="H39" s="37" t="n">
        <f aca="false">IFERROR(F39/B39-1,"")</f>
        <v>0.291583971116312</v>
      </c>
    </row>
    <row r="42" customFormat="false" ht="15" hidden="false" customHeight="false" outlineLevel="0" collapsed="false">
      <c r="A42" s="3" t="s">
        <v>268</v>
      </c>
    </row>
    <row r="43" customFormat="false" ht="15" hidden="false" customHeight="false" outlineLevel="0" collapsed="false">
      <c r="A43" s="15" t="s">
        <v>242</v>
      </c>
      <c r="B43" s="16" t="s">
        <v>263</v>
      </c>
      <c r="C43" s="16" t="s">
        <v>264</v>
      </c>
      <c r="D43" s="16" t="s">
        <v>265</v>
      </c>
      <c r="E43" s="16" t="s">
        <v>266</v>
      </c>
    </row>
    <row r="44" customFormat="false" ht="15" hidden="false" customHeight="false" outlineLevel="0" collapsed="false">
      <c r="A44" s="11" t="s">
        <v>68</v>
      </c>
      <c r="B44" s="20" t="n">
        <f aca="false">IFERROR(C26/B26-1,"")</f>
        <v>0.0139886800840203</v>
      </c>
      <c r="C44" s="20" t="n">
        <f aca="false">IFERROR(D26/C26-1,"")</f>
        <v>0.117341843046714</v>
      </c>
      <c r="D44" s="20" t="n">
        <f aca="false">IFERROR(E26/D26-1,"")</f>
        <v>0.122899704418459</v>
      </c>
      <c r="E44" s="20" t="n">
        <f aca="false">IFERROR(F26/E26-1,"")</f>
        <v>-0.0163301077839193</v>
      </c>
    </row>
    <row r="45" customFormat="false" ht="15" hidden="false" customHeight="false" outlineLevel="0" collapsed="false">
      <c r="A45" s="11" t="s">
        <v>69</v>
      </c>
      <c r="B45" s="20" t="n">
        <f aca="false">IFERROR(C27/B27-1,"")</f>
        <v>0.0159031142294772</v>
      </c>
      <c r="C45" s="20" t="n">
        <f aca="false">IFERROR(D27/C27-1,"")</f>
        <v>0.114592914384435</v>
      </c>
      <c r="D45" s="20" t="n">
        <f aca="false">IFERROR(E27/D27-1,"")</f>
        <v>0.130809927402823</v>
      </c>
      <c r="E45" s="20" t="n">
        <f aca="false">IFERROR(F27/E27-1,"")</f>
        <v>-0.0237931473623673</v>
      </c>
    </row>
    <row r="46" customFormat="false" ht="15" hidden="false" customHeight="false" outlineLevel="0" collapsed="false">
      <c r="A46" s="11" t="s">
        <v>70</v>
      </c>
      <c r="B46" s="20" t="n">
        <f aca="false">IFERROR(C28/B28-1,"")</f>
        <v>0.00414309192358009</v>
      </c>
      <c r="C46" s="20" t="n">
        <f aca="false">IFERROR(D28/C28-1,"")</f>
        <v>0.111419830342974</v>
      </c>
      <c r="D46" s="20" t="n">
        <f aca="false">IFERROR(E28/D28-1,"")</f>
        <v>0.123254452890073</v>
      </c>
      <c r="E46" s="20" t="n">
        <f aca="false">IFERROR(F28/E28-1,"")</f>
        <v>-0.00798313609016277</v>
      </c>
    </row>
    <row r="47" customFormat="false" ht="15" hidden="false" customHeight="false" outlineLevel="0" collapsed="false">
      <c r="A47" s="11" t="s">
        <v>71</v>
      </c>
      <c r="B47" s="20" t="n">
        <f aca="false">IFERROR(C29/B29-1,"")</f>
        <v>-0.0123285271381363</v>
      </c>
      <c r="C47" s="20" t="n">
        <f aca="false">IFERROR(D29/C29-1,"")</f>
        <v>0.0957904330767949</v>
      </c>
      <c r="D47" s="20" t="n">
        <f aca="false">IFERROR(E29/D29-1,"")</f>
        <v>0.134162957528982</v>
      </c>
      <c r="E47" s="20" t="n">
        <f aca="false">IFERROR(F29/E29-1,"")</f>
        <v>0.00451690688705408</v>
      </c>
    </row>
    <row r="48" customFormat="false" ht="15" hidden="false" customHeight="false" outlineLevel="0" collapsed="false">
      <c r="A48" s="11" t="s">
        <v>72</v>
      </c>
      <c r="B48" s="20" t="n">
        <f aca="false">IFERROR(C30/B30-1,"")</f>
        <v>0.0959700889190154</v>
      </c>
      <c r="C48" s="20" t="n">
        <f aca="false">IFERROR(D30/C30-1,"")</f>
        <v>0.280985651889248</v>
      </c>
      <c r="D48" s="20" t="n">
        <f aca="false">IFERROR(E30/D30-1,"")</f>
        <v>0.133304365162742</v>
      </c>
      <c r="E48" s="20" t="n">
        <f aca="false">IFERROR(F30/E30-1,"")</f>
        <v>-0.0390847615315008</v>
      </c>
    </row>
    <row r="49" customFormat="false" ht="15" hidden="false" customHeight="false" outlineLevel="0" collapsed="false">
      <c r="A49" s="11" t="s">
        <v>73</v>
      </c>
      <c r="B49" s="20" t="n">
        <f aca="false">IFERROR(C31/B31-1,"")</f>
        <v>0.0851283222340711</v>
      </c>
      <c r="C49" s="20" t="n">
        <f aca="false">IFERROR(D31/C31-1,"")</f>
        <v>0.30179190234877</v>
      </c>
      <c r="D49" s="20" t="n">
        <f aca="false">IFERROR(E31/D31-1,"")</f>
        <v>0.135888345338363</v>
      </c>
      <c r="E49" s="20" t="n">
        <f aca="false">IFERROR(F31/E31-1,"")</f>
        <v>-0.0406818548446257</v>
      </c>
    </row>
    <row r="50" customFormat="false" ht="15" hidden="false" customHeight="false" outlineLevel="0" collapsed="false">
      <c r="A50" s="11" t="s">
        <v>230</v>
      </c>
      <c r="B50" s="20" t="n">
        <f aca="false">IFERROR(C32/B32-1,"")</f>
        <v>-0.0184746909765909</v>
      </c>
      <c r="C50" s="20" t="n">
        <f aca="false">IFERROR(D32/C32-1,"")</f>
        <v>0.091199684878458</v>
      </c>
      <c r="D50" s="20" t="n">
        <f aca="false">IFERROR(E32/D32-1,"")</f>
        <v>0.0842833278859483</v>
      </c>
      <c r="E50" s="20" t="n">
        <f aca="false">IFERROR(F32/E32-1,"")</f>
        <v>-0.00975223392414881</v>
      </c>
    </row>
    <row r="51" customFormat="false" ht="15" hidden="false" customHeight="false" outlineLevel="0" collapsed="false">
      <c r="A51" s="11" t="s">
        <v>231</v>
      </c>
      <c r="B51" s="20" t="n">
        <f aca="false">IFERROR(C33/B33-1,"")</f>
        <v>0.108973278977208</v>
      </c>
      <c r="C51" s="20" t="n">
        <f aca="false">IFERROR(D33/C33-1,"")</f>
        <v>0.152325760655657</v>
      </c>
      <c r="D51" s="20" t="n">
        <f aca="false">IFERROR(E33/D33-1,"")</f>
        <v>0.123177158021953</v>
      </c>
      <c r="E51" s="20" t="n">
        <f aca="false">IFERROR(F33/E33-1,"")</f>
        <v>-0.0333326882875014</v>
      </c>
    </row>
    <row r="52" customFormat="false" ht="15" hidden="false" customHeight="false" outlineLevel="0" collapsed="false">
      <c r="A52" s="11" t="s">
        <v>232</v>
      </c>
      <c r="B52" s="20" t="n">
        <f aca="false">IFERROR(C34/B34-1,"")</f>
        <v>0.24383026102594</v>
      </c>
      <c r="C52" s="20" t="n">
        <f aca="false">IFERROR(D34/C34-1,"")</f>
        <v>0.298968790201381</v>
      </c>
      <c r="D52" s="20" t="n">
        <f aca="false">IFERROR(E34/D34-1,"")</f>
        <v>-0.117354004132514</v>
      </c>
      <c r="E52" s="20" t="n">
        <f aca="false">IFERROR(F34/E34-1,"")</f>
        <v>-0.077210333400471</v>
      </c>
    </row>
    <row r="53" customFormat="false" ht="15" hidden="false" customHeight="false" outlineLevel="0" collapsed="false">
      <c r="A53" s="11" t="s">
        <v>142</v>
      </c>
      <c r="B53" s="20" t="n">
        <f aca="false">IFERROR(C35/B35-1,"")</f>
        <v>-0.0511144371031558</v>
      </c>
      <c r="C53" s="20" t="n">
        <f aca="false">IFERROR(D35/C35-1,"")</f>
        <v>0.100892970287701</v>
      </c>
      <c r="D53" s="20" t="n">
        <f aca="false">IFERROR(E35/D35-1,"")</f>
        <v>0.254376110087872</v>
      </c>
      <c r="E53" s="20" t="n">
        <f aca="false">IFERROR(F35/E35-1,"")</f>
        <v>-0.0294665403308284</v>
      </c>
    </row>
    <row r="54" customFormat="false" ht="15" hidden="false" customHeight="false" outlineLevel="0" collapsed="false">
      <c r="A54" s="11" t="s">
        <v>233</v>
      </c>
      <c r="B54" s="20" t="n">
        <f aca="false">IFERROR(C36/B36-1,"")</f>
        <v>-0.0520797760798176</v>
      </c>
      <c r="C54" s="20" t="n">
        <f aca="false">IFERROR(D36/C36-1,"")</f>
        <v>0.0154590875018179</v>
      </c>
      <c r="D54" s="20" t="n">
        <f aca="false">IFERROR(E36/D36-1,"")</f>
        <v>0.414896120001366</v>
      </c>
      <c r="E54" s="20" t="n">
        <f aca="false">IFERROR(F36/E36-1,"")</f>
        <v>0.0439225182274405</v>
      </c>
    </row>
    <row r="55" customFormat="false" ht="15" hidden="false" customHeight="false" outlineLevel="0" collapsed="false">
      <c r="A55" s="11" t="s">
        <v>234</v>
      </c>
      <c r="B55" s="20" t="n">
        <f aca="false">IFERROR(C37/B37-1,"")</f>
        <v>0.261142935885672</v>
      </c>
      <c r="C55" s="20" t="n">
        <f aca="false">IFERROR(D37/C37-1,"")</f>
        <v>0.549603704010094</v>
      </c>
      <c r="D55" s="20" t="n">
        <f aca="false">IFERROR(E37/D37-1,"")</f>
        <v>0.11893807618567</v>
      </c>
      <c r="E55" s="20" t="n">
        <f aca="false">IFERROR(F37/E37-1,"")</f>
        <v>-0.0814265860068596</v>
      </c>
    </row>
    <row r="56" customFormat="false" ht="15" hidden="false" customHeight="false" outlineLevel="0" collapsed="false">
      <c r="A56" s="11" t="s">
        <v>235</v>
      </c>
      <c r="B56" s="20" t="n">
        <f aca="false">IFERROR(C38/B38-1,"")</f>
        <v>0.0187583676409688</v>
      </c>
      <c r="C56" s="20" t="n">
        <f aca="false">IFERROR(D38/C38-1,"")</f>
        <v>0.101931051230203</v>
      </c>
      <c r="D56" s="20" t="n">
        <f aca="false">IFERROR(E38/D38-1,"")</f>
        <v>0.222167385832385</v>
      </c>
      <c r="E56" s="20" t="n">
        <f aca="false">IFERROR(F38/E38-1,"")</f>
        <v>-0.0472514349047719</v>
      </c>
    </row>
    <row r="57" customFormat="false" ht="15" hidden="false" customHeight="false" outlineLevel="0" collapsed="false">
      <c r="A57" s="34" t="s">
        <v>259</v>
      </c>
      <c r="B57" s="20" t="n">
        <f aca="false">IFERROR(C39/B39-1,"")</f>
        <v>0.0222408923274295</v>
      </c>
      <c r="C57" s="20" t="n">
        <f aca="false">IFERROR(D39/C39-1,"")</f>
        <v>0.142687386313611</v>
      </c>
      <c r="D57" s="20" t="n">
        <f aca="false">IFERROR(E39/D39-1,"")</f>
        <v>0.127394517319986</v>
      </c>
      <c r="E57" s="20" t="n">
        <f aca="false">IFERROR(F39/E39-1,"")</f>
        <v>-0.0192325477101463</v>
      </c>
    </row>
    <row r="60" customFormat="false" ht="15" hidden="false" customHeight="false" outlineLevel="0" collapsed="false">
      <c r="A60" s="3" t="s">
        <v>269</v>
      </c>
    </row>
    <row r="61" customFormat="false" ht="15" hidden="false" customHeight="false" outlineLevel="0" collapsed="false">
      <c r="A61" s="9" t="s">
        <v>270</v>
      </c>
    </row>
    <row r="62" customFormat="false" ht="15" hidden="false" customHeight="false" outlineLevel="0" collapsed="false">
      <c r="A62" s="15" t="s">
        <v>89</v>
      </c>
      <c r="B62" s="16" t="s">
        <v>262</v>
      </c>
      <c r="C62" s="16" t="s">
        <v>263</v>
      </c>
      <c r="D62" s="16" t="s">
        <v>264</v>
      </c>
      <c r="E62" s="16" t="s">
        <v>265</v>
      </c>
      <c r="F62" s="16" t="s">
        <v>271</v>
      </c>
      <c r="G62" s="16" t="s">
        <v>267</v>
      </c>
      <c r="H62" s="16" t="s">
        <v>107</v>
      </c>
    </row>
    <row r="63" customFormat="false" ht="15" hidden="false" customHeight="false" outlineLevel="0" collapsed="false">
      <c r="A63" s="17" t="s">
        <v>109</v>
      </c>
      <c r="B63" s="18"/>
      <c r="C63" s="18"/>
      <c r="D63" s="18"/>
      <c r="E63" s="18"/>
      <c r="F63" s="18"/>
      <c r="G63" s="18"/>
      <c r="H63" s="18"/>
    </row>
    <row r="64" customFormat="false" ht="15" hidden="false" customHeight="false" outlineLevel="0" collapsed="false">
      <c r="A64" s="11" t="s">
        <v>110</v>
      </c>
      <c r="B64" s="27" t="n">
        <f aca="false">AVERAGE('Commodity Indices'!F7:H7)</f>
        <v>100.228982662741</v>
      </c>
      <c r="C64" s="27" t="n">
        <f aca="false">AVERAGE('Commodity Indices'!I7:K7)</f>
        <v>96.2250572456657</v>
      </c>
      <c r="D64" s="27" t="n">
        <f aca="false">AVERAGE('Commodity Indices'!L7:N7)</f>
        <v>108.897612037946</v>
      </c>
      <c r="E64" s="27" t="n">
        <f aca="false">AVERAGE('Commodity Indices'!O7:Q7)</f>
        <v>118.85835786719</v>
      </c>
      <c r="F64" s="38" t="n">
        <f aca="false">AVERAGE('Commodity Indices'!R7:S7)</f>
        <v>120.151128557409</v>
      </c>
      <c r="G64" s="20" t="n">
        <f aca="false">IFERROR(F64/E64-1,"")</f>
        <v>0.0108765652951699</v>
      </c>
      <c r="H64" s="20" t="n">
        <f aca="false">IFERROR(F64/B64-1,"")</f>
        <v>0.198766318537859</v>
      </c>
    </row>
    <row r="65" customFormat="false" ht="15" hidden="false" customHeight="false" outlineLevel="0" collapsed="false">
      <c r="A65" s="11" t="s">
        <v>114</v>
      </c>
      <c r="B65" s="27" t="n">
        <f aca="false">AVERAGE('Commodity Indices'!F8:H8)</f>
        <v>100.354295837024</v>
      </c>
      <c r="C65" s="27" t="n">
        <f aca="false">AVERAGE('Commodity Indices'!I8:K8)</f>
        <v>97.6129317980514</v>
      </c>
      <c r="D65" s="27" t="n">
        <f aca="false">AVERAGE('Commodity Indices'!L8:N8)</f>
        <v>106.355181576616</v>
      </c>
      <c r="E65" s="27" t="n">
        <f aca="false">AVERAGE('Commodity Indices'!O8:Q8)</f>
        <v>116.888101564807</v>
      </c>
      <c r="F65" s="38" t="n">
        <f aca="false">AVERAGE('Commodity Indices'!R8:S8)</f>
        <v>115.832595217006</v>
      </c>
      <c r="G65" s="20" t="n">
        <f aca="false">IFERROR(F65/E65-1,"")</f>
        <v>-0.00903005809547874</v>
      </c>
      <c r="H65" s="20" t="n">
        <f aca="false">IFERROR(F65/B65-1,"")</f>
        <v>0.15423654015887</v>
      </c>
    </row>
    <row r="66" customFormat="false" ht="15" hidden="false" customHeight="false" outlineLevel="0" collapsed="false">
      <c r="A66" s="11" t="s">
        <v>115</v>
      </c>
      <c r="B66" s="27" t="n">
        <f aca="false">AVERAGE('Commodity Indices'!F9:H9)</f>
        <v>99.5967741935484</v>
      </c>
      <c r="C66" s="27" t="n">
        <f aca="false">AVERAGE('Commodity Indices'!I9:K9)</f>
        <v>97.4462365591398</v>
      </c>
      <c r="D66" s="27" t="n">
        <f aca="false">AVERAGE('Commodity Indices'!L9:N9)</f>
        <v>99.3548387096774</v>
      </c>
      <c r="E66" s="27" t="n">
        <f aca="false">AVERAGE('Commodity Indices'!O9:Q9)</f>
        <v>107.709677419355</v>
      </c>
      <c r="F66" s="38" t="n">
        <f aca="false">AVERAGE('Commodity Indices'!R9:S9)</f>
        <v>100.370967741935</v>
      </c>
      <c r="G66" s="20" t="n">
        <f aca="false">IFERROR(F66/E66-1,"")</f>
        <v>-0.0681341719077567</v>
      </c>
      <c r="H66" s="20" t="n">
        <f aca="false">IFERROR(F66/B66-1,"")</f>
        <v>0.00777327935222671</v>
      </c>
    </row>
    <row r="67" customFormat="false" ht="15" hidden="false" customHeight="false" outlineLevel="0" collapsed="false">
      <c r="A67" s="11" t="s">
        <v>116</v>
      </c>
      <c r="B67" s="27" t="n">
        <f aca="false">AVERAGE('Commodity Indices'!F10:H10)</f>
        <v>99.5901639344262</v>
      </c>
      <c r="C67" s="27" t="n">
        <f aca="false">AVERAGE('Commodity Indices'!I10:K10)</f>
        <v>97.4043715846995</v>
      </c>
      <c r="D67" s="27" t="n">
        <f aca="false">AVERAGE('Commodity Indices'!L10:N10)</f>
        <v>99.344262295082</v>
      </c>
      <c r="E67" s="27" t="n">
        <f aca="false">AVERAGE('Commodity Indices'!O10:Q10)</f>
        <v>104.344262295082</v>
      </c>
      <c r="F67" s="38" t="n">
        <f aca="false">AVERAGE('Commodity Indices'!R10:S10)</f>
        <v>96.8852459016393</v>
      </c>
      <c r="G67" s="20" t="n">
        <f aca="false">IFERROR(F67/E67-1,"")</f>
        <v>-0.0714846818538886</v>
      </c>
      <c r="H67" s="20" t="n">
        <f aca="false">IFERROR(F67/B67-1,"")</f>
        <v>-0.0271604938271606</v>
      </c>
    </row>
    <row r="68" customFormat="false" ht="15" hidden="false" customHeight="false" outlineLevel="0" collapsed="false">
      <c r="A68" s="11" t="s">
        <v>117</v>
      </c>
      <c r="B68" s="27" t="n">
        <f aca="false">AVERAGE('Commodity Indices'!F11:H11)</f>
        <v>101.417497231451</v>
      </c>
      <c r="C68" s="27" t="n">
        <f aca="false">AVERAGE('Commodity Indices'!I11:K11)</f>
        <v>103.167220376523</v>
      </c>
      <c r="D68" s="27" t="n">
        <f aca="false">AVERAGE('Commodity Indices'!L11:N11)</f>
        <v>113.193355481728</v>
      </c>
      <c r="E68" s="27" t="n">
        <f aca="false">AVERAGE('Commodity Indices'!O11:Q11)</f>
        <v>119.601328903654</v>
      </c>
      <c r="F68" s="38" t="n">
        <f aca="false">AVERAGE('Commodity Indices'!R11:S11)</f>
        <v>126.312292358804</v>
      </c>
      <c r="G68" s="20" t="n">
        <f aca="false">IFERROR(F68/E68-1,"")</f>
        <v>0.0561111111111112</v>
      </c>
      <c r="H68" s="20" t="n">
        <f aca="false">IFERROR(F68/B68-1,"")</f>
        <v>0.245468442891461</v>
      </c>
    </row>
    <row r="69" customFormat="false" ht="15" hidden="false" customHeight="false" outlineLevel="0" collapsed="false">
      <c r="A69" s="11" t="s">
        <v>118</v>
      </c>
      <c r="B69" s="27" t="n">
        <f aca="false">AVERAGE('Commodity Indices'!F12:H12)</f>
        <v>101.788785689714</v>
      </c>
      <c r="C69" s="27" t="n">
        <f aca="false">AVERAGE('Commodity Indices'!I12:K12)</f>
        <v>100.189198486412</v>
      </c>
      <c r="D69" s="27" t="n">
        <f aca="false">AVERAGE('Commodity Indices'!L12:N12)</f>
        <v>106.166150670795</v>
      </c>
      <c r="E69" s="27" t="n">
        <f aca="false">AVERAGE('Commodity Indices'!O12:Q12)</f>
        <v>117.281561747506</v>
      </c>
      <c r="F69" s="38" t="n">
        <f aca="false">AVERAGE('Commodity Indices'!R12:S12)</f>
        <v>115.067079463364</v>
      </c>
      <c r="G69" s="20" t="n">
        <f aca="false">IFERROR(F69/E69-1,"")</f>
        <v>-0.0188817598533456</v>
      </c>
      <c r="H69" s="20" t="n">
        <f aca="false">IFERROR(F69/B69-1,"")</f>
        <v>0.130449476174383</v>
      </c>
    </row>
    <row r="70" customFormat="false" ht="15" hidden="false" customHeight="false" outlineLevel="0" collapsed="false">
      <c r="A70" s="11" t="s">
        <v>119</v>
      </c>
      <c r="B70" s="27" t="n">
        <f aca="false">AVERAGE('Commodity Indices'!F13:H13)</f>
        <v>101.74365942029</v>
      </c>
      <c r="C70" s="27" t="n">
        <f aca="false">AVERAGE('Commodity Indices'!I13:K13)</f>
        <v>100.380434782609</v>
      </c>
      <c r="D70" s="27" t="n">
        <f aca="false">AVERAGE('Commodity Indices'!L13:N13)</f>
        <v>107.382246376812</v>
      </c>
      <c r="E70" s="27" t="n">
        <f aca="false">AVERAGE('Commodity Indices'!O13:Q13)</f>
        <v>119.365942028986</v>
      </c>
      <c r="F70" s="38" t="n">
        <f aca="false">AVERAGE('Commodity Indices'!R13:S13)</f>
        <v>117.595108695652</v>
      </c>
      <c r="G70" s="20" t="n">
        <f aca="false">IFERROR(F70/E70-1,"")</f>
        <v>-0.0148353316132949</v>
      </c>
      <c r="H70" s="20" t="n">
        <f aca="false">IFERROR(F70/B70-1,"")</f>
        <v>0.155797907856666</v>
      </c>
    </row>
    <row r="71" customFormat="false" ht="15" hidden="false" customHeight="false" outlineLevel="0" collapsed="false">
      <c r="A71" s="11" t="s">
        <v>120</v>
      </c>
      <c r="B71" s="27" t="n">
        <f aca="false">AVERAGE('Commodity Indices'!F14:H14)</f>
        <v>99.3530626290434</v>
      </c>
      <c r="C71" s="27" t="n">
        <f aca="false">AVERAGE('Commodity Indices'!I14:K14)</f>
        <v>93.4572149575591</v>
      </c>
      <c r="D71" s="27" t="n">
        <f aca="false">AVERAGE('Commodity Indices'!L14:N14)</f>
        <v>102.194998852948</v>
      </c>
      <c r="E71" s="27" t="n">
        <f aca="false">AVERAGE('Commodity Indices'!O14:Q14)</f>
        <v>109.850883230099</v>
      </c>
      <c r="F71" s="38" t="n">
        <f aca="false">AVERAGE('Commodity Indices'!R14:S14)</f>
        <v>101.933929800413</v>
      </c>
      <c r="G71" s="20" t="n">
        <f aca="false">IFERROR(F71/E71-1,"")</f>
        <v>-0.0720700025060563</v>
      </c>
      <c r="H71" s="20" t="n">
        <f aca="false">IFERROR(F71/B71-1,"")</f>
        <v>0.0259767248545304</v>
      </c>
    </row>
    <row r="72" customFormat="false" ht="15" hidden="false" customHeight="false" outlineLevel="0" collapsed="false">
      <c r="A72" s="17" t="s">
        <v>121</v>
      </c>
      <c r="B72" s="18"/>
      <c r="C72" s="18"/>
      <c r="D72" s="18"/>
      <c r="E72" s="18"/>
      <c r="F72" s="18"/>
      <c r="G72" s="18"/>
      <c r="H72" s="18"/>
    </row>
    <row r="73" customFormat="false" ht="15" hidden="false" customHeight="false" outlineLevel="0" collapsed="false">
      <c r="A73" s="11" t="s">
        <v>122</v>
      </c>
      <c r="B73" s="27" t="n">
        <f aca="false">AVERAGE('Commodity Indices'!F16:H16)</f>
        <v>104.913904147966</v>
      </c>
      <c r="C73" s="27" t="n">
        <f aca="false">AVERAGE('Commodity Indices'!I16:K16)</f>
        <v>115.957445749027</v>
      </c>
      <c r="D73" s="27" t="n">
        <f aca="false">AVERAGE('Commodity Indices'!L16:N16)</f>
        <v>139.201503273871</v>
      </c>
      <c r="E73" s="27" t="n">
        <f aca="false">AVERAGE('Commodity Indices'!O16:Q16)</f>
        <v>148.979236965814</v>
      </c>
      <c r="F73" s="38" t="n">
        <f aca="false">AVERAGE('Commodity Indices'!R16:S16)</f>
        <v>145.154714392505</v>
      </c>
      <c r="G73" s="20" t="n">
        <f aca="false">IFERROR(F73/E73-1,"")</f>
        <v>-0.0256715140391437</v>
      </c>
      <c r="H73" s="20" t="n">
        <f aca="false">IFERROR(F73/B73-1,"")</f>
        <v>0.383560316159669</v>
      </c>
    </row>
    <row r="74" customFormat="false" ht="15" hidden="false" customHeight="false" outlineLevel="0" collapsed="false">
      <c r="A74" s="11" t="s">
        <v>126</v>
      </c>
      <c r="B74" s="27" t="n">
        <f aca="false">AVERAGE('Commodity Indices'!F17:H17)</f>
        <v>104.485519478023</v>
      </c>
      <c r="C74" s="27" t="n">
        <f aca="false">AVERAGE('Commodity Indices'!I17:K17)</f>
        <v>110.391424334453</v>
      </c>
      <c r="D74" s="27" t="n">
        <f aca="false">AVERAGE('Commodity Indices'!L17:N17)</f>
        <v>111.079502983551</v>
      </c>
      <c r="E74" s="27" t="n">
        <f aca="false">AVERAGE('Commodity Indices'!O17:Q17)</f>
        <v>117.267706473104</v>
      </c>
      <c r="F74" s="38" t="n">
        <f aca="false">AVERAGE('Commodity Indices'!R17:S17)</f>
        <v>108.710679625222</v>
      </c>
      <c r="G74" s="20" t="n">
        <f aca="false">IFERROR(F74/E74-1,"")</f>
        <v>-0.0729700196690044</v>
      </c>
      <c r="H74" s="20" t="n">
        <f aca="false">IFERROR(F74/B74-1,"")</f>
        <v>0.0404377579621245</v>
      </c>
    </row>
    <row r="75" customFormat="false" ht="15" hidden="false" customHeight="false" outlineLevel="0" collapsed="false">
      <c r="A75" s="17" t="s">
        <v>127</v>
      </c>
      <c r="B75" s="18"/>
      <c r="C75" s="18"/>
      <c r="D75" s="18"/>
      <c r="E75" s="18"/>
      <c r="F75" s="18"/>
      <c r="G75" s="18"/>
      <c r="H75" s="18"/>
    </row>
    <row r="76" customFormat="false" ht="15" hidden="false" customHeight="false" outlineLevel="0" collapsed="false">
      <c r="A76" s="11" t="s">
        <v>128</v>
      </c>
      <c r="B76" s="27" t="n">
        <f aca="false">AVERAGE('Commodity Indices'!F19:H19)</f>
        <v>101.899328732071</v>
      </c>
      <c r="C76" s="27" t="n">
        <f aca="false">AVERAGE('Commodity Indices'!I19:K19)</f>
        <v>112.329502927375</v>
      </c>
      <c r="D76" s="27" t="n">
        <f aca="false">AVERAGE('Commodity Indices'!L19:N19)</f>
        <v>130.160152536139</v>
      </c>
      <c r="E76" s="27" t="n">
        <f aca="false">AVERAGE('Commodity Indices'!O19:Q19)</f>
        <v>150.890800840858</v>
      </c>
      <c r="F76" s="38" t="n">
        <f aca="false">AVERAGE('Commodity Indices'!R19:S19)</f>
        <v>136.501098962845</v>
      </c>
      <c r="G76" s="20" t="n">
        <f aca="false">IFERROR(F76/E76-1,"")</f>
        <v>-0.0953650043463563</v>
      </c>
      <c r="H76" s="20" t="n">
        <f aca="false">IFERROR(F76/B76-1,"")</f>
        <v>0.339568186182606</v>
      </c>
    </row>
    <row r="77" customFormat="false" ht="15" hidden="false" customHeight="false" outlineLevel="0" collapsed="false">
      <c r="A77" s="11" t="s">
        <v>130</v>
      </c>
      <c r="B77" s="27" t="n">
        <f aca="false">AVERAGE('Commodity Indices'!F20:H20)</f>
        <v>101.539142800391</v>
      </c>
      <c r="C77" s="27" t="n">
        <f aca="false">AVERAGE('Commodity Indices'!I20:K20)</f>
        <v>117.443828185579</v>
      </c>
      <c r="D77" s="27" t="n">
        <f aca="false">AVERAGE('Commodity Indices'!L20:N20)</f>
        <v>139.37576542551</v>
      </c>
      <c r="E77" s="27" t="n">
        <f aca="false">AVERAGE('Commodity Indices'!O20:Q20)</f>
        <v>149.74027752881</v>
      </c>
      <c r="F77" s="38" t="n">
        <f aca="false">AVERAGE('Commodity Indices'!R20:S20)</f>
        <v>158.157473884824</v>
      </c>
      <c r="G77" s="20" t="n">
        <f aca="false">IFERROR(F77/E77-1,"")</f>
        <v>0.0562119724560692</v>
      </c>
      <c r="H77" s="20" t="n">
        <f aca="false">IFERROR(F77/B77-1,"")</f>
        <v>0.557601034664389</v>
      </c>
    </row>
    <row r="78" customFormat="false" ht="15" hidden="false" customHeight="false" outlineLevel="0" collapsed="false">
      <c r="A78" s="11" t="s">
        <v>131</v>
      </c>
      <c r="B78" s="27" t="n">
        <f aca="false">AVERAGE('Commodity Indices'!F21:H21)</f>
        <v>99.851594618212</v>
      </c>
      <c r="C78" s="27" t="n">
        <f aca="false">AVERAGE('Commodity Indices'!I21:K21)</f>
        <v>102.163854622429</v>
      </c>
      <c r="D78" s="27" t="n">
        <f aca="false">AVERAGE('Commodity Indices'!L21:N21)</f>
        <v>102.66743105772</v>
      </c>
      <c r="E78" s="27" t="n">
        <f aca="false">AVERAGE('Commodity Indices'!O21:Q21)</f>
        <v>107.683823750949</v>
      </c>
      <c r="F78" s="38" t="n">
        <f aca="false">AVERAGE('Commodity Indices'!R21:S21)</f>
        <v>102.868655458919</v>
      </c>
      <c r="G78" s="20" t="n">
        <f aca="false">IFERROR(F78/E78-1,"")</f>
        <v>-0.0447157996837766</v>
      </c>
      <c r="H78" s="20" t="n">
        <f aca="false">IFERROR(F78/B78-1,"")</f>
        <v>0.0302154497606439</v>
      </c>
    </row>
    <row r="79" customFormat="false" ht="15" hidden="false" customHeight="false" outlineLevel="0" collapsed="false">
      <c r="A79" s="11" t="s">
        <v>132</v>
      </c>
      <c r="B79" s="27" t="n">
        <f aca="false">AVERAGE('Commodity Indices'!F22:H22)</f>
        <v>101.308986940426</v>
      </c>
      <c r="C79" s="27" t="n">
        <f aca="false">AVERAGE('Commodity Indices'!I22:K22)</f>
        <v>102.450720693706</v>
      </c>
      <c r="D79" s="27" t="n">
        <f aca="false">AVERAGE('Commodity Indices'!L22:N22)</f>
        <v>122.522894343654</v>
      </c>
      <c r="E79" s="27" t="n">
        <f aca="false">AVERAGE('Commodity Indices'!O22:Q22)</f>
        <v>132.810536753478</v>
      </c>
      <c r="F79" s="38" t="n">
        <f aca="false">AVERAGE('Commodity Indices'!R22:S22)</f>
        <v>123.418106940046</v>
      </c>
      <c r="G79" s="20" t="n">
        <f aca="false">IFERROR(F79/E79-1,"")</f>
        <v>-0.0707205169335775</v>
      </c>
      <c r="H79" s="20" t="n">
        <f aca="false">IFERROR(F79/B79-1,"")</f>
        <v>0.218234538389189</v>
      </c>
    </row>
    <row r="80" customFormat="false" ht="15" hidden="false" customHeight="false" outlineLevel="0" collapsed="false">
      <c r="A80" s="11" t="s">
        <v>133</v>
      </c>
      <c r="B80" s="27" t="n">
        <f aca="false">AVERAGE('Commodity Indices'!F23:H23)</f>
        <v>103.822719750641</v>
      </c>
      <c r="C80" s="27" t="n">
        <f aca="false">AVERAGE('Commodity Indices'!I23:K23)</f>
        <v>118.663932747381</v>
      </c>
      <c r="D80" s="27" t="n">
        <f aca="false">AVERAGE('Commodity Indices'!L23:N23)</f>
        <v>124.661395337062</v>
      </c>
      <c r="E80" s="27" t="n">
        <f aca="false">AVERAGE('Commodity Indices'!O23:Q23)</f>
        <v>137.951967347318</v>
      </c>
      <c r="F80" s="38" t="n">
        <f aca="false">AVERAGE('Commodity Indices'!R23:S23)</f>
        <v>150.225091347323</v>
      </c>
      <c r="G80" s="20" t="n">
        <f aca="false">IFERROR(F80/E80-1,"")</f>
        <v>0.0889666471309256</v>
      </c>
      <c r="H80" s="20" t="n">
        <f aca="false">IFERROR(F80/B80-1,"")</f>
        <v>0.446938509298644</v>
      </c>
    </row>
    <row r="81" customFormat="false" ht="15" hidden="false" customHeight="false" outlineLevel="0" collapsed="false">
      <c r="A81" s="17" t="s">
        <v>134</v>
      </c>
      <c r="B81" s="18"/>
      <c r="C81" s="18"/>
      <c r="D81" s="18"/>
      <c r="E81" s="18"/>
      <c r="F81" s="18"/>
      <c r="G81" s="18"/>
      <c r="H81" s="18"/>
    </row>
    <row r="82" customFormat="false" ht="15" hidden="false" customHeight="false" outlineLevel="0" collapsed="false">
      <c r="A82" s="11" t="s">
        <v>135</v>
      </c>
      <c r="B82" s="27" t="n">
        <f aca="false">AVERAGE('Commodity Indices'!F25:H25)</f>
        <v>100.994142411651</v>
      </c>
      <c r="C82" s="27" t="n">
        <f aca="false">AVERAGE('Commodity Indices'!I25:K25)</f>
        <v>125.071267610952</v>
      </c>
      <c r="D82" s="27" t="n">
        <f aca="false">AVERAGE('Commodity Indices'!L25:N25)</f>
        <v>168.51541971946</v>
      </c>
      <c r="E82" s="27" t="n">
        <f aca="false">AVERAGE('Commodity Indices'!O25:Q25)</f>
        <v>151.980733288367</v>
      </c>
      <c r="F82" s="38" t="n">
        <f aca="false">AVERAGE('Commodity Indices'!R25:S25)</f>
        <v>135.718717337466</v>
      </c>
      <c r="G82" s="20" t="n">
        <f aca="false">IFERROR(F82/E82-1,"")</f>
        <v>-0.107000509860982</v>
      </c>
      <c r="H82" s="20" t="n">
        <f aca="false">IFERROR(F82/B82-1,"")</f>
        <v>0.343827613133024</v>
      </c>
    </row>
    <row r="83" customFormat="false" ht="15" hidden="false" customHeight="false" outlineLevel="0" collapsed="false">
      <c r="A83" s="11" t="s">
        <v>138</v>
      </c>
      <c r="B83" s="27" t="n">
        <f aca="false">AVERAGE('Commodity Indices'!F26:H26)</f>
        <v>99.1527909962538</v>
      </c>
      <c r="C83" s="27" t="n">
        <f aca="false">AVERAGE('Commodity Indices'!I26:K26)</f>
        <v>126.885634243195</v>
      </c>
      <c r="D83" s="27" t="n">
        <f aca="false">AVERAGE('Commodity Indices'!L26:N26)</f>
        <v>151.825144176694</v>
      </c>
      <c r="E83" s="27" t="n">
        <f aca="false">AVERAGE('Commodity Indices'!O26:Q26)</f>
        <v>130.011227831497</v>
      </c>
      <c r="F83" s="38" t="n">
        <f aca="false">AVERAGE('Commodity Indices'!R26:S26)</f>
        <v>121.201358080309</v>
      </c>
      <c r="G83" s="20" t="n">
        <f aca="false">IFERROR(F83/E83-1,"")</f>
        <v>-0.0677623763588007</v>
      </c>
      <c r="H83" s="20" t="n">
        <f aca="false">IFERROR(F83/B83-1,"")</f>
        <v>0.222369606165586</v>
      </c>
    </row>
    <row r="84" customFormat="false" ht="15" hidden="false" customHeight="false" outlineLevel="0" collapsed="false">
      <c r="A84" s="11" t="s">
        <v>139</v>
      </c>
      <c r="B84" s="27" t="n">
        <f aca="false">AVERAGE('Commodity Indices'!F27:H27)</f>
        <v>115.782950568592</v>
      </c>
      <c r="C84" s="27" t="n">
        <f aca="false">AVERAGE('Commodity Indices'!I27:K27)</f>
        <v>137.998158768384</v>
      </c>
      <c r="D84" s="27" t="n">
        <f aca="false">AVERAGE('Commodity Indices'!L27:N27)</f>
        <v>193.142477521817</v>
      </c>
      <c r="E84" s="27" t="n">
        <f aca="false">AVERAGE('Commodity Indices'!O27:Q27)</f>
        <v>171.987144250575</v>
      </c>
      <c r="F84" s="38" t="n">
        <f aca="false">AVERAGE('Commodity Indices'!R27:S27)</f>
        <v>157.702644543479</v>
      </c>
      <c r="G84" s="20" t="n">
        <f aca="false">IFERROR(F84/E84-1,"")</f>
        <v>-0.0830556247057839</v>
      </c>
      <c r="H84" s="20" t="n">
        <f aca="false">IFERROR(F84/B84-1,"")</f>
        <v>0.362054117372427</v>
      </c>
    </row>
    <row r="85" customFormat="false" ht="15" hidden="false" customHeight="false" outlineLevel="0" collapsed="false">
      <c r="A85" s="17" t="s">
        <v>140</v>
      </c>
      <c r="B85" s="18"/>
      <c r="C85" s="18"/>
      <c r="D85" s="18"/>
      <c r="E85" s="18"/>
      <c r="F85" s="18"/>
      <c r="G85" s="18"/>
      <c r="H85" s="18"/>
    </row>
    <row r="86" customFormat="false" ht="15" hidden="false" customHeight="false" outlineLevel="0" collapsed="false">
      <c r="A86" s="11" t="s">
        <v>141</v>
      </c>
      <c r="B86" s="27" t="n">
        <f aca="false">AVERAGE('Commodity Indices'!F29:H29)</f>
        <v>99.9333333333333</v>
      </c>
      <c r="C86" s="27" t="n">
        <f aca="false">AVERAGE('Commodity Indices'!I29:K29)</f>
        <v>96.3</v>
      </c>
      <c r="D86" s="27" t="n">
        <f aca="false">AVERAGE('Commodity Indices'!L29:N29)</f>
        <v>110.3</v>
      </c>
      <c r="E86" s="27" t="n">
        <f aca="false">AVERAGE('Commodity Indices'!O29:Q29)</f>
        <v>133.466666666667</v>
      </c>
      <c r="F86" s="38" t="n">
        <f aca="false">AVERAGE('Commodity Indices'!R29:S29)</f>
        <v>132.95</v>
      </c>
      <c r="G86" s="20" t="n">
        <f aca="false">IFERROR(F86/E86-1,"")</f>
        <v>-0.00387112887112895</v>
      </c>
      <c r="H86" s="20" t="n">
        <f aca="false">IFERROR(F86/B86-1,"")</f>
        <v>0.330386924616411</v>
      </c>
    </row>
    <row r="87" customFormat="false" ht="15" hidden="false" customHeight="false" outlineLevel="0" collapsed="false">
      <c r="A87" s="11" t="s">
        <v>144</v>
      </c>
      <c r="B87" s="27" t="n">
        <f aca="false">AVERAGE('Commodity Indices'!F30:H30)</f>
        <v>98.9364109527042</v>
      </c>
      <c r="C87" s="27" t="n">
        <f aca="false">AVERAGE('Commodity Indices'!I30:K30)</f>
        <v>88.7983706720978</v>
      </c>
      <c r="D87" s="27" t="n">
        <f aca="false">AVERAGE('Commodity Indices'!L30:N30)</f>
        <v>96.7187146413216</v>
      </c>
      <c r="E87" s="27" t="n">
        <f aca="false">AVERAGE('Commodity Indices'!O30:Q30)</f>
        <v>130.300973070831</v>
      </c>
      <c r="F87" s="38" t="n">
        <f aca="false">AVERAGE('Commodity Indices'!R30:S30)</f>
        <v>121.384928716904</v>
      </c>
      <c r="G87" s="20" t="n">
        <f aca="false">IFERROR(F87/E87-1,"")</f>
        <v>-0.0684265369920111</v>
      </c>
      <c r="H87" s="20" t="n">
        <f aca="false">IFERROR(F87/B87-1,"")</f>
        <v>0.226898444647758</v>
      </c>
    </row>
    <row r="88" customFormat="false" ht="15" hidden="false" customHeight="false" outlineLevel="0" collapsed="false">
      <c r="A88" s="11" t="s">
        <v>145</v>
      </c>
      <c r="B88" s="27" t="n">
        <f aca="false">AVERAGE('Commodity Indices'!F31:H31)</f>
        <v>101.832867350109</v>
      </c>
      <c r="C88" s="27" t="n">
        <f aca="false">AVERAGE('Commodity Indices'!I31:K31)</f>
        <v>101.382416899658</v>
      </c>
      <c r="D88" s="27" t="n">
        <f aca="false">AVERAGE('Commodity Indices'!L31:N31)</f>
        <v>97.9807393600497</v>
      </c>
      <c r="E88" s="27" t="n">
        <f aca="false">AVERAGE('Commodity Indices'!O31:Q31)</f>
        <v>122.879776328052</v>
      </c>
      <c r="F88" s="38" t="n">
        <f aca="false">AVERAGE('Commodity Indices'!R31:S31)</f>
        <v>118.476234855545</v>
      </c>
      <c r="G88" s="20" t="n">
        <f aca="false">IFERROR(F88/E88-1,"")</f>
        <v>-0.0358361774744026</v>
      </c>
      <c r="H88" s="20" t="n">
        <f aca="false">IFERROR(F88/B88-1,"")</f>
        <v>0.163438071995119</v>
      </c>
    </row>
    <row r="89" customFormat="false" ht="15" hidden="false" customHeight="false" outlineLevel="0" collapsed="false">
      <c r="A89" s="17" t="s">
        <v>146</v>
      </c>
      <c r="B89" s="18"/>
      <c r="C89" s="18"/>
      <c r="D89" s="18"/>
      <c r="E89" s="18"/>
      <c r="F89" s="18"/>
      <c r="G89" s="18"/>
      <c r="H89" s="18"/>
    </row>
    <row r="90" customFormat="false" ht="15" hidden="false" customHeight="false" outlineLevel="0" collapsed="false">
      <c r="A90" s="11" t="s">
        <v>147</v>
      </c>
      <c r="B90" s="27" t="n">
        <f aca="false">AVERAGE('Commodity Indices'!F33:H33)</f>
        <v>104.495169165684</v>
      </c>
      <c r="C90" s="27" t="n">
        <f aca="false">AVERAGE('Commodity Indices'!I33:K33)</f>
        <v>91.9278411342855</v>
      </c>
      <c r="D90" s="27" t="n">
        <f aca="false">AVERAGE('Commodity Indices'!L33:N33)</f>
        <v>101.177273083144</v>
      </c>
      <c r="E90" s="27" t="n">
        <f aca="false">AVERAGE('Commodity Indices'!O33:Q33)</f>
        <v>177.598682293752</v>
      </c>
      <c r="F90" s="38" t="n">
        <f aca="false">AVERAGE('Commodity Indices'!R33:S33)</f>
        <v>101.13588253768</v>
      </c>
      <c r="G90" s="20" t="n">
        <f aca="false">IFERROR(F90/E90-1,"")</f>
        <v>-0.430536976786802</v>
      </c>
      <c r="H90" s="20" t="n">
        <f aca="false">IFERROR(F90/B90-1,"")</f>
        <v>-0.0321477696512237</v>
      </c>
    </row>
    <row r="91" customFormat="false" ht="15" hidden="false" customHeight="false" outlineLevel="0" collapsed="false">
      <c r="A91" s="17" t="s">
        <v>151</v>
      </c>
      <c r="B91" s="18"/>
      <c r="C91" s="18"/>
      <c r="D91" s="18"/>
      <c r="E91" s="18"/>
      <c r="F91" s="18"/>
      <c r="G91" s="18"/>
      <c r="H91" s="18"/>
    </row>
    <row r="92" customFormat="false" ht="15" hidden="false" customHeight="false" outlineLevel="0" collapsed="false">
      <c r="A92" s="11" t="s">
        <v>152</v>
      </c>
      <c r="B92" s="27" t="n">
        <f aca="false">AVERAGE('Commodity Indices'!F35:H35)</f>
        <v>95.2121329087459</v>
      </c>
      <c r="C92" s="27" t="n">
        <f aca="false">AVERAGE('Commodity Indices'!I35:K35)</f>
        <v>89.6008234423751</v>
      </c>
      <c r="D92" s="27" t="n">
        <f aca="false">AVERAGE('Commodity Indices'!L35:N35)</f>
        <v>99.9565762809997</v>
      </c>
      <c r="E92" s="27" t="n">
        <f aca="false">AVERAGE('Commodity Indices'!O35:Q35)</f>
        <v>122.146096690148</v>
      </c>
      <c r="F92" s="38" t="n">
        <f aca="false">AVERAGE('Commodity Indices'!R35:S35)</f>
        <v>133.865675962559</v>
      </c>
      <c r="G92" s="20" t="n">
        <f aca="false">IFERROR(F92/E92-1,"")</f>
        <v>0.0959472270500867</v>
      </c>
      <c r="H92" s="20" t="n">
        <f aca="false">IFERROR(F92/B92-1,"")</f>
        <v>0.405972872079863</v>
      </c>
    </row>
    <row r="93" customFormat="false" ht="15" hidden="false" customHeight="false" outlineLevel="0" collapsed="false">
      <c r="A93" s="11" t="s">
        <v>154</v>
      </c>
      <c r="B93" s="27" t="n">
        <f aca="false">AVERAGE('Commodity Indices'!F36:H36)</f>
        <v>97.0210301516632</v>
      </c>
      <c r="C93" s="27" t="n">
        <f aca="false">AVERAGE('Commodity Indices'!I36:K36)</f>
        <v>93.3253701089514</v>
      </c>
      <c r="D93" s="27" t="n">
        <f aca="false">AVERAGE('Commodity Indices'!L36:N36)</f>
        <v>85.1829731784124</v>
      </c>
      <c r="E93" s="27" t="n">
        <f aca="false">AVERAGE('Commodity Indices'!O36:Q36)</f>
        <v>141.406956962392</v>
      </c>
      <c r="F93" s="38" t="n">
        <f aca="false">AVERAGE('Commodity Indices'!R36:S36)</f>
        <v>135.226408947768</v>
      </c>
      <c r="G93" s="20" t="n">
        <f aca="false">IFERROR(F93/E93-1,"")</f>
        <v>-0.0437075243495066</v>
      </c>
      <c r="H93" s="20" t="n">
        <f aca="false">IFERROR(F93/B93-1,"")</f>
        <v>0.39378450977466</v>
      </c>
    </row>
    <row r="94" customFormat="false" ht="15" hidden="false" customHeight="false" outlineLevel="0" collapsed="false">
      <c r="A94" s="11" t="s">
        <v>155</v>
      </c>
      <c r="B94" s="27" t="n">
        <f aca="false">AVERAGE('Commodity Indices'!F37:H37)</f>
        <v>99.2409465487261</v>
      </c>
      <c r="C94" s="27" t="n">
        <f aca="false">AVERAGE('Commodity Indices'!I37:K37)</f>
        <v>96.5827474105995</v>
      </c>
      <c r="D94" s="27" t="n">
        <f aca="false">AVERAGE('Commodity Indices'!L37:N37)</f>
        <v>99.9833673546534</v>
      </c>
      <c r="E94" s="27" t="n">
        <f aca="false">AVERAGE('Commodity Indices'!O37:Q37)</f>
        <v>132.355031375217</v>
      </c>
      <c r="F94" s="38" t="n">
        <f aca="false">AVERAGE('Commodity Indices'!R37:S37)</f>
        <v>131.746427761397</v>
      </c>
      <c r="G94" s="20" t="n">
        <f aca="false">IFERROR(F94/E94-1,"")</f>
        <v>-0.00459826579689937</v>
      </c>
      <c r="H94" s="20" t="n">
        <f aca="false">IFERROR(F94/B94-1,"")</f>
        <v>0.32754102357046</v>
      </c>
    </row>
    <row r="95" customFormat="false" ht="15" hidden="false" customHeight="false" outlineLevel="0" collapsed="false">
      <c r="A95" s="11" t="s">
        <v>156</v>
      </c>
      <c r="B95" s="27" t="n">
        <f aca="false">AVERAGE('Commodity Indices'!F38:H38)</f>
        <v>94.8341441839894</v>
      </c>
      <c r="C95" s="27" t="n">
        <f aca="false">AVERAGE('Commodity Indices'!I38:K38)</f>
        <v>86.1005454813504</v>
      </c>
      <c r="D95" s="27" t="n">
        <f aca="false">AVERAGE('Commodity Indices'!L38:N38)</f>
        <v>82.1996166887808</v>
      </c>
      <c r="E95" s="27" t="n">
        <f aca="false">AVERAGE('Commodity Indices'!O38:Q38)</f>
        <v>120.967123691582</v>
      </c>
      <c r="F95" s="38" t="n">
        <f aca="false">AVERAGE('Commodity Indices'!R38:S38)</f>
        <v>138.084918177797</v>
      </c>
      <c r="G95" s="20" t="n">
        <f aca="false">IFERROR(F95/E95-1,"")</f>
        <v>0.141507824306537</v>
      </c>
      <c r="H95" s="20" t="n">
        <f aca="false">IFERROR(F95/B95-1,"")</f>
        <v>0.456067531013898</v>
      </c>
    </row>
    <row r="96" customFormat="false" ht="15" hidden="false" customHeight="false" outlineLevel="0" collapsed="false">
      <c r="A96" s="11" t="s">
        <v>157</v>
      </c>
      <c r="B96" s="27" t="n">
        <f aca="false">AVERAGE('Commodity Indices'!F39:H39)</f>
        <v>100.187668079014</v>
      </c>
      <c r="C96" s="27" t="n">
        <f aca="false">AVERAGE('Commodity Indices'!I39:K39)</f>
        <v>98.6843887244375</v>
      </c>
      <c r="D96" s="27" t="n">
        <f aca="false">AVERAGE('Commodity Indices'!L39:N39)</f>
        <v>90.6262696616171</v>
      </c>
      <c r="E96" s="27" t="n">
        <f aca="false">AVERAGE('Commodity Indices'!O39:Q39)</f>
        <v>166.130748544121</v>
      </c>
      <c r="F96" s="38" t="n">
        <f aca="false">AVERAGE('Commodity Indices'!R39:S39)</f>
        <v>157.641186371815</v>
      </c>
      <c r="G96" s="20" t="n">
        <f aca="false">IFERROR(F96/E96-1,"")</f>
        <v>-0.0511016909675316</v>
      </c>
      <c r="H96" s="20" t="n">
        <f aca="false">IFERROR(F96/B96-1,"")</f>
        <v>0.573458983469798</v>
      </c>
    </row>
    <row r="97" customFormat="false" ht="15" hidden="false" customHeight="false" outlineLevel="0" collapsed="false">
      <c r="A97" s="17" t="s">
        <v>158</v>
      </c>
      <c r="B97" s="18"/>
      <c r="C97" s="18"/>
      <c r="D97" s="18"/>
      <c r="E97" s="18"/>
      <c r="F97" s="18"/>
      <c r="G97" s="18"/>
      <c r="H97" s="18"/>
    </row>
    <row r="98" customFormat="false" ht="15" hidden="false" customHeight="false" outlineLevel="0" collapsed="false">
      <c r="A98" s="11" t="s">
        <v>159</v>
      </c>
      <c r="B98" s="27" t="n">
        <f aca="false">AVERAGE('Commodity Indices'!F41:H41)</f>
        <v>109.237090043655</v>
      </c>
      <c r="C98" s="27" t="n">
        <f aca="false">AVERAGE('Commodity Indices'!I41:K41)</f>
        <v>128.095428184563</v>
      </c>
      <c r="D98" s="27" t="n">
        <f aca="false">AVERAGE('Commodity Indices'!L41:N41)</f>
        <v>234.76881334326</v>
      </c>
      <c r="E98" s="27" t="n">
        <f aca="false">AVERAGE('Commodity Indices'!O41:Q41)</f>
        <v>274.11529760593</v>
      </c>
      <c r="F98" s="38" t="n">
        <f aca="false">AVERAGE('Commodity Indices'!R41:S41)</f>
        <v>256.204062059339</v>
      </c>
      <c r="G98" s="20" t="n">
        <f aca="false">IFERROR(F98/E98-1,"")</f>
        <v>-0.0653419772738869</v>
      </c>
      <c r="H98" s="20" t="n">
        <f aca="false">IFERROR(F98/B98-1,"")</f>
        <v>1.34539442562001</v>
      </c>
    </row>
    <row r="99" customFormat="false" ht="15" hidden="false" customHeight="false" outlineLevel="0" collapsed="false">
      <c r="A99" s="11" t="s">
        <v>162</v>
      </c>
      <c r="B99" s="27" t="n">
        <f aca="false">AVERAGE('Commodity Indices'!F42:H42)</f>
        <v>108.323667057679</v>
      </c>
      <c r="C99" s="27" t="n">
        <f aca="false">AVERAGE('Commodity Indices'!I42:K42)</f>
        <v>129.866627911502</v>
      </c>
      <c r="D99" s="27" t="n">
        <f aca="false">AVERAGE('Commodity Indices'!L42:N42)</f>
        <v>229.895277155124</v>
      </c>
      <c r="E99" s="27" t="n">
        <f aca="false">AVERAGE('Commodity Indices'!O42:Q42)</f>
        <v>263.217191555982</v>
      </c>
      <c r="F99" s="38" t="n">
        <f aca="false">AVERAGE('Commodity Indices'!R42:S42)</f>
        <v>245.432675865425</v>
      </c>
      <c r="G99" s="20" t="n">
        <f aca="false">IFERROR(F99/E99-1,"")</f>
        <v>-0.0675659351329797</v>
      </c>
      <c r="H99" s="20" t="n">
        <f aca="false">IFERROR(F99/B99-1,"")</f>
        <v>1.26573455766357</v>
      </c>
    </row>
    <row r="100" customFormat="false" ht="15" hidden="false" customHeight="false" outlineLevel="0" collapsed="false">
      <c r="A100" s="11" t="s">
        <v>163</v>
      </c>
      <c r="B100" s="27" t="n">
        <f aca="false">AVERAGE('Commodity Indices'!F43:H43)</f>
        <v>105.303813320545</v>
      </c>
      <c r="C100" s="27" t="n">
        <f aca="false">AVERAGE('Commodity Indices'!I43:K43)</f>
        <v>164.586914543627</v>
      </c>
      <c r="D100" s="27" t="n">
        <f aca="false">AVERAGE('Commodity Indices'!L43:N43)</f>
        <v>197.478282994613</v>
      </c>
      <c r="E100" s="27" t="n">
        <f aca="false">AVERAGE('Commodity Indices'!O43:Q43)</f>
        <v>200.150382286814</v>
      </c>
      <c r="F100" s="38" t="n">
        <f aca="false">AVERAGE('Commodity Indices'!R43:S43)</f>
        <v>175.257606651952</v>
      </c>
      <c r="G100" s="20" t="n">
        <f aca="false">IFERROR(F100/E100-1,"")</f>
        <v>-0.124370362676552</v>
      </c>
      <c r="H100" s="20" t="n">
        <f aca="false">IFERROR(F100/B100-1,"")</f>
        <v>0.664304464630051</v>
      </c>
    </row>
    <row r="101" customFormat="false" ht="15" hidden="false" customHeight="false" outlineLevel="0" collapsed="false">
      <c r="A101" s="11" t="s">
        <v>164</v>
      </c>
      <c r="B101" s="27" t="n">
        <f aca="false">AVERAGE('Commodity Indices'!F44:H44)</f>
        <v>107.957181992775</v>
      </c>
      <c r="C101" s="27" t="n">
        <f aca="false">AVERAGE('Commodity Indices'!I44:K44)</f>
        <v>167.512938913816</v>
      </c>
      <c r="D101" s="27" t="n">
        <f aca="false">AVERAGE('Commodity Indices'!L44:N44)</f>
        <v>191.966449126824</v>
      </c>
      <c r="E101" s="27" t="n">
        <f aca="false">AVERAGE('Commodity Indices'!O44:Q44)</f>
        <v>191.838055064643</v>
      </c>
      <c r="F101" s="38" t="n">
        <f aca="false">AVERAGE('Commodity Indices'!R44:S44)</f>
        <v>162.768268053839</v>
      </c>
      <c r="G101" s="20" t="n">
        <f aca="false">IFERROR(F101/E101-1,"")</f>
        <v>-0.151532953151598</v>
      </c>
      <c r="H101" s="20" t="n">
        <f aca="false">IFERROR(F101/B101-1,"")</f>
        <v>0.507711344899052</v>
      </c>
    </row>
    <row r="102" customFormat="false" ht="15" hidden="false" customHeight="false" outlineLevel="0" collapsed="false">
      <c r="A102" s="17" t="s">
        <v>165</v>
      </c>
      <c r="B102" s="18"/>
      <c r="C102" s="18"/>
      <c r="D102" s="18"/>
      <c r="E102" s="18"/>
      <c r="F102" s="18"/>
      <c r="G102" s="18"/>
      <c r="H102" s="18"/>
    </row>
    <row r="103" customFormat="false" ht="15" hidden="false" customHeight="false" outlineLevel="0" collapsed="false">
      <c r="A103" s="11" t="s">
        <v>166</v>
      </c>
      <c r="B103" s="27" t="n">
        <f aca="false">AVERAGE('Commodity Indices'!F46:H46)</f>
        <v>101.583268020621</v>
      </c>
      <c r="C103" s="27" t="n">
        <f aca="false">AVERAGE('Commodity Indices'!I46:K46)</f>
        <v>104.607012035583</v>
      </c>
      <c r="D103" s="27" t="n">
        <f aca="false">AVERAGE('Commodity Indices'!L46:N46)</f>
        <v>99.3406216828791</v>
      </c>
      <c r="E103" s="27" t="n">
        <f aca="false">AVERAGE('Commodity Indices'!O46:Q46)</f>
        <v>104.69923593933</v>
      </c>
      <c r="F103" s="38" t="n">
        <f aca="false">AVERAGE('Commodity Indices'!R46:S46)</f>
        <v>106.466485752414</v>
      </c>
      <c r="G103" s="20" t="n">
        <f aca="false">IFERROR(F103/E103-1,"")</f>
        <v>0.0168792999989809</v>
      </c>
      <c r="H103" s="20" t="n">
        <f aca="false">IFERROR(F103/B103-1,"")</f>
        <v>0.0480710832299882</v>
      </c>
    </row>
    <row r="104" customFormat="false" ht="15" hidden="false" customHeight="false" outlineLevel="0" collapsed="false">
      <c r="A104" s="17" t="s">
        <v>169</v>
      </c>
      <c r="B104" s="18"/>
      <c r="C104" s="18"/>
      <c r="D104" s="18"/>
      <c r="E104" s="18"/>
      <c r="F104" s="18"/>
      <c r="G104" s="18"/>
      <c r="H104" s="18"/>
    </row>
    <row r="105" customFormat="false" ht="15" hidden="false" customHeight="false" outlineLevel="0" collapsed="false">
      <c r="A105" s="11" t="s">
        <v>170</v>
      </c>
      <c r="B105" s="27" t="n">
        <f aca="false">AVERAGE('Commodity Indices'!F48:H48)</f>
        <v>98.7349164833721</v>
      </c>
      <c r="C105" s="27" t="n">
        <f aca="false">AVERAGE('Commodity Indices'!I48:K48)</f>
        <v>93.4306980893635</v>
      </c>
      <c r="D105" s="27" t="n">
        <f aca="false">AVERAGE('Commodity Indices'!L48:N48)</f>
        <v>120.613028923272</v>
      </c>
      <c r="E105" s="27" t="n">
        <f aca="false">AVERAGE('Commodity Indices'!O48:Q48)</f>
        <v>160.836217173494</v>
      </c>
      <c r="F105" s="38" t="n">
        <f aca="false">AVERAGE('Commodity Indices'!R48:S48)</f>
        <v>137.238155638903</v>
      </c>
      <c r="G105" s="20" t="n">
        <f aca="false">IFERROR(F105/E105-1,"")</f>
        <v>-0.146721067862069</v>
      </c>
      <c r="H105" s="20" t="n">
        <f aca="false">IFERROR(F105/B105-1,"")</f>
        <v>0.389965784414424</v>
      </c>
    </row>
    <row r="106" customFormat="false" ht="15" hidden="false" customHeight="false" outlineLevel="0" collapsed="false">
      <c r="A106" s="11" t="s">
        <v>173</v>
      </c>
      <c r="B106" s="27" t="n">
        <f aca="false">AVERAGE('Commodity Indices'!F49:H49)</f>
        <v>100</v>
      </c>
      <c r="C106" s="27" t="n">
        <f aca="false">AVERAGE('Commodity Indices'!I49:K49)</f>
        <v>100</v>
      </c>
      <c r="D106" s="27" t="n">
        <f aca="false">AVERAGE('Commodity Indices'!L49:N49)</f>
        <v>100</v>
      </c>
      <c r="E106" s="27" t="n">
        <f aca="false">AVERAGE('Commodity Indices'!O49:Q49)</f>
        <v>103.545179420666</v>
      </c>
      <c r="F106" s="38" t="n">
        <f aca="false">AVERAGE('Commodity Indices'!R49:S49)</f>
        <v>108.041504539559</v>
      </c>
      <c r="G106" s="20" t="n">
        <f aca="false">IFERROR(F106/E106-1,"")</f>
        <v>0.0434237995824633</v>
      </c>
      <c r="H106" s="20" t="n">
        <f aca="false">IFERROR(F106/B106-1,"")</f>
        <v>0.0804150453955901</v>
      </c>
    </row>
    <row r="107" customFormat="false" ht="15" hidden="false" customHeight="false" outlineLevel="0" collapsed="false">
      <c r="A107" s="11" t="s">
        <v>174</v>
      </c>
      <c r="B107" s="27" t="n">
        <f aca="false">AVERAGE('Commodity Indices'!F50:H50)</f>
        <v>100.208333333333</v>
      </c>
      <c r="C107" s="27" t="n">
        <f aca="false">AVERAGE('Commodity Indices'!I50:K50)</f>
        <v>100.625</v>
      </c>
      <c r="D107" s="27" t="n">
        <f aca="false">AVERAGE('Commodity Indices'!L50:N50)</f>
        <v>101.041666666667</v>
      </c>
      <c r="E107" s="27" t="n">
        <f aca="false">AVERAGE('Commodity Indices'!O50:Q50)</f>
        <v>104.541666666667</v>
      </c>
      <c r="F107" s="38" t="n">
        <f aca="false">AVERAGE('Commodity Indices'!R50:S50)</f>
        <v>107.5</v>
      </c>
      <c r="G107" s="20" t="n">
        <f aca="false">IFERROR(F107/E107-1,"")</f>
        <v>0.0282981267437226</v>
      </c>
      <c r="H107" s="20" t="n">
        <f aca="false">IFERROR(F107/B107-1,"")</f>
        <v>0.0727650727650728</v>
      </c>
    </row>
    <row r="108" customFormat="false" ht="15" hidden="false" customHeight="false" outlineLevel="0" collapsed="false">
      <c r="A108" s="11" t="s">
        <v>175</v>
      </c>
      <c r="B108" s="27" t="n">
        <f aca="false">AVERAGE('Commodity Indices'!F51:H51)</f>
        <v>100</v>
      </c>
      <c r="C108" s="27" t="n">
        <f aca="false">AVERAGE('Commodity Indices'!I51:K51)</f>
        <v>100</v>
      </c>
      <c r="D108" s="27" t="n">
        <f aca="false">AVERAGE('Commodity Indices'!L51:N51)</f>
        <v>100</v>
      </c>
      <c r="E108" s="27" t="n">
        <f aca="false">AVERAGE('Commodity Indices'!O51:Q51)</f>
        <v>103.417361037865</v>
      </c>
      <c r="F108" s="38" t="n">
        <f aca="false">AVERAGE('Commodity Indices'!R51:S51)</f>
        <v>107.710157156418</v>
      </c>
      <c r="G108" s="20" t="n">
        <f aca="false">IFERROR(F108/E108-1,"")</f>
        <v>0.0415094339622641</v>
      </c>
      <c r="H108" s="20" t="n">
        <f aca="false">IFERROR(F108/B108-1,"")</f>
        <v>0.077101571564181</v>
      </c>
    </row>
    <row r="109" customFormat="false" ht="15" hidden="false" customHeight="false" outlineLevel="0" collapsed="false">
      <c r="A109" s="11" t="s">
        <v>177</v>
      </c>
      <c r="B109" s="27" t="n">
        <f aca="false">AVERAGE('Commodity Indices'!F52:H52)</f>
        <v>100</v>
      </c>
      <c r="C109" s="27" t="n">
        <f aca="false">AVERAGE('Commodity Indices'!I52:K52)</f>
        <v>100</v>
      </c>
      <c r="D109" s="27" t="n">
        <f aca="false">AVERAGE('Commodity Indices'!L52:N52)</f>
        <v>100</v>
      </c>
      <c r="E109" s="27" t="n">
        <f aca="false">AVERAGE('Commodity Indices'!O52:Q52)</f>
        <v>103.777600425645</v>
      </c>
      <c r="F109" s="38" t="n">
        <f aca="false">AVERAGE('Commodity Indices'!R52:S52)</f>
        <v>108.53950518755</v>
      </c>
      <c r="G109" s="20" t="n">
        <f aca="false">IFERROR(F109/E109-1,"")</f>
        <v>0.0458856703409383</v>
      </c>
      <c r="H109" s="20" t="n">
        <f aca="false">IFERROR(F109/B109-1,"")</f>
        <v>0.0853950518754989</v>
      </c>
    </row>
    <row r="110" customFormat="false" ht="15" hidden="false" customHeight="false" outlineLevel="0" collapsed="false">
      <c r="A110" s="11" t="s">
        <v>178</v>
      </c>
      <c r="B110" s="27" t="n">
        <f aca="false">AVERAGE('Commodity Indices'!F53:H53)</f>
        <v>100</v>
      </c>
      <c r="C110" s="27" t="n">
        <f aca="false">AVERAGE('Commodity Indices'!I53:K53)</f>
        <v>100</v>
      </c>
      <c r="D110" s="27" t="n">
        <f aca="false">AVERAGE('Commodity Indices'!L53:N53)</f>
        <v>100</v>
      </c>
      <c r="E110" s="27" t="n">
        <f aca="false">AVERAGE('Commodity Indices'!O53:Q53)</f>
        <v>103.311108963829</v>
      </c>
      <c r="F110" s="38" t="n">
        <f aca="false">AVERAGE('Commodity Indices'!R53:S53)</f>
        <v>107.459657937965</v>
      </c>
      <c r="G110" s="20" t="n">
        <f aca="false">IFERROR(F110/E110-1,"")</f>
        <v>0.0401558846453622</v>
      </c>
      <c r="H110" s="20" t="n">
        <f aca="false">IFERROR(F110/B110-1,"")</f>
        <v>0.0745965793796501</v>
      </c>
    </row>
    <row r="111" customFormat="false" ht="15" hidden="false" customHeight="false" outlineLevel="0" collapsed="false">
      <c r="A111" s="11" t="s">
        <v>179</v>
      </c>
      <c r="B111" s="27" t="n">
        <f aca="false">AVERAGE('Commodity Indices'!F54:H54)</f>
        <v>100</v>
      </c>
      <c r="C111" s="27" t="n">
        <f aca="false">AVERAGE('Commodity Indices'!I54:K54)</f>
        <v>100</v>
      </c>
      <c r="D111" s="27" t="n">
        <f aca="false">AVERAGE('Commodity Indices'!L54:N54)</f>
        <v>100</v>
      </c>
      <c r="E111" s="27" t="n">
        <f aca="false">AVERAGE('Commodity Indices'!O54:Q54)</f>
        <v>103.847720623634</v>
      </c>
      <c r="F111" s="38" t="n">
        <f aca="false">AVERAGE('Commodity Indices'!R54:S54)</f>
        <v>108.687923564048</v>
      </c>
      <c r="G111" s="20" t="n">
        <f aca="false">IFERROR(F111/E111-1,"")</f>
        <v>0.04660865844091</v>
      </c>
      <c r="H111" s="20" t="n">
        <f aca="false">IFERROR(F111/B111-1,"")</f>
        <v>0.0868792356404844</v>
      </c>
    </row>
    <row r="112" customFormat="false" ht="15" hidden="false" customHeight="false" outlineLevel="0" collapsed="false">
      <c r="A112" s="11" t="s">
        <v>180</v>
      </c>
      <c r="B112" s="27" t="n">
        <f aca="false">AVERAGE('Commodity Indices'!F55:H55)</f>
        <v>100</v>
      </c>
      <c r="C112" s="27" t="n">
        <f aca="false">AVERAGE('Commodity Indices'!I55:K55)</f>
        <v>100</v>
      </c>
      <c r="D112" s="27" t="n">
        <f aca="false">AVERAGE('Commodity Indices'!L55:N55)</f>
        <v>100</v>
      </c>
      <c r="E112" s="27" t="n">
        <f aca="false">AVERAGE('Commodity Indices'!O55:Q55)</f>
        <v>100</v>
      </c>
      <c r="F112" s="38" t="n">
        <f aca="false">AVERAGE('Commodity Indices'!R55:S55)</f>
        <v>100</v>
      </c>
      <c r="G112" s="20" t="n">
        <f aca="false">IFERROR(F112/E112-1,"")</f>
        <v>0</v>
      </c>
      <c r="H112" s="20" t="n">
        <f aca="false">IFERROR(F112/B112-1,"")</f>
        <v>0</v>
      </c>
    </row>
    <row r="113" customFormat="false" ht="15" hidden="false" customHeight="false" outlineLevel="0" collapsed="false">
      <c r="A113" s="11" t="s">
        <v>181</v>
      </c>
      <c r="B113" s="27" t="n">
        <f aca="false">AVERAGE('Commodity Indices'!F56:H56)</f>
        <v>100</v>
      </c>
      <c r="C113" s="27" t="n">
        <f aca="false">AVERAGE('Commodity Indices'!I56:K56)</f>
        <v>100</v>
      </c>
      <c r="D113" s="27" t="n">
        <f aca="false">AVERAGE('Commodity Indices'!L56:N56)</f>
        <v>100</v>
      </c>
      <c r="E113" s="27" t="n">
        <f aca="false">AVERAGE('Commodity Indices'!O56:Q56)</f>
        <v>100</v>
      </c>
      <c r="F113" s="38" t="n">
        <f aca="false">AVERAGE('Commodity Indices'!R56:S56)</f>
        <v>100</v>
      </c>
      <c r="G113" s="20" t="n">
        <f aca="false">IFERROR(F113/E113-1,"")</f>
        <v>0</v>
      </c>
      <c r="H113" s="20" t="n">
        <f aca="false">IFERROR(F113/B113-1,"")</f>
        <v>0</v>
      </c>
    </row>
    <row r="114" customFormat="false" ht="15" hidden="false" customHeight="false" outlineLevel="0" collapsed="false">
      <c r="A114" s="11" t="s">
        <v>182</v>
      </c>
      <c r="B114" s="27" t="n">
        <f aca="false">AVERAGE('Commodity Indices'!F57:H57)</f>
        <v>100</v>
      </c>
      <c r="C114" s="27" t="n">
        <f aca="false">AVERAGE('Commodity Indices'!I57:K57)</f>
        <v>100</v>
      </c>
      <c r="D114" s="27" t="n">
        <f aca="false">AVERAGE('Commodity Indices'!L57:N57)</f>
        <v>100</v>
      </c>
      <c r="E114" s="27" t="n">
        <f aca="false">AVERAGE('Commodity Indices'!O57:Q57)</f>
        <v>100</v>
      </c>
      <c r="F114" s="38" t="n">
        <f aca="false">AVERAGE('Commodity Indices'!R57:S57)</f>
        <v>100</v>
      </c>
      <c r="G114" s="20" t="n">
        <f aca="false">IFERROR(F114/E114-1,"")</f>
        <v>0</v>
      </c>
      <c r="H114" s="20" t="n">
        <f aca="false">IFERROR(F114/B114-1,"")</f>
        <v>0</v>
      </c>
    </row>
    <row r="115" customFormat="false" ht="15" hidden="false" customHeight="false" outlineLevel="0" collapsed="false">
      <c r="A115" s="17" t="s">
        <v>183</v>
      </c>
      <c r="B115" s="18"/>
      <c r="C115" s="18"/>
      <c r="D115" s="18"/>
      <c r="E115" s="18"/>
      <c r="F115" s="18"/>
      <c r="G115" s="18"/>
      <c r="H115" s="18"/>
    </row>
    <row r="116" customFormat="false" ht="15" hidden="false" customHeight="false" outlineLevel="0" collapsed="false">
      <c r="A116" s="11" t="s">
        <v>184</v>
      </c>
      <c r="B116" s="27" t="n">
        <f aca="false">AVERAGE('Commodity Indices'!F59:H59)</f>
        <v>108.905992303463</v>
      </c>
      <c r="C116" s="27" t="n">
        <f aca="false">AVERAGE('Commodity Indices'!I59:K59)</f>
        <v>119.479567527946</v>
      </c>
      <c r="D116" s="27" t="n">
        <f aca="false">AVERAGE('Commodity Indices'!L59:N59)</f>
        <v>107.476635514019</v>
      </c>
      <c r="E116" s="27" t="n">
        <f aca="false">AVERAGE('Commodity Indices'!O59:Q59)</f>
        <v>151.493494594099</v>
      </c>
      <c r="F116" s="38" t="n">
        <f aca="false">AVERAGE('Commodity Indices'!R59:S59)</f>
        <v>152.281473336998</v>
      </c>
      <c r="G116" s="20" t="n">
        <f aca="false">IFERROR(F116/E116-1,"")</f>
        <v>0.00520140316922713</v>
      </c>
      <c r="H116" s="20" t="n">
        <f aca="false">IFERROR(F116/B116-1,"")</f>
        <v>0.398283695103483</v>
      </c>
    </row>
    <row r="117" customFormat="false" ht="15" hidden="false" customHeight="false" outlineLevel="0" collapsed="false">
      <c r="A117" s="17" t="s">
        <v>189</v>
      </c>
      <c r="B117" s="18"/>
      <c r="C117" s="18"/>
      <c r="D117" s="18"/>
      <c r="E117" s="18"/>
      <c r="F117" s="18"/>
      <c r="G117" s="18"/>
      <c r="H117" s="18"/>
    </row>
    <row r="118" customFormat="false" ht="15" hidden="false" customHeight="false" outlineLevel="0" collapsed="false">
      <c r="A118" s="11" t="s">
        <v>190</v>
      </c>
      <c r="B118" s="27" t="n">
        <f aca="false">AVERAGE('Commodity Indices'!F61:H61)</f>
        <v>101.387767654634</v>
      </c>
      <c r="C118" s="27" t="n">
        <f aca="false">AVERAGE('Commodity Indices'!I61:K61)</f>
        <v>103.421366239957</v>
      </c>
      <c r="D118" s="27" t="n">
        <f aca="false">AVERAGE('Commodity Indices'!L61:N61)</f>
        <v>106.062353438665</v>
      </c>
      <c r="E118" s="27" t="n">
        <f aca="false">AVERAGE('Commodity Indices'!O61:Q61)</f>
        <v>109.868142851651</v>
      </c>
      <c r="F118" s="38" t="n">
        <f aca="false">AVERAGE('Commodity Indices'!R61:S61)</f>
        <v>110.950294083727</v>
      </c>
      <c r="G118" s="20" t="n">
        <f aca="false">IFERROR(F118/E118-1,"")</f>
        <v>0.0098495451364593</v>
      </c>
      <c r="H118" s="20" t="n">
        <f aca="false">IFERROR(F118/B118-1,"")</f>
        <v>0.0943163721847276</v>
      </c>
    </row>
    <row r="119" customFormat="false" ht="15" hidden="false" customHeight="false" outlineLevel="0" collapsed="false">
      <c r="A119" s="11" t="s">
        <v>192</v>
      </c>
      <c r="B119" s="27" t="n">
        <f aca="false">AVERAGE('Commodity Indices'!F62:H62)</f>
        <v>101.138707581023</v>
      </c>
      <c r="C119" s="27" t="n">
        <f aca="false">AVERAGE('Commodity Indices'!I62:K62)</f>
        <v>101.771636856828</v>
      </c>
      <c r="D119" s="27" t="n">
        <f aca="false">AVERAGE('Commodity Indices'!L62:N62)</f>
        <v>105.84611906982</v>
      </c>
      <c r="E119" s="27" t="n">
        <f aca="false">AVERAGE('Commodity Indices'!O62:Q62)</f>
        <v>109.101183916815</v>
      </c>
      <c r="F119" s="38" t="n">
        <f aca="false">AVERAGE('Commodity Indices'!R62:S62)</f>
        <v>110.464524879207</v>
      </c>
      <c r="G119" s="20" t="n">
        <f aca="false">IFERROR(F119/E119-1,"")</f>
        <v>0.0124961151973482</v>
      </c>
      <c r="H119" s="20" t="n">
        <f aca="false">IFERROR(F119/B119-1,"")</f>
        <v>0.0922081913169806</v>
      </c>
    </row>
    <row r="120" customFormat="false" ht="15" hidden="false" customHeight="false" outlineLevel="0" collapsed="false">
      <c r="A120" s="11" t="s">
        <v>193</v>
      </c>
      <c r="B120" s="27" t="n">
        <f aca="false">AVERAGE('Commodity Indices'!F63:H63)</f>
        <v>101.370399373532</v>
      </c>
      <c r="C120" s="27" t="n">
        <f aca="false">AVERAGE('Commodity Indices'!I63:K63)</f>
        <v>102.978987209606</v>
      </c>
      <c r="D120" s="27" t="n">
        <f aca="false">AVERAGE('Commodity Indices'!L63:N63)</f>
        <v>106.241842860872</v>
      </c>
      <c r="E120" s="27" t="n">
        <f aca="false">AVERAGE('Commodity Indices'!O63:Q63)</f>
        <v>109.299138606108</v>
      </c>
      <c r="F120" s="38" t="n">
        <f aca="false">AVERAGE('Commodity Indices'!R63:S63)</f>
        <v>109.181675802663</v>
      </c>
      <c r="G120" s="20" t="n">
        <f aca="false">IFERROR(F120/E120-1,"")</f>
        <v>-0.00107469102633007</v>
      </c>
      <c r="H120" s="20" t="n">
        <f aca="false">IFERROR(F120/B120-1,"")</f>
        <v>0.0770567786790268</v>
      </c>
    </row>
    <row r="121" customFormat="false" ht="15" hidden="false" customHeight="false" outlineLevel="0" collapsed="false">
      <c r="A121" s="11" t="s">
        <v>194</v>
      </c>
      <c r="B121" s="27" t="n">
        <f aca="false">AVERAGE('Commodity Indices'!F64:H64)</f>
        <v>100.924836051791</v>
      </c>
      <c r="C121" s="27" t="n">
        <f aca="false">AVERAGE('Commodity Indices'!I64:K64)</f>
        <v>98.503447116193</v>
      </c>
      <c r="D121" s="27" t="n">
        <f aca="false">AVERAGE('Commodity Indices'!L64:N64)</f>
        <v>99.2377108906451</v>
      </c>
      <c r="E121" s="27" t="n">
        <f aca="false">AVERAGE('Commodity Indices'!O64:Q64)</f>
        <v>101.143433664032</v>
      </c>
      <c r="F121" s="38" t="n">
        <f aca="false">AVERAGE('Commodity Indices'!R64:S64)</f>
        <v>101.370438876745</v>
      </c>
      <c r="G121" s="20" t="n">
        <f aca="false">IFERROR(F121/E121-1,"")</f>
        <v>0.00224438902743152</v>
      </c>
      <c r="H121" s="20" t="n">
        <f aca="false">IFERROR(F121/B121-1,"")</f>
        <v>0.00441519493502174</v>
      </c>
    </row>
    <row r="122" customFormat="false" ht="15" hidden="false" customHeight="false" outlineLevel="0" collapsed="false">
      <c r="A122" s="11" t="s">
        <v>195</v>
      </c>
      <c r="B122" s="27" t="n">
        <f aca="false">AVERAGE('Commodity Indices'!F65:H65)</f>
        <v>101.663893510815</v>
      </c>
      <c r="C122" s="27" t="n">
        <f aca="false">AVERAGE('Commodity Indices'!I65:K65)</f>
        <v>105.435385468663</v>
      </c>
      <c r="D122" s="27" t="n">
        <f aca="false">AVERAGE('Commodity Indices'!L65:N65)</f>
        <v>110.621186910704</v>
      </c>
      <c r="E122" s="27" t="n">
        <f aca="false">AVERAGE('Commodity Indices'!O65:Q65)</f>
        <v>116.056572379368</v>
      </c>
      <c r="F122" s="38" t="n">
        <f aca="false">AVERAGE('Commodity Indices'!R65:S65)</f>
        <v>117.886855241265</v>
      </c>
      <c r="G122" s="20" t="n">
        <f aca="false">IFERROR(F122/E122-1,"")</f>
        <v>0.0157706093189964</v>
      </c>
      <c r="H122" s="20" t="n">
        <f aca="false">IFERROR(F122/B122-1,"")</f>
        <v>0.159574468085107</v>
      </c>
    </row>
    <row r="123" customFormat="false" ht="15" hidden="false" customHeight="false" outlineLevel="0" collapsed="false">
      <c r="A123" s="17" t="s">
        <v>196</v>
      </c>
      <c r="B123" s="18"/>
      <c r="C123" s="18"/>
      <c r="D123" s="18"/>
      <c r="E123" s="18"/>
      <c r="F123" s="18"/>
      <c r="G123" s="18"/>
      <c r="H123" s="18"/>
    </row>
    <row r="125" customFormat="false" ht="15" hidden="false" customHeight="false" outlineLevel="0" collapsed="false">
      <c r="A125" s="9" t="s">
        <v>272</v>
      </c>
    </row>
  </sheetData>
  <mergeCells count="1">
    <mergeCell ref="A1:N1"/>
  </mergeCells>
  <conditionalFormatting sqref="G26:H39">
    <cfRule type="colorScale" priority="2">
      <colorScale>
        <cfvo type="num" val="-0.15"/>
        <cfvo type="num" val="0"/>
        <cfvo type="num" val="0.15"/>
        <color rgb="FF63BE7B"/>
        <color rgb="FFFFEB84"/>
        <color rgb="FFF8696B"/>
      </colorScale>
    </cfRule>
  </conditionalFormatting>
  <conditionalFormatting sqref="B44:E57">
    <cfRule type="colorScale" priority="3">
      <colorScale>
        <cfvo type="num" val="-0.15"/>
        <cfvo type="num" val="0"/>
        <cfvo type="num" val="0.15"/>
        <color rgb="FF63BE7B"/>
        <color rgb="FFFFEB84"/>
        <color rgb="FFF8696B"/>
      </colorScale>
    </cfRule>
  </conditionalFormatting>
  <conditionalFormatting sqref="G63:H123">
    <cfRule type="colorScale" priority="4">
      <colorScale>
        <cfvo type="num" val="-0.2"/>
        <cfvo type="num" val="0"/>
        <cfvo type="num" val="0.2"/>
        <color rgb="FF63BE7B"/>
        <color rgb="FFFFEB84"/>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12" min="2" style="0" width="13"/>
  </cols>
  <sheetData>
    <row r="1" customFormat="false" ht="24" hidden="false" customHeight="true" outlineLevel="0" collapsed="false">
      <c r="A1" s="1" t="s">
        <v>273</v>
      </c>
      <c r="B1" s="1"/>
      <c r="C1" s="1"/>
      <c r="D1" s="1"/>
      <c r="E1" s="1"/>
      <c r="F1" s="1"/>
      <c r="G1" s="1"/>
      <c r="H1" s="1"/>
      <c r="I1" s="1"/>
      <c r="J1" s="1"/>
      <c r="K1" s="1"/>
      <c r="L1" s="1"/>
    </row>
    <row r="2" customFormat="false" ht="15" hidden="false" customHeight="false" outlineLevel="0" collapsed="false">
      <c r="A2" s="2" t="s">
        <v>274</v>
      </c>
    </row>
    <row r="4" customFormat="false" ht="15" hidden="false" customHeight="false" outlineLevel="0" collapsed="false">
      <c r="A4" s="3" t="s">
        <v>275</v>
      </c>
    </row>
    <row r="5" customFormat="false" ht="15" hidden="false" customHeight="false" outlineLevel="0" collapsed="false">
      <c r="A5" s="4" t="s">
        <v>276</v>
      </c>
      <c r="C5" s="39" t="n">
        <f aca="false">Assumptions!$C$34</f>
        <v>0.35</v>
      </c>
    </row>
    <row r="6" customFormat="false" ht="15" hidden="false" customHeight="false" outlineLevel="0" collapsed="false">
      <c r="A6" s="4" t="s">
        <v>277</v>
      </c>
      <c r="C6" s="39" t="n">
        <f aca="false">Assumptions!$C$35</f>
        <v>0.65</v>
      </c>
    </row>
    <row r="7" customFormat="false" ht="15" hidden="false" customHeight="false" outlineLevel="0" collapsed="false">
      <c r="A7" s="4" t="s">
        <v>278</v>
      </c>
      <c r="C7" s="39" t="n">
        <f aca="false">Assumptions!$C$37</f>
        <v>0.5</v>
      </c>
    </row>
    <row r="8" customFormat="false" ht="15" hidden="false" customHeight="false" outlineLevel="0" collapsed="false">
      <c r="A8" s="4" t="s">
        <v>279</v>
      </c>
      <c r="C8" s="39" t="n">
        <f aca="false">Assumptions!$C$12</f>
        <v>0</v>
      </c>
    </row>
    <row r="10" customFormat="false" ht="15" hidden="false" customHeight="false" outlineLevel="0" collapsed="false">
      <c r="A10" s="3" t="s">
        <v>280</v>
      </c>
    </row>
    <row r="11" customFormat="false" ht="15" hidden="false" customHeight="false" outlineLevel="0" collapsed="false">
      <c r="A11" s="9" t="s">
        <v>281</v>
      </c>
    </row>
    <row r="12" customFormat="false" ht="15" hidden="false" customHeight="false" outlineLevel="0" collapsed="false">
      <c r="A12" s="15" t="s">
        <v>282</v>
      </c>
      <c r="B12" s="16" t="s">
        <v>264</v>
      </c>
      <c r="C12" s="16" t="s">
        <v>265</v>
      </c>
      <c r="D12" s="16" t="s">
        <v>266</v>
      </c>
    </row>
    <row r="13" customFormat="false" ht="15" hidden="false" customHeight="false" outlineLevel="0" collapsed="false">
      <c r="A13" s="11" t="s">
        <v>68</v>
      </c>
      <c r="B13" s="20" t="n">
        <f aca="false">IFERROR(Assumptions!$C$34*'Quarterly Dashboard'!C44+Assumptions!$C$35*'Quarterly Dashboard'!B44,"")</f>
        <v>0.0501622871209632</v>
      </c>
      <c r="C13" s="20" t="n">
        <f aca="false">IFERROR(Assumptions!$C$34*'Quarterly Dashboard'!D44+Assumptions!$C$35*'Quarterly Dashboard'!C44,"")</f>
        <v>0.119287094526825</v>
      </c>
      <c r="D13" s="20" t="n">
        <f aca="false">IFERROR(Assumptions!$C$34*'Quarterly Dashboard'!E44+Assumptions!$C$35*'Quarterly Dashboard'!D44,"")</f>
        <v>0.0741692701476269</v>
      </c>
    </row>
    <row r="14" customFormat="false" ht="15" hidden="false" customHeight="false" outlineLevel="0" collapsed="false">
      <c r="A14" s="11" t="s">
        <v>69</v>
      </c>
      <c r="B14" s="20" t="n">
        <f aca="false">IFERROR(Assumptions!$C$34*'Quarterly Dashboard'!C45+Assumptions!$C$35*'Quarterly Dashboard'!B45,"")</f>
        <v>0.0504445442837124</v>
      </c>
      <c r="C14" s="20" t="n">
        <f aca="false">IFERROR(Assumptions!$C$34*'Quarterly Dashboard'!D45+Assumptions!$C$35*'Quarterly Dashboard'!C45,"")</f>
        <v>0.120268868940871</v>
      </c>
      <c r="D14" s="20" t="n">
        <f aca="false">IFERROR(Assumptions!$C$34*'Quarterly Dashboard'!E45+Assumptions!$C$35*'Quarterly Dashboard'!D45,"")</f>
        <v>0.0766988512350065</v>
      </c>
    </row>
    <row r="15" customFormat="false" ht="15" hidden="false" customHeight="false" outlineLevel="0" collapsed="false">
      <c r="A15" s="11" t="s">
        <v>70</v>
      </c>
      <c r="B15" s="20" t="n">
        <f aca="false">IFERROR(Assumptions!$C$34*'Quarterly Dashboard'!C46+Assumptions!$C$35*'Quarterly Dashboard'!B46,"")</f>
        <v>0.0416899503703678</v>
      </c>
      <c r="C15" s="20" t="n">
        <f aca="false">IFERROR(Assumptions!$C$34*'Quarterly Dashboard'!D46+Assumptions!$C$35*'Quarterly Dashboard'!C46,"")</f>
        <v>0.115561948234458</v>
      </c>
      <c r="D15" s="20" t="n">
        <f aca="false">IFERROR(Assumptions!$C$34*'Quarterly Dashboard'!E46+Assumptions!$C$35*'Quarterly Dashboard'!D46,"")</f>
        <v>0.0773212967469902</v>
      </c>
    </row>
    <row r="16" customFormat="false" ht="15" hidden="false" customHeight="false" outlineLevel="0" collapsed="false">
      <c r="A16" s="11" t="s">
        <v>71</v>
      </c>
      <c r="B16" s="20" t="n">
        <f aca="false">IFERROR(Assumptions!$C$34*'Quarterly Dashboard'!C47+Assumptions!$C$35*'Quarterly Dashboard'!B47,"")</f>
        <v>0.0255131089370897</v>
      </c>
      <c r="C16" s="20" t="n">
        <f aca="false">IFERROR(Assumptions!$C$34*'Quarterly Dashboard'!D47+Assumptions!$C$35*'Quarterly Dashboard'!C47,"")</f>
        <v>0.10922081663506</v>
      </c>
      <c r="D16" s="20" t="n">
        <f aca="false">IFERROR(Assumptions!$C$34*'Quarterly Dashboard'!E47+Assumptions!$C$35*'Quarterly Dashboard'!D47,"")</f>
        <v>0.0887868398043069</v>
      </c>
    </row>
    <row r="17" customFormat="false" ht="15" hidden="false" customHeight="false" outlineLevel="0" collapsed="false">
      <c r="A17" s="11" t="s">
        <v>72</v>
      </c>
      <c r="B17" s="20" t="n">
        <f aca="false">IFERROR(Assumptions!$C$34*'Quarterly Dashboard'!C48+Assumptions!$C$35*'Quarterly Dashboard'!B48,"")</f>
        <v>0.160725535958597</v>
      </c>
      <c r="C17" s="20" t="n">
        <f aca="false">IFERROR(Assumptions!$C$34*'Quarterly Dashboard'!D48+Assumptions!$C$35*'Quarterly Dashboard'!C48,"")</f>
        <v>0.229297201534971</v>
      </c>
      <c r="D17" s="20" t="n">
        <f aca="false">IFERROR(Assumptions!$C$34*'Quarterly Dashboard'!E48+Assumptions!$C$35*'Quarterly Dashboard'!D48,"")</f>
        <v>0.0729681708197568</v>
      </c>
    </row>
    <row r="18" customFormat="false" ht="15" hidden="false" customHeight="false" outlineLevel="0" collapsed="false">
      <c r="A18" s="11" t="s">
        <v>73</v>
      </c>
      <c r="B18" s="20" t="n">
        <f aca="false">IFERROR(Assumptions!$C$34*'Quarterly Dashboard'!C49+Assumptions!$C$35*'Quarterly Dashboard'!B49,"")</f>
        <v>0.160960575274216</v>
      </c>
      <c r="C18" s="20" t="n">
        <f aca="false">IFERROR(Assumptions!$C$34*'Quarterly Dashboard'!D49+Assumptions!$C$35*'Quarterly Dashboard'!C49,"")</f>
        <v>0.243725657395127</v>
      </c>
      <c r="D18" s="20" t="n">
        <f aca="false">IFERROR(Assumptions!$C$34*'Quarterly Dashboard'!E49+Assumptions!$C$35*'Quarterly Dashboard'!D49,"")</f>
        <v>0.0740887752743167</v>
      </c>
    </row>
    <row r="19" customFormat="false" ht="15" hidden="false" customHeight="false" outlineLevel="0" collapsed="false">
      <c r="A19" s="34" t="s">
        <v>259</v>
      </c>
      <c r="B19" s="20" t="n">
        <f aca="false">IFERROR(Assumptions!$C$34*'Quarterly Dashboard'!C57+Assumptions!$C$35*'Quarterly Dashboard'!B57,"")</f>
        <v>0.0643971652225932</v>
      </c>
      <c r="C19" s="20" t="n">
        <f aca="false">IFERROR(Assumptions!$C$34*'Quarterly Dashboard'!D57+Assumptions!$C$35*'Quarterly Dashboard'!C57,"")</f>
        <v>0.137334882165842</v>
      </c>
      <c r="D19" s="20" t="n">
        <f aca="false">IFERROR(Assumptions!$C$34*'Quarterly Dashboard'!E57+Assumptions!$C$35*'Quarterly Dashboard'!D57,"")</f>
        <v>0.0760750445594394</v>
      </c>
    </row>
    <row r="20" customFormat="false" ht="15" hidden="false" customHeight="false" outlineLevel="0" collapsed="false">
      <c r="A20" s="3" t="s">
        <v>283</v>
      </c>
    </row>
    <row r="21" customFormat="false" ht="15" hidden="false" customHeight="false" outlineLevel="0" collapsed="false">
      <c r="A21" s="9" t="s">
        <v>284</v>
      </c>
    </row>
    <row r="22" customFormat="false" ht="15" hidden="false" customHeight="false" outlineLevel="0" collapsed="false">
      <c r="A22" s="15" t="s">
        <v>282</v>
      </c>
      <c r="B22" s="16" t="s">
        <v>285</v>
      </c>
      <c r="C22" s="16" t="s">
        <v>264</v>
      </c>
      <c r="D22" s="16" t="s">
        <v>265</v>
      </c>
      <c r="E22" s="16" t="s">
        <v>266</v>
      </c>
    </row>
    <row r="23" customFormat="false" ht="15" hidden="false" customHeight="false" outlineLevel="0" collapsed="false">
      <c r="A23" s="11" t="s">
        <v>68</v>
      </c>
      <c r="B23" s="40" t="n">
        <f aca="false">Assumptions!$C$27</f>
        <v>0.22</v>
      </c>
      <c r="C23" s="41" t="n">
        <f aca="false">IFERROR(-B13*$B23*(1-Assumptions!$C$37)*10000,"")</f>
        <v>-55.1785158330595</v>
      </c>
      <c r="D23" s="41" t="n">
        <f aca="false">IFERROR(-C13*$B23*(1-Assumptions!$C$37)*10000,"")</f>
        <v>-131.215803979507</v>
      </c>
      <c r="E23" s="41" t="n">
        <f aca="false">IFERROR(-D13*$B23*(1-Assumptions!$C$37)*10000,"")</f>
        <v>-81.5861971623896</v>
      </c>
    </row>
    <row r="24" customFormat="false" ht="15" hidden="false" customHeight="false" outlineLevel="0" collapsed="false">
      <c r="A24" s="11" t="s">
        <v>69</v>
      </c>
      <c r="B24" s="40" t="n">
        <f aca="false">Assumptions!$C$28</f>
        <v>0.23</v>
      </c>
      <c r="C24" s="41" t="n">
        <f aca="false">IFERROR(-B14*$B24*(1-Assumptions!$C$37)*10000,"")</f>
        <v>-58.0112259262693</v>
      </c>
      <c r="D24" s="41" t="n">
        <f aca="false">IFERROR(-C14*$B24*(1-Assumptions!$C$37)*10000,"")</f>
        <v>-138.309199282001</v>
      </c>
      <c r="E24" s="41" t="n">
        <f aca="false">IFERROR(-D14*$B24*(1-Assumptions!$C$37)*10000,"")</f>
        <v>-88.2036789202575</v>
      </c>
    </row>
    <row r="25" customFormat="false" ht="15" hidden="false" customHeight="false" outlineLevel="0" collapsed="false">
      <c r="A25" s="11" t="s">
        <v>70</v>
      </c>
      <c r="B25" s="40" t="n">
        <f aca="false">Assumptions!$C$29</f>
        <v>0.25</v>
      </c>
      <c r="C25" s="41" t="n">
        <f aca="false">IFERROR(-B15*$B25*(1-Assumptions!$C$37)*10000,"")</f>
        <v>-52.1124379629598</v>
      </c>
      <c r="D25" s="41" t="n">
        <f aca="false">IFERROR(-C15*$B25*(1-Assumptions!$C$37)*10000,"")</f>
        <v>-144.452435293073</v>
      </c>
      <c r="E25" s="41" t="n">
        <f aca="false">IFERROR(-D15*$B25*(1-Assumptions!$C$37)*10000,"")</f>
        <v>-96.6516209337377</v>
      </c>
    </row>
    <row r="26" customFormat="false" ht="15" hidden="false" customHeight="false" outlineLevel="0" collapsed="false">
      <c r="A26" s="11" t="s">
        <v>71</v>
      </c>
      <c r="B26" s="40" t="n">
        <f aca="false">Assumptions!$C$30</f>
        <v>0.22</v>
      </c>
      <c r="C26" s="41" t="n">
        <f aca="false">IFERROR(-B16*$B26*(1-Assumptions!$C$37)*10000,"")</f>
        <v>-28.0644198307986</v>
      </c>
      <c r="D26" s="41" t="n">
        <f aca="false">IFERROR(-C16*$B26*(1-Assumptions!$C$37)*10000,"")</f>
        <v>-120.142898298566</v>
      </c>
      <c r="E26" s="41" t="n">
        <f aca="false">IFERROR(-D16*$B26*(1-Assumptions!$C$37)*10000,"")</f>
        <v>-97.6655237847376</v>
      </c>
    </row>
    <row r="27" customFormat="false" ht="15" hidden="false" customHeight="false" outlineLevel="0" collapsed="false">
      <c r="A27" s="11" t="s">
        <v>72</v>
      </c>
      <c r="B27" s="40" t="n">
        <f aca="false">Assumptions!$C$31</f>
        <v>0.3</v>
      </c>
      <c r="C27" s="41" t="n">
        <f aca="false">IFERROR(-B17*$B27*(1-Assumptions!$C$37)*10000,"")</f>
        <v>-241.088303937895</v>
      </c>
      <c r="D27" s="41" t="n">
        <f aca="false">IFERROR(-C17*$B27*(1-Assumptions!$C$37)*10000,"")</f>
        <v>-343.945802302456</v>
      </c>
      <c r="E27" s="41" t="n">
        <f aca="false">IFERROR(-D17*$B27*(1-Assumptions!$C$37)*10000,"")</f>
        <v>-109.452256229635</v>
      </c>
    </row>
    <row r="28" customFormat="false" ht="15" hidden="false" customHeight="false" outlineLevel="0" collapsed="false">
      <c r="A28" s="11" t="s">
        <v>73</v>
      </c>
      <c r="B28" s="40" t="n">
        <f aca="false">Assumptions!$C$32</f>
        <v>0.32</v>
      </c>
      <c r="C28" s="41" t="n">
        <f aca="false">IFERROR(-B18*$B28*(1-Assumptions!$C$37)*10000,"")</f>
        <v>-257.536920438745</v>
      </c>
      <c r="D28" s="41" t="n">
        <f aca="false">IFERROR(-C18*$B28*(1-Assumptions!$C$37)*10000,"")</f>
        <v>-389.961051832203</v>
      </c>
      <c r="E28" s="41" t="n">
        <f aca="false">IFERROR(-D18*$B28*(1-Assumptions!$C$37)*10000,"")</f>
        <v>-118.542040438907</v>
      </c>
    </row>
    <row r="31" customFormat="false" ht="15" hidden="false" customHeight="false" outlineLevel="0" collapsed="false">
      <c r="A31" s="3" t="s">
        <v>286</v>
      </c>
    </row>
    <row r="32" customFormat="false" ht="15" hidden="false" customHeight="false" outlineLevel="0" collapsed="false">
      <c r="A32" s="9" t="s">
        <v>287</v>
      </c>
    </row>
    <row r="33" customFormat="false" ht="15" hidden="false" customHeight="false" outlineLevel="0" collapsed="false">
      <c r="B33" s="8" t="s">
        <v>288</v>
      </c>
      <c r="E33" s="5" t="s">
        <v>289</v>
      </c>
      <c r="H33" s="5" t="s">
        <v>290</v>
      </c>
    </row>
    <row r="34" customFormat="false" ht="15" hidden="false" customHeight="false" outlineLevel="0" collapsed="false">
      <c r="A34" s="15" t="s">
        <v>282</v>
      </c>
      <c r="B34" s="16" t="s">
        <v>266</v>
      </c>
      <c r="C34" s="16" t="s">
        <v>267</v>
      </c>
      <c r="D34" s="16" t="s">
        <v>107</v>
      </c>
      <c r="E34" s="16" t="s">
        <v>266</v>
      </c>
      <c r="F34" s="16" t="s">
        <v>267</v>
      </c>
      <c r="G34" s="16" t="s">
        <v>107</v>
      </c>
      <c r="H34" s="16" t="s">
        <v>266</v>
      </c>
      <c r="I34" s="16" t="s">
        <v>267</v>
      </c>
      <c r="J34" s="16" t="s">
        <v>107</v>
      </c>
    </row>
    <row r="35" customFormat="false" ht="15" hidden="false" customHeight="false" outlineLevel="0" collapsed="false">
      <c r="A35" s="11" t="s">
        <v>68</v>
      </c>
      <c r="B35" s="27" t="n">
        <f aca="false">AVERAGE('Quarterly Dashboard'!B7,'Quarterly Dashboard'!C7,('Quarterly Dashboard'!C7)*(1+Assumptions!$C$13))</f>
        <v>126.64283667215</v>
      </c>
      <c r="C35" s="20" t="n">
        <f aca="false">IFERROR(B35/'Quarterly Dashboard'!E26-1,"")</f>
        <v>-0.00973269290121781</v>
      </c>
      <c r="D35" s="20" t="n">
        <f aca="false">IFERROR(B35/'Quarterly Dashboard'!B26-1,"")</f>
        <v>0.259831834953389</v>
      </c>
      <c r="E35" s="27" t="n">
        <f aca="false">AVERAGE('Quarterly Dashboard'!B7,'Quarterly Dashboard'!C7,('Quarterly Dashboard'!C7)*(1+Assumptions!$C$12))</f>
        <v>125.799109600218</v>
      </c>
      <c r="F35" s="20" t="n">
        <f aca="false">IFERROR(E35/'Quarterly Dashboard'!E26-1,"")</f>
        <v>-0.0163301077839193</v>
      </c>
      <c r="G35" s="20" t="n">
        <f aca="false">IFERROR(E35/'Quarterly Dashboard'!B26-1,"")</f>
        <v>0.251438512021247</v>
      </c>
      <c r="H35" s="27" t="n">
        <f aca="false">AVERAGE('Quarterly Dashboard'!B7,'Quarterly Dashboard'!C7,('Quarterly Dashboard'!C7)*(1+Assumptions!$C$14))</f>
        <v>124.955382528286</v>
      </c>
      <c r="I35" s="20" t="n">
        <f aca="false">IFERROR(H35/'Quarterly Dashboard'!E26-1,"")</f>
        <v>-0.0229275226666206</v>
      </c>
      <c r="J35" s="20" t="n">
        <f aca="false">IFERROR(H35/'Quarterly Dashboard'!B26-1,"")</f>
        <v>0.243045189089105</v>
      </c>
    </row>
    <row r="36" customFormat="false" ht="15" hidden="false" customHeight="false" outlineLevel="0" collapsed="false">
      <c r="A36" s="11" t="s">
        <v>69</v>
      </c>
      <c r="B36" s="27" t="n">
        <f aca="false">AVERAGE('Quarterly Dashboard'!B8,'Quarterly Dashboard'!C8,('Quarterly Dashboard'!C8)*(1+Assumptions!$C$13))</f>
        <v>126.444725220997</v>
      </c>
      <c r="C36" s="20" t="n">
        <f aca="false">IFERROR(B36/'Quarterly Dashboard'!E27-1,"")</f>
        <v>-0.0172485080284491</v>
      </c>
      <c r="D36" s="20" t="n">
        <f aca="false">IFERROR(B36/'Quarterly Dashboard'!B27-1,"")</f>
        <v>0.258351276011778</v>
      </c>
      <c r="E36" s="27" t="n">
        <f aca="false">AVERAGE('Quarterly Dashboard'!B8,'Quarterly Dashboard'!C8,('Quarterly Dashboard'!C8)*(1+Assumptions!$C$12))</f>
        <v>125.602665830594</v>
      </c>
      <c r="F36" s="20" t="n">
        <f aca="false">IFERROR(E36/'Quarterly Dashboard'!E27-1,"")</f>
        <v>-0.0237931473623673</v>
      </c>
      <c r="G36" s="20" t="n">
        <f aca="false">IFERROR(E36/'Quarterly Dashboard'!B27-1,"")</f>
        <v>0.249971278297044</v>
      </c>
      <c r="H36" s="27" t="n">
        <f aca="false">AVERAGE('Quarterly Dashboard'!B8,'Quarterly Dashboard'!C8,('Quarterly Dashboard'!C8)*(1+Assumptions!$C$14))</f>
        <v>124.76060644019</v>
      </c>
      <c r="I36" s="20" t="n">
        <f aca="false">IFERROR(H36/'Quarterly Dashboard'!E27-1,"")</f>
        <v>-0.0303377866962854</v>
      </c>
      <c r="J36" s="20" t="n">
        <f aca="false">IFERROR(H36/'Quarterly Dashboard'!B27-1,"")</f>
        <v>0.241591280582311</v>
      </c>
    </row>
    <row r="37" customFormat="false" ht="15" hidden="false" customHeight="false" outlineLevel="0" collapsed="false">
      <c r="A37" s="11" t="s">
        <v>70</v>
      </c>
      <c r="B37" s="27" t="n">
        <f aca="false">AVERAGE('Quarterly Dashboard'!B9,'Quarterly Dashboard'!C9,('Quarterly Dashboard'!C9)*(1+Assumptions!$C$13))</f>
        <v>125.383402181221</v>
      </c>
      <c r="C37" s="20" t="n">
        <f aca="false">IFERROR(B37/'Quarterly Dashboard'!E28-1,"")</f>
        <v>-0.0013315209764706</v>
      </c>
      <c r="D37" s="20" t="n">
        <f aca="false">IFERROR(B37/'Quarterly Dashboard'!B28-1,"")</f>
        <v>0.251910372102506</v>
      </c>
      <c r="E37" s="27" t="n">
        <f aca="false">AVERAGE('Quarterly Dashboard'!B9,'Quarterly Dashboard'!C9,('Quarterly Dashboard'!C9)*(1+Assumptions!$C$12))</f>
        <v>124.548288076318</v>
      </c>
      <c r="F37" s="20" t="n">
        <f aca="false">IFERROR(E37/'Quarterly Dashboard'!E28-1,"")</f>
        <v>-0.00798313609016277</v>
      </c>
      <c r="G37" s="20" t="n">
        <f aca="false">IFERROR(E37/'Quarterly Dashboard'!B28-1,"")</f>
        <v>0.243572043490986</v>
      </c>
      <c r="H37" s="27" t="n">
        <f aca="false">AVERAGE('Quarterly Dashboard'!B9,'Quarterly Dashboard'!C9,('Quarterly Dashboard'!C9)*(1+Assumptions!$C$14))</f>
        <v>123.713173971415</v>
      </c>
      <c r="I37" s="20" t="n">
        <f aca="false">IFERROR(H37/'Quarterly Dashboard'!E28-1,"")</f>
        <v>-0.0146347512038548</v>
      </c>
      <c r="J37" s="20" t="n">
        <f aca="false">IFERROR(H37/'Quarterly Dashboard'!B28-1,"")</f>
        <v>0.235233714879466</v>
      </c>
    </row>
    <row r="38" customFormat="false" ht="15" hidden="false" customHeight="false" outlineLevel="0" collapsed="false">
      <c r="A38" s="11" t="s">
        <v>71</v>
      </c>
      <c r="B38" s="27" t="n">
        <f aca="false">AVERAGE('Quarterly Dashboard'!B10,'Quarterly Dashboard'!C10,('Quarterly Dashboard'!C10)*(1+Assumptions!$C$13))</f>
        <v>123.837180926524</v>
      </c>
      <c r="C38" s="20" t="n">
        <f aca="false">IFERROR(B38/'Quarterly Dashboard'!E29-1,"")</f>
        <v>0.0112485309635153</v>
      </c>
      <c r="D38" s="20" t="n">
        <f aca="false">IFERROR(B38/'Quarterly Dashboard'!B29-1,"")</f>
        <v>0.241290344376823</v>
      </c>
      <c r="E38" s="27" t="n">
        <f aca="false">AVERAGE('Quarterly Dashboard'!B10,'Quarterly Dashboard'!C10,('Quarterly Dashboard'!C10)*(1+Assumptions!$C$12))</f>
        <v>123.012828333506</v>
      </c>
      <c r="F38" s="20" t="n">
        <f aca="false">IFERROR(E38/'Quarterly Dashboard'!E29-1,"")</f>
        <v>0.00451690688705408</v>
      </c>
      <c r="G38" s="20" t="n">
        <f aca="false">IFERROR(E38/'Quarterly Dashboard'!B29-1,"")</f>
        <v>0.233027390501256</v>
      </c>
      <c r="H38" s="27" t="n">
        <f aca="false">AVERAGE('Quarterly Dashboard'!B10,'Quarterly Dashboard'!C10,('Quarterly Dashboard'!C10)*(1+Assumptions!$C$14))</f>
        <v>122.188475740487</v>
      </c>
      <c r="I38" s="20" t="n">
        <f aca="false">IFERROR(H38/'Quarterly Dashboard'!E29-1,"")</f>
        <v>-0.00221471718940736</v>
      </c>
      <c r="J38" s="20" t="n">
        <f aca="false">IFERROR(H38/'Quarterly Dashboard'!B29-1,"")</f>
        <v>0.224764436625689</v>
      </c>
    </row>
    <row r="39" customFormat="false" ht="15" hidden="false" customHeight="false" outlineLevel="0" collapsed="false">
      <c r="A39" s="11" t="s">
        <v>72</v>
      </c>
      <c r="B39" s="27" t="n">
        <f aca="false">AVERAGE('Quarterly Dashboard'!B11,'Quarterly Dashboard'!C11,('Quarterly Dashboard'!C11)*(1+Assumptions!$C$13))</f>
        <v>158.019999423507</v>
      </c>
      <c r="C39" s="20" t="n">
        <f aca="false">IFERROR(B39/'Quarterly Dashboard'!E30-1,"")</f>
        <v>-0.0326753833089908</v>
      </c>
      <c r="D39" s="20" t="n">
        <f aca="false">IFERROR(B39/'Quarterly Dashboard'!B30-1,"")</f>
        <v>0.539082033246558</v>
      </c>
      <c r="E39" s="27" t="n">
        <f aca="false">AVERAGE('Quarterly Dashboard'!B11,'Quarterly Dashboard'!C11,('Quarterly Dashboard'!C11)*(1+Assumptions!$C$12))</f>
        <v>156.972977642452</v>
      </c>
      <c r="F39" s="20" t="n">
        <f aca="false">IFERROR(E39/'Quarterly Dashboard'!E30-1,"")</f>
        <v>-0.0390847615315008</v>
      </c>
      <c r="G39" s="20" t="n">
        <f aca="false">IFERROR(E39/'Quarterly Dashboard'!B30-1,"")</f>
        <v>0.528884258170502</v>
      </c>
      <c r="H39" s="27" t="n">
        <f aca="false">AVERAGE('Quarterly Dashboard'!B11,'Quarterly Dashboard'!C11,('Quarterly Dashboard'!C11)*(1+Assumptions!$C$14))</f>
        <v>155.925955861398</v>
      </c>
      <c r="I39" s="20" t="n">
        <f aca="false">IFERROR(H39/'Quarterly Dashboard'!E30-1,"")</f>
        <v>-0.0454941397540108</v>
      </c>
      <c r="J39" s="20" t="n">
        <f aca="false">IFERROR(H39/'Quarterly Dashboard'!B30-1,"")</f>
        <v>0.518686483094446</v>
      </c>
    </row>
    <row r="40" customFormat="false" ht="15" hidden="false" customHeight="false" outlineLevel="0" collapsed="false">
      <c r="A40" s="11" t="s">
        <v>73</v>
      </c>
      <c r="B40" s="27" t="n">
        <f aca="false">AVERAGE('Quarterly Dashboard'!B12,'Quarterly Dashboard'!C12,('Quarterly Dashboard'!C12)*(1+Assumptions!$C$13))</f>
        <v>159.124118466671</v>
      </c>
      <c r="C40" s="20" t="n">
        <f aca="false">IFERROR(B40/'Quarterly Dashboard'!E31-1,"")</f>
        <v>-0.0342825993993148</v>
      </c>
      <c r="D40" s="20" t="n">
        <f aca="false">IFERROR(B40/'Quarterly Dashboard'!B31-1,"")</f>
        <v>0.549559885091768</v>
      </c>
      <c r="E40" s="27" t="n">
        <f aca="false">AVERAGE('Quarterly Dashboard'!B12,'Quarterly Dashboard'!C12,('Quarterly Dashboard'!C12)*(1+Assumptions!$C$12))</f>
        <v>158.069694179664</v>
      </c>
      <c r="F40" s="20" t="n">
        <f aca="false">IFERROR(E40/'Quarterly Dashboard'!E31-1,"")</f>
        <v>-0.0406818548446257</v>
      </c>
      <c r="G40" s="20" t="n">
        <f aca="false">IFERROR(E40/'Quarterly Dashboard'!B31-1,"")</f>
        <v>0.539291840292802</v>
      </c>
      <c r="H40" s="27" t="n">
        <f aca="false">AVERAGE('Quarterly Dashboard'!B12,'Quarterly Dashboard'!C12,('Quarterly Dashboard'!C12)*(1+Assumptions!$C$14))</f>
        <v>157.015269892658</v>
      </c>
      <c r="I40" s="20" t="n">
        <f aca="false">IFERROR(H40/'Quarterly Dashboard'!E31-1,"")</f>
        <v>-0.0470811102899367</v>
      </c>
      <c r="J40" s="20" t="n">
        <f aca="false">IFERROR(H40/'Quarterly Dashboard'!B31-1,"")</f>
        <v>0.529023795493836</v>
      </c>
    </row>
    <row r="41" customFormat="false" ht="15" hidden="false" customHeight="false" outlineLevel="0" collapsed="false">
      <c r="A41" s="34" t="s">
        <v>259</v>
      </c>
      <c r="B41" s="27" t="n">
        <f aca="false">AVERAGE('Quarterly Dashboard'!B20,'Quarterly Dashboard'!C20,('Quarterly Dashboard'!C20)*(1+Assumptions!$C$13))</f>
        <v>130.949835517697</v>
      </c>
      <c r="C41" s="20" t="n">
        <f aca="false">IFERROR(B41/'Quarterly Dashboard'!E39-1,"")</f>
        <v>-0.0126623435430485</v>
      </c>
      <c r="D41" s="20" t="n">
        <f aca="false">IFERROR(B41/'Quarterly Dashboard'!B39-1,"")</f>
        <v>0.300236348771558</v>
      </c>
      <c r="E41" s="27" t="n">
        <f aca="false">AVERAGE('Quarterly Dashboard'!B20,'Quarterly Dashboard'!C20,('Quarterly Dashboard'!C20)*(1+Assumptions!$C$12))</f>
        <v>130.078434382155</v>
      </c>
      <c r="F41" s="20" t="n">
        <f aca="false">IFERROR(E41/'Quarterly Dashboard'!E39-1,"")</f>
        <v>-0.0192325477101463</v>
      </c>
      <c r="G41" s="20" t="n">
        <f aca="false">IFERROR(E41/'Quarterly Dashboard'!B39-1,"")</f>
        <v>0.291583971116312</v>
      </c>
      <c r="H41" s="27" t="n">
        <f aca="false">AVERAGE('Quarterly Dashboard'!B20,'Quarterly Dashboard'!C20,('Quarterly Dashboard'!C20)*(1+Assumptions!$C$14))</f>
        <v>129.207033246614</v>
      </c>
      <c r="I41" s="20" t="n">
        <f aca="false">IFERROR(H41/'Quarterly Dashboard'!E39-1,"")</f>
        <v>-0.0258027518772439</v>
      </c>
      <c r="J41" s="20" t="n">
        <f aca="false">IFERROR(H41/'Quarterly Dashboard'!B39-1,"")</f>
        <v>0.282931593461066</v>
      </c>
    </row>
    <row r="43" customFormat="false" ht="15" hidden="false" customHeight="false" outlineLevel="0" collapsed="false">
      <c r="A43" s="9" t="s">
        <v>291</v>
      </c>
    </row>
    <row r="44" customFormat="false" ht="15" hidden="false" customHeight="false" outlineLevel="0" collapsed="false">
      <c r="A44" s="9" t="s">
        <v>292</v>
      </c>
    </row>
  </sheetData>
  <mergeCells count="1">
    <mergeCell ref="A1:L1"/>
  </mergeCells>
  <conditionalFormatting sqref="C23:E28">
    <cfRule type="colorScale" priority="2">
      <colorScale>
        <cfvo type="num" val="-150"/>
        <cfvo type="num" val="0"/>
        <cfvo type="num" val="150"/>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8"/>
    <col collapsed="false" customWidth="true" hidden="false" outlineLevel="0" max="3" min="3" style="0" width="20"/>
  </cols>
  <sheetData>
    <row r="1" customFormat="false" ht="24" hidden="false" customHeight="true" outlineLevel="0" collapsed="false">
      <c r="A1" s="1" t="s">
        <v>293</v>
      </c>
      <c r="B1" s="1"/>
      <c r="C1" s="1"/>
    </row>
    <row r="2" customFormat="false" ht="15" hidden="false" customHeight="false" outlineLevel="0" collapsed="false">
      <c r="A2" s="2" t="s">
        <v>294</v>
      </c>
    </row>
    <row r="4" customFormat="false" ht="15" hidden="false" customHeight="false" outlineLevel="0" collapsed="false">
      <c r="B4" s="3" t="s">
        <v>295</v>
      </c>
    </row>
    <row r="6" customFormat="false" ht="49.5" hidden="false" customHeight="true" outlineLevel="0" collapsed="false">
      <c r="B6" s="42" t="s">
        <v>296</v>
      </c>
    </row>
    <row r="7" customFormat="false" ht="37.5" hidden="false" customHeight="true" outlineLevel="0" collapsed="false">
      <c r="B7" s="42" t="s">
        <v>297</v>
      </c>
    </row>
    <row r="8" customFormat="false" ht="49.5" hidden="false" customHeight="true" outlineLevel="0" collapsed="false">
      <c r="B8" s="42" t="s">
        <v>298</v>
      </c>
    </row>
    <row r="9" customFormat="false" ht="15" hidden="false" customHeight="false" outlineLevel="0" collapsed="false">
      <c r="B9" s="3" t="s">
        <v>299</v>
      </c>
    </row>
    <row r="11" customFormat="false" ht="37.5" hidden="false" customHeight="true" outlineLevel="0" collapsed="false">
      <c r="B11" s="42" t="s">
        <v>300</v>
      </c>
    </row>
    <row r="12" customFormat="false" ht="62.25" hidden="false" customHeight="true" outlineLevel="0" collapsed="false">
      <c r="B12" s="42" t="s">
        <v>301</v>
      </c>
    </row>
    <row r="13" customFormat="false" ht="15" hidden="false" customHeight="false" outlineLevel="0" collapsed="false">
      <c r="B13" s="3" t="s">
        <v>302</v>
      </c>
    </row>
    <row r="15" customFormat="false" ht="37.5" hidden="false" customHeight="true" outlineLevel="0" collapsed="false">
      <c r="B15" s="42" t="s">
        <v>303</v>
      </c>
    </row>
    <row r="16" customFormat="false" ht="13.5" hidden="false" customHeight="true" outlineLevel="0" collapsed="false">
      <c r="B16" s="42" t="s">
        <v>304</v>
      </c>
    </row>
    <row r="17" customFormat="false" ht="15" hidden="false" customHeight="false" outlineLevel="0" collapsed="false">
      <c r="B17" s="3" t="s">
        <v>305</v>
      </c>
    </row>
    <row r="19" customFormat="false" ht="24.75" hidden="false" customHeight="true" outlineLevel="0" collapsed="false">
      <c r="B19" s="42" t="s">
        <v>306</v>
      </c>
    </row>
    <row r="20" customFormat="false" ht="62.25" hidden="false" customHeight="true" outlineLevel="0" collapsed="false">
      <c r="B20" s="42" t="s">
        <v>307</v>
      </c>
    </row>
    <row r="21" customFormat="false" ht="49.5" hidden="false" customHeight="true" outlineLevel="0" collapsed="false">
      <c r="B21" s="42" t="s">
        <v>308</v>
      </c>
    </row>
    <row r="22" customFormat="false" ht="37.5" hidden="false" customHeight="true" outlineLevel="0" collapsed="false">
      <c r="B22" s="42" t="s">
        <v>309</v>
      </c>
    </row>
    <row r="23" customFormat="false" ht="24.75" hidden="false" customHeight="true" outlineLevel="0" collapsed="false">
      <c r="B23" s="42" t="s">
        <v>310</v>
      </c>
    </row>
    <row r="24" customFormat="false" ht="15" hidden="false" customHeight="false" outlineLevel="0" collapsed="false">
      <c r="B24" s="3" t="s">
        <v>311</v>
      </c>
    </row>
    <row r="26" customFormat="false" ht="37.5" hidden="false" customHeight="true" outlineLevel="0" collapsed="false">
      <c r="B26" s="42" t="s">
        <v>312</v>
      </c>
    </row>
    <row r="27" customFormat="false" ht="15" hidden="false" customHeight="false" outlineLevel="0" collapsed="false">
      <c r="B27" s="3" t="s">
        <v>313</v>
      </c>
    </row>
    <row r="29" customFormat="false" ht="37.5" hidden="false" customHeight="true" outlineLevel="0" collapsed="false">
      <c r="B29" s="42" t="s">
        <v>314</v>
      </c>
    </row>
    <row r="30" customFormat="false" ht="87" hidden="false" customHeight="true" outlineLevel="0" collapsed="false">
      <c r="B30" s="42" t="s">
        <v>315</v>
      </c>
    </row>
    <row r="31" customFormat="false" ht="15" hidden="false" customHeight="false" outlineLevel="0" collapsed="false">
      <c r="B31" s="3" t="s">
        <v>316</v>
      </c>
    </row>
    <row r="33" customFormat="false" ht="13.5" hidden="false" customHeight="true" outlineLevel="0" collapsed="false">
      <c r="B33" s="42" t="s">
        <v>317</v>
      </c>
    </row>
    <row r="34" customFormat="false" ht="49.5" hidden="false" customHeight="true" outlineLevel="0" collapsed="false">
      <c r="B34" s="42" t="s">
        <v>318</v>
      </c>
    </row>
    <row r="35" customFormat="false" ht="24.75" hidden="false" customHeight="true" outlineLevel="0" collapsed="false">
      <c r="B35" s="42" t="s">
        <v>319</v>
      </c>
    </row>
    <row r="36" customFormat="false" ht="37.5" hidden="false" customHeight="true" outlineLevel="0" collapsed="false">
      <c r="B36" s="42" t="s">
        <v>320</v>
      </c>
    </row>
    <row r="37" customFormat="false" ht="15" hidden="false" customHeight="false" outlineLevel="0" collapsed="false">
      <c r="B37" s="3" t="s">
        <v>321</v>
      </c>
    </row>
    <row r="39" customFormat="false" ht="49.5" hidden="false" customHeight="true" outlineLevel="0" collapsed="false">
      <c r="B39" s="42" t="s">
        <v>322</v>
      </c>
    </row>
    <row r="40" customFormat="false" ht="15" hidden="false" customHeight="false" outlineLevel="0" collapsed="false">
      <c r="B40" s="3" t="s">
        <v>323</v>
      </c>
    </row>
    <row r="42" customFormat="false" ht="99.75" hidden="false" customHeight="true" outlineLevel="0" collapsed="false">
      <c r="B42" s="42" t="s">
        <v>324</v>
      </c>
    </row>
    <row r="43" customFormat="false" ht="15" hidden="false" customHeight="false" outlineLevel="0" collapsed="false">
      <c r="B43" s="3" t="s">
        <v>325</v>
      </c>
    </row>
    <row r="45" customFormat="false" ht="37.5" hidden="false" customHeight="true" outlineLevel="0" collapsed="false">
      <c r="B45" s="42" t="s">
        <v>326</v>
      </c>
    </row>
    <row r="47" customFormat="false" ht="15" hidden="false" customHeight="false" outlineLevel="0" collapsed="false">
      <c r="B47" s="9" t="s">
        <v>327</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00"/>
    <col collapsed="false" customWidth="true" hidden="false" outlineLevel="0" max="6" min="3" style="0" width="16"/>
  </cols>
  <sheetData>
    <row r="1" customFormat="false" ht="24" hidden="false" customHeight="true" outlineLevel="0" collapsed="false">
      <c r="A1" s="1" t="s">
        <v>328</v>
      </c>
      <c r="B1" s="1"/>
      <c r="C1" s="1"/>
      <c r="D1" s="1"/>
      <c r="E1" s="1"/>
      <c r="F1" s="1"/>
    </row>
    <row r="2" customFormat="false" ht="15" hidden="false" customHeight="false" outlineLevel="0" collapsed="false">
      <c r="A2" s="2"/>
    </row>
    <row r="4" customFormat="false" ht="15" hidden="false" customHeight="false" outlineLevel="0" collapsed="false">
      <c r="B4" s="3" t="s">
        <v>329</v>
      </c>
    </row>
    <row r="5" customFormat="false" ht="25.5" hidden="false" customHeight="true" outlineLevel="0" collapsed="false">
      <c r="A5" s="5" t="n">
        <v>1</v>
      </c>
      <c r="B5" s="42" t="s">
        <v>330</v>
      </c>
    </row>
    <row r="6" customFormat="false" ht="51.75" hidden="false" customHeight="true" outlineLevel="0" collapsed="false">
      <c r="A6" s="5" t="n">
        <v>2</v>
      </c>
      <c r="B6" s="42" t="s">
        <v>331</v>
      </c>
    </row>
    <row r="7" customFormat="false" ht="25.5" hidden="false" customHeight="true" outlineLevel="0" collapsed="false">
      <c r="A7" s="5" t="n">
        <v>3</v>
      </c>
      <c r="B7" s="42" t="s">
        <v>332</v>
      </c>
    </row>
    <row r="8" customFormat="false" ht="25.5" hidden="false" customHeight="true" outlineLevel="0" collapsed="false">
      <c r="A8" s="5" t="n">
        <v>4</v>
      </c>
      <c r="B8" s="42" t="s">
        <v>333</v>
      </c>
    </row>
    <row r="9" customFormat="false" ht="13.5" hidden="false" customHeight="true" outlineLevel="0" collapsed="false">
      <c r="A9" s="5" t="n">
        <v>5</v>
      </c>
      <c r="B9" s="42" t="s">
        <v>334</v>
      </c>
    </row>
    <row r="10" customFormat="false" ht="51.75" hidden="false" customHeight="true" outlineLevel="0" collapsed="false">
      <c r="A10" s="5" t="n">
        <v>6</v>
      </c>
      <c r="B10" s="42" t="s">
        <v>335</v>
      </c>
    </row>
    <row r="11" customFormat="false" ht="25.5" hidden="false" customHeight="true" outlineLevel="0" collapsed="false">
      <c r="A11" s="5" t="n">
        <v>7</v>
      </c>
      <c r="B11" s="42" t="s">
        <v>336</v>
      </c>
    </row>
    <row r="12" customFormat="false" ht="25.5" hidden="false" customHeight="true" outlineLevel="0" collapsed="false">
      <c r="A12" s="5" t="n">
        <v>8</v>
      </c>
      <c r="B12" s="42" t="s">
        <v>337</v>
      </c>
    </row>
    <row r="14" customFormat="false" ht="15" hidden="false" customHeight="false" outlineLevel="0" collapsed="false">
      <c r="B14" s="3" t="s">
        <v>338</v>
      </c>
    </row>
    <row r="15" customFormat="false" ht="15" hidden="false" customHeight="false" outlineLevel="0" collapsed="false">
      <c r="B15" s="15" t="s">
        <v>339</v>
      </c>
      <c r="C15" s="15" t="s">
        <v>340</v>
      </c>
      <c r="D15" s="15" t="s">
        <v>341</v>
      </c>
      <c r="E15" s="15" t="s">
        <v>342</v>
      </c>
      <c r="F15" s="15" t="s">
        <v>343</v>
      </c>
    </row>
    <row r="16" customFormat="false" ht="25.5" hidden="false" customHeight="true" outlineLevel="0" collapsed="false">
      <c r="B16" s="43" t="s">
        <v>344</v>
      </c>
      <c r="C16" s="43" t="s">
        <v>345</v>
      </c>
      <c r="D16" s="43" t="s">
        <v>346</v>
      </c>
      <c r="E16" s="43"/>
      <c r="F16" s="43" t="s">
        <v>347</v>
      </c>
    </row>
    <row r="17" customFormat="false" ht="51.75" hidden="false" customHeight="true" outlineLevel="0" collapsed="false">
      <c r="B17" s="43" t="s">
        <v>348</v>
      </c>
      <c r="C17" s="43" t="s">
        <v>349</v>
      </c>
      <c r="D17" s="43" t="s">
        <v>350</v>
      </c>
      <c r="E17" s="43"/>
      <c r="F17" s="43" t="s">
        <v>351</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2026-09-18T10:21:55Z</dcterms:created>
  <dc:creator>openpyxl</dc:creator>
  <dc:description/>
  <dc:language>en-US</dc:language>
  <cp:lastModifiedBy/>
  <dcterms:modified xsi:type="dcterms:W3CDTF">2026-09-18T10:21:55Z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