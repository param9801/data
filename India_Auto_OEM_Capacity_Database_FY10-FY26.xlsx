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Summary" sheetId="2" state="visible" r:id="rId4"/>
    <sheet name="Maruti Suzuki" sheetId="3" state="visible" r:id="rId5"/>
    <sheet name="Hyundai India" sheetId="4" state="visible" r:id="rId6"/>
    <sheet name="M&amp;M" sheetId="5" state="visible" r:id="rId7"/>
    <sheet name="Tata PV" sheetId="6" state="visible" r:id="rId8"/>
    <sheet name="Tata CV" sheetId="7" state="visible" r:id="rId9"/>
    <sheet name="Ashok Leyland" sheetId="8" state="visible" r:id="rId10"/>
    <sheet name="Bajaj Auto" sheetId="9" state="visible" r:id="rId11"/>
    <sheet name="TVS Motor" sheetId="10" state="visible" r:id="rId12"/>
    <sheet name="Royal Enfield" sheetId="11" state="visible" r:id="rId13"/>
    <sheet name="Hero MotoCorp" sheetId="12" state="visible" r:id="rId14"/>
    <sheet name="Ola Electric" sheetId="13" state="visible" r:id="rId15"/>
    <sheet name="Ather Energy" sheetId="14" state="visible" r:id="rId16"/>
    <sheet name="Gap Register" sheetId="15" state="visible" r:id="rId17"/>
    <sheet name="Source Log" sheetId="16" state="visible" r:id="rId18"/>
    <sheet name="Chart Data"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<sst xmlns="http://schemas.openxmlformats.org/spreadsheetml/2006/main" count="6023" uniqueCount="2619">
  <si>
    <t xml:space="preserve">India Auto OEMs — Manufacturing Capacity Database, FY10–FY26</t>
  </si>
  <si>
    <t xml:space="preserve">12 OEMs  |  Company-level and plant-level capacity history, event logs, platforms and forward pipeline  |  Compiled 14-Oct-2026</t>
  </si>
  <si>
    <t xml:space="preserve">WHAT THIS IS</t>
  </si>
  <si>
    <t xml:space="preserve">Purpose</t>
  </si>
  <si>
    <t xml:space="preserve">One-stop reference for installed capacity, plant footprint, capacity events, platforms and announced additions across 12 Indian OEMs, built for capacity forecasting and utilisation analysis.</t>
  </si>
  <si>
    <t xml:space="preserve">Coverage</t>
  </si>
  <si>
    <t xml:space="preserve">Maruti Suzuki, Hyundai Motor India, M&amp;M (SUV), Tata Motors PV, Tata Motors CV, Ashok Leyland, Bajaj Auto, TVS Motor, Royal Enfield (Eicher), Hero MotoCorp, Ola Electric, Ather Energy.</t>
  </si>
  <si>
    <t xml:space="preserve">Sheet map</t>
  </si>
  <si>
    <t xml:space="preserve">Summary (cross-company comparison, outlook tiers, charts) -&gt; one sheet per OEM (sections A–H) -&gt; Gap Register (what is missing and where to find it) -&gt; Source Log (every ID cited) -&gt; Chart Data (links feeding charts).</t>
  </si>
  <si>
    <t xml:space="preserve">OEM SHEET LAYOUT</t>
  </si>
  <si>
    <t xml:space="preserve">A. Snapshot</t>
  </si>
  <si>
    <t xml:space="preserve">Latest disclosed capacity, FY26 volume and utilisation, outlook base, company target and a one-line bottom line.</t>
  </si>
  <si>
    <t xml:space="preserve">B. History FY10–FY26</t>
  </si>
  <si>
    <t xml:space="preserve">Row 19 is the capacity series used everywhere else. Rows 21–24 hold actual production and sales. Rows 25–28 are formulas. Row 30 cites source IDs per year; row 31 annotates each year.</t>
  </si>
  <si>
    <t xml:space="preserve">C. Plant matrix</t>
  </si>
  <si>
    <t xml:space="preserve">Plant-level capacity (and production where disclosed) by fiscal year. Only disclosed points are entered — gaps are deliberate.</t>
  </si>
  <si>
    <t xml:space="preserve">D–G</t>
  </si>
  <si>
    <t xml:space="preserve">Plant register, chronological capacity event log, platform/model/plant allocation, and forward pipeline split into certainty tiers.</t>
  </si>
  <si>
    <t xml:space="preserve">H. Analyst notes</t>
  </si>
  <si>
    <t xml:space="preserve">Interpretation, data caveats and what to check next.</t>
  </si>
  <si>
    <t xml:space="preserve">CONVENTIONS</t>
  </si>
  <si>
    <t xml:space="preserve">Fiscal year</t>
  </si>
  <si>
    <t xml:space="preserve">FY = year ending 31 March (FY26 = Apr-2025 to Mar-2026).</t>
  </si>
  <si>
    <t xml:space="preserve">Placement</t>
  </si>
  <si>
    <t xml:space="preserve">Capacity sits in the FY whose year-end it represents. A statement made in Apr–Jul with no intervening event is placed at the prior year-end (e.g., May-2016 HMIL 680k -&gt; FY16). Post-FY26 events (FY27 YTD) appear in the event log and pipeline, not in row 19.</t>
  </si>
  <si>
    <t xml:space="preserve">Units</t>
  </si>
  <si>
    <t xml:space="preserve">Vehicles per annum unless stated. M&amp;M discloses units/month — annualised x12 by formula. Ola cell capacity is in GWh and never summed with vehicles.</t>
  </si>
  <si>
    <t xml:space="preserve">Capacity definitions</t>
  </si>
  <si>
    <t xml:space="preserve">Companies use 'installed capacity', 'production ability', 'operational capacity' or 'design capacity' inconsistently. The basis code (row 20) and the snapshot definition record which one is used.</t>
  </si>
  <si>
    <t xml:space="preserve">Utilisation</t>
  </si>
  <si>
    <t xml:space="preserve">Three formula variants: production ÷ FY-end capacity (company convention), production ÷ average of opening and closing capacity (better in commissioning years), and sales ÷ FY-end capacity (fallback where production is undisclosed).</t>
  </si>
  <si>
    <t xml:space="preserve">Outlook tiers</t>
  </si>
  <si>
    <t xml:space="preserve">Tier 1 = commissioned after FY26 or under execution. Tier 2 = announced with site/timeline. Memo = targets, GWh items, shared or unquantified items — excluded from sums. 'Gap to target' = company target − (base + Tier 1 + Tier 2).</t>
  </si>
  <si>
    <t xml:space="preserve">COLOUR CODES</t>
  </si>
  <si>
    <t xml:space="preserve">Blue text</t>
  </si>
  <si>
    <t xml:space="preserve">Hard-coded input taken from a cited source.</t>
  </si>
  <si>
    <t xml:space="preserve">Black text</t>
  </si>
  <si>
    <t xml:space="preserve">Formula.</t>
  </si>
  <si>
    <t xml:space="preserve">Green text</t>
  </si>
  <si>
    <t xml:space="preserve">Link to another sheet.</t>
  </si>
  <si>
    <t xml:space="preserve">Orange fill</t>
  </si>
  <si>
    <t xml:space="preserve">Verify: lower-tier source, lower bound, or inferred date — use with care.</t>
  </si>
  <si>
    <t xml:space="preserve">Light blue fill</t>
  </si>
  <si>
    <t xml:space="preserve">Bracketed carry: identical disclosures before and after with no change announced in between (basis code marked *).</t>
  </si>
  <si>
    <t xml:space="preserve">SOURCE TIERS</t>
  </si>
  <si>
    <t xml:space="preserve">A</t>
  </si>
  <si>
    <t xml:space="preserve">Statutory/exchange filing, annual report, offer document (DRHP/RHP), SEC 20-F.</t>
  </si>
  <si>
    <t xml:space="preserve">B</t>
  </si>
  <si>
    <t xml:space="preserve">Company press release or company-published material.</t>
  </si>
  <si>
    <t xml:space="preserve">C</t>
  </si>
  <si>
    <t xml:space="preserve">Reputable media reporting company statements.</t>
  </si>
  <si>
    <t xml:space="preserve">D</t>
  </si>
  <si>
    <t xml:space="preserve">Secondary aggregator or encyclopaedic source — flagged for verification.</t>
  </si>
  <si>
    <t xml:space="preserve">WHY THERE ARE GAPS</t>
  </si>
  <si>
    <t xml:space="preserve">Disclosure regime</t>
  </si>
  <si>
    <t xml:space="preserve">Under the old Schedule VI (to FY11), Indian companies disclosed licensed and installed capacity in the notes to accounts. Revised Schedule VI (from FY12) dropped this, so capacity disclosure became voluntary — the main reason company totals thin out from FY12 for Tata, Ashok Leyland, Hero and TVS.</t>
  </si>
  <si>
    <t xml:space="preserve">No estimation</t>
  </si>
  <si>
    <t xml:space="preserve">Missing years are left blank. No interpolation, no analyst estimates in historical rows. The Gap Register lists each missing series and the document most likely to fill it.</t>
  </si>
  <si>
    <t xml:space="preserve">Volumes</t>
  </si>
  <si>
    <t xml:space="preserve">Production is used where disclosed; otherwise sales/dispatches; for EV pure-plays, retail registrations (labelled). Pre-FY12 Tata volumes are global 'Tata &amp; other brand' figures and not like-for-like.</t>
  </si>
  <si>
    <t xml:space="preserve">Summary — Manufacturing capacity across 12 Indian OEMs</t>
  </si>
  <si>
    <t xml:space="preserve">All figures link to OEM sheets (green). Units: vehicles p.a. FY = year to 31-Mar. As of 14-Oct-2026.</t>
  </si>
  <si>
    <t xml:space="preserve">KEY TAKEAWAYS</t>
  </si>
  <si>
    <t xml:space="preserve">PV build cycle.</t>
  </si>
  <si>
    <t xml:space="preserve">Utilisation splits the sector.</t>
  </si>
  <si>
    <t xml:space="preserve">Disclosure is the binding data constraint.</t>
  </si>
  <si>
    <t xml:space="preserve">2W EV capacity: overbuilt at Ola, underbuilt elsewhere.</t>
  </si>
  <si>
    <t xml:space="preserve">Targets are mostly backed by named projects.</t>
  </si>
  <si>
    <t xml:space="preserve">1. INSTALLED CAPACITY, FY-END, FY10–FY26 (units p.a.; blank = not disclosed in sources reviewed)</t>
  </si>
  <si>
    <t xml:space="preserve">Company</t>
  </si>
  <si>
    <t xml:space="preserve">Segment</t>
  </si>
  <si>
    <t xml:space="preserve">FY10</t>
  </si>
  <si>
    <t xml:space="preserve">FY11</t>
  </si>
  <si>
    <t xml:space="preserve">FY12</t>
  </si>
  <si>
    <t xml:space="preserve">FY13</t>
  </si>
  <si>
    <t xml:space="preserve">FY14</t>
  </si>
  <si>
    <t xml:space="preserve">FY15</t>
  </si>
  <si>
    <t xml:space="preserve">FY16</t>
  </si>
  <si>
    <t xml:space="preserve">FY17</t>
  </si>
  <si>
    <t xml:space="preserve">FY18</t>
  </si>
  <si>
    <t xml:space="preserve">FY19</t>
  </si>
  <si>
    <t xml:space="preserve">FY20</t>
  </si>
  <si>
    <t xml:space="preserve">FY21</t>
  </si>
  <si>
    <t xml:space="preserve">FY22</t>
  </si>
  <si>
    <t xml:space="preserve">FY23</t>
  </si>
  <si>
    <t xml:space="preserve">FY24</t>
  </si>
  <si>
    <t xml:space="preserve">FY25</t>
  </si>
  <si>
    <t xml:space="preserve">FY26</t>
  </si>
  <si>
    <t xml:space="preserve">Years disclosed (of 17)</t>
  </si>
  <si>
    <t xml:space="preserve">Capacity definition</t>
  </si>
  <si>
    <t xml:space="preserve">Maruti Suzuki</t>
  </si>
  <si>
    <t xml:space="preserve">PV</t>
  </si>
  <si>
    <t xml:space="preserve">Hyundai India</t>
  </si>
  <si>
    <t xml:space="preserve">M&amp;M</t>
  </si>
  <si>
    <t xml:space="preserve">Tata PV</t>
  </si>
  <si>
    <t xml:space="preserve">Tata CV</t>
  </si>
  <si>
    <t xml:space="preserve">CV</t>
  </si>
  <si>
    <t xml:space="preserve">Ashok Leyland</t>
  </si>
  <si>
    <t xml:space="preserve">Bajaj Auto</t>
  </si>
  <si>
    <t xml:space="preserve">2W/3W</t>
  </si>
  <si>
    <t xml:space="preserve">TVS Motor</t>
  </si>
  <si>
    <t xml:space="preserve">Royal Enfield</t>
  </si>
  <si>
    <t xml:space="preserve">2W</t>
  </si>
  <si>
    <t xml:space="preserve">Hero MotoCorp</t>
  </si>
  <si>
    <t xml:space="preserve">Ola Electric</t>
  </si>
  <si>
    <t xml:space="preserve">2W-EV</t>
  </si>
  <si>
    <t xml:space="preserve">Ather Energy</t>
  </si>
  <si>
    <t xml:space="preserve">Orange/blue flags on the OEM sheets (verify / bracketed carry) are not repeated here. M&amp;M = SUV operational capacity (monthly x12); Ola = Futurefactory vehicles only.</t>
  </si>
  <si>
    <t xml:space="preserve">2. LATEST SNAPSHOT, FY26 UTILISATION AND CAPACITY GROWTH</t>
  </si>
  <si>
    <t xml:space="preserve">Latest disclosed capacity</t>
  </si>
  <si>
    <t xml:space="preserve">As of</t>
  </si>
  <si>
    <t xml:space="preserve">Vehicle assembly sites</t>
  </si>
  <si>
    <t xml:space="preserve">FY26 volume</t>
  </si>
  <si>
    <t xml:space="preserve">Volume basis</t>
  </si>
  <si>
    <t xml:space="preserve">FY26 utilisation</t>
  </si>
  <si>
    <t xml:space="preserve">First FY in series</t>
  </si>
  <si>
    <t xml:space="preserve">Capacity (first)</t>
  </si>
  <si>
    <t xml:space="preserve">Last FY in series</t>
  </si>
  <si>
    <t xml:space="preserve">Capacity (last)</t>
  </si>
  <si>
    <t xml:space="preserve">CAGR first -&gt; last</t>
  </si>
  <si>
    <t xml:space="preserve">Bottom line</t>
  </si>
  <si>
    <t xml:space="preserve">n.d.</t>
  </si>
  <si>
    <t xml:space="preserve">3. CAPACITY OUTLOOK BY CERTAINTY TIER (units p.a.) — is the company target backed by named projects?</t>
  </si>
  <si>
    <t xml:space="preserve">Base capacity</t>
  </si>
  <si>
    <t xml:space="preserve">Base</t>
  </si>
  <si>
    <t xml:space="preserve">Tier 1 adds</t>
  </si>
  <si>
    <t xml:space="preserve">Tier 2 adds</t>
  </si>
  <si>
    <t xml:space="preserve">Visible capacity</t>
  </si>
  <si>
    <t xml:space="preserve">Visible ÷ base</t>
  </si>
  <si>
    <t xml:space="preserve">Company target</t>
  </si>
  <si>
    <t xml:space="preserve">Target timing</t>
  </si>
  <si>
    <t xml:space="preserve">Gap to target</t>
  </si>
  <si>
    <t xml:space="preserve">Read-across</t>
  </si>
  <si>
    <t xml:space="preserve">Tier 1 already live; Tier 2 includes the Gurugram exit (-0.5m). Remaining gap to 4m is small.</t>
  </si>
  <si>
    <t xml:space="preserve">Only Talegaon ramp is visible; no new site announced.</t>
  </si>
  <si>
    <t xml:space="preserve">Visible pipeline exceeds the 2x target; delivery risk sits in timing, not scope.</t>
  </si>
  <si>
    <t xml:space="preserve">Gap = debottlenecking not yet quantified; Panapakkam held as memo.</t>
  </si>
  <si>
    <t xml:space="preserve">No India capacity adds disclosed; Iveco is a global footprint event.</t>
  </si>
  <si>
    <t xml:space="preserve">Truck capacity undisclosed; only small EV/bus adds visible.</t>
  </si>
  <si>
    <t xml:space="preserve">Company guides +20%; visible equals target by construction.</t>
  </si>
  <si>
    <t xml:space="preserve">+1.5m in 12 months; new-site decision pending.</t>
  </si>
  <si>
    <t xml:space="preserve">Single, funded project closes the gap to 2.0m.</t>
  </si>
  <si>
    <t xml:space="preserve">No current base; only EV additions visible.</t>
  </si>
  <si>
    <t xml:space="preserve">No vehicle adds; cell ramp tracked in GWh (memo).</t>
  </si>
  <si>
    <t xml:space="preserve">AURIC phase 1 is Tier 1; phase 2 derived from site design.</t>
  </si>
  <si>
    <t xml:space="preserve">PV big four (sum)</t>
  </si>
  <si>
    <t xml:space="preserve">Maruti, Hyundai, M&amp;M, Tata PV</t>
  </si>
  <si>
    <t xml:space="preserve">4. CHARTS (markers = disclosed data points; lines connect disclosed points only)</t>
  </si>
  <si>
    <t xml:space="preserve">Maruti Suzuki India Ltd (MSIL) — incl. Hansalpur (ex-Suzuki Motor Gujarat)</t>
  </si>
  <si>
    <t xml:space="preserve">MARUTI IN  |  Segment: PV  |  Units: vehicles p.a. unless stated  |  FY = year to 31-Mar  |  As of 14-Oct-2026</t>
  </si>
  <si>
    <t xml:space="preserve">Scope: Group India car capacity: Gurugram + Manesar + Kharkhoda (MSIL) and Hansalpur (Suzuki Motor Gujarat, 100% Suzuki until it became an MSIL subsidiary in FY24; since merged into MSIL). Excludes Toyota-built models sold by MSIL.</t>
  </si>
  <si>
    <t xml:space="preserve">A. SNAPSHOT</t>
  </si>
  <si>
    <t xml:space="preserve">Latest disclosed installed capacity (units p.a.)</t>
  </si>
  <si>
    <t xml:space="preserve">As of 30-Jul-2026  [MS21]</t>
  </si>
  <si>
    <t xml:space="preserve">30-Jul-2026</t>
  </si>
  <si>
    <t xml:space="preserve">Capacity definition / scope</t>
  </si>
  <si>
    <t xml:space="preserve">Annual vehicle production capacity as stated by MSIL/Suzuki (two-shift basis), all four sites</t>
  </si>
  <si>
    <t xml:space="preserve">4 — Gurugram, Manesar, Kharkhoda (Haryana); Hansalpur (Gujarat). 5th site (Khoraj, Gujarat) in land stage</t>
  </si>
  <si>
    <t xml:space="preserve">FY26 volume (units)</t>
  </si>
  <si>
    <t xml:space="preserve">Production (FY26, company: &gt;23.4 lakh)</t>
  </si>
  <si>
    <t xml:space="preserve">FY26 volume basis</t>
  </si>
  <si>
    <t xml:space="preserve">FY26 volume ÷ FY26 year-end capacity (row 19)</t>
  </si>
  <si>
    <t xml:space="preserve">Outlook base capacity (units p.a.)</t>
  </si>
  <si>
    <t xml:space="preserve">FY26 year-end (row 19)</t>
  </si>
  <si>
    <t xml:space="preserve">Company capacity target (units p.a.)</t>
  </si>
  <si>
    <t xml:space="preserve">[MS11; MS23]</t>
  </si>
  <si>
    <t xml:space="preserve">FY2030-31</t>
  </si>
  <si>
    <r>
      <rPr>
        <b val="true"/>
        <sz val="10"/>
        <rFont val="Arial"/>
        <family val="0"/>
        <charset val="1"/>
      </rPr>
      <t xml:space="preserve">Capacity, not demand, is the binding constraint.</t>
    </r>
    <r>
      <rPr>
        <sz val="10"/>
        <rFont val="Arial"/>
        <family val="0"/>
        <charset val="1"/>
      </rPr>
      <t xml:space="preserve"> FY26 output of 2.34m runs at c.94% of average installed capacity with c.190k orders pending at year-end. Two 250k plants (Kharkhoda-2, Hansalpur-D) are already live in FY27, and announced sites (Kharkhoda to 1m, Khoraj 1m, net of the Gurugram exit) cover almost all of the 4m FY31 target.</t>
    </r>
  </si>
  <si>
    <t xml:space="preserve">B. COMPANY-LEVEL CAPACITY AND OUTPUT HISTORY, FY10–FY26  (blue = sourced input; black = formula; orange = verify; light blue = bracketed carry)</t>
  </si>
  <si>
    <t xml:space="preserve">Metric</t>
  </si>
  <si>
    <t xml:space="preserve">Unit</t>
  </si>
  <si>
    <t xml:space="preserve">Notes</t>
  </si>
  <si>
    <t xml:space="preserve">Installed capacity, FY-end (reported)</t>
  </si>
  <si>
    <t xml:space="preserve">units p.a.</t>
  </si>
  <si>
    <t xml:space="preserve">Group capacity incl. Hansalpur from FY17. FY12-FY14 FY-end figures not found in sources reviewed (Plant B Oct-2011, Plant C 2013).</t>
  </si>
  <si>
    <t xml:space="preserve">Capacity basis code</t>
  </si>
  <si>
    <t xml:space="preserve">code</t>
  </si>
  <si>
    <t xml:space="preserve">R</t>
  </si>
  <si>
    <t xml:space="preserve">S</t>
  </si>
  <si>
    <t xml:space="preserve">R = company-reported total; S = sum of company-disclosed plants; M = management statement via media; A = monthly x12; D = DRHP/RHP</t>
  </si>
  <si>
    <t xml:space="preserve">Production — actual</t>
  </si>
  <si>
    <t xml:space="preserve">units</t>
  </si>
  <si>
    <t xml:space="preserve">FY23-FY26 rounded to thousands as reported. FY10 production &gt;1.0m (millionth car rolled out 23-Mar-2010) — not entered.</t>
  </si>
  <si>
    <t xml:space="preserve">Sales / dispatches — actual, total</t>
  </si>
  <si>
    <t xml:space="preserve">Total = domestic incl. OEM supplies + exports. FY10 from AR; FY20-21 from monthly release; FY25-26 from results release.</t>
  </si>
  <si>
    <t xml:space="preserve">of which domestic</t>
  </si>
  <si>
    <t xml:space="preserve">FY16-FY21: PV+LCV excl. OEM supplies to Toyota (not like-for-like with FY25-26, which include OEM supplies of c.113k in FY26).</t>
  </si>
  <si>
    <t xml:space="preserve">of which exports</t>
  </si>
  <si>
    <t xml:space="preserve">Utilisation — production ÷ FY-end capacity</t>
  </si>
  <si>
    <t xml:space="preserve">%</t>
  </si>
  <si>
    <t xml:space="preserve">Formula. Company convention (e.g., HMIL DRHP). Depressed in commissioning years.</t>
  </si>
  <si>
    <t xml:space="preserve">Utilisation — production ÷ avg(opening, closing) capacity</t>
  </si>
  <si>
    <t xml:space="preserve">Formula. Uses closing capacity where opening not disclosed.</t>
  </si>
  <si>
    <t xml:space="preserve">Utilisation — sales ÷ FY-end capacity</t>
  </si>
  <si>
    <t xml:space="preserve">Formula. Uses total sales, else domestic (understates where exports excluded).</t>
  </si>
  <si>
    <t xml:space="preserve">Capacity change vs prior FY</t>
  </si>
  <si>
    <t xml:space="preserve">Formula; blank where either year undisclosed.</t>
  </si>
  <si>
    <t xml:space="preserve">Utilisation — company-reported</t>
  </si>
  <si>
    <t xml:space="preserve">MSIL does not publish a utilisation %; FY26 release states sales were capacity-limited.</t>
  </si>
  <si>
    <t xml:space="preserve">Source IDs (see Source Log)</t>
  </si>
  <si>
    <t xml:space="preserve">MS01; MS02; MS04</t>
  </si>
  <si>
    <t xml:space="preserve">MS03; MS05</t>
  </si>
  <si>
    <t xml:space="preserve">MS30</t>
  </si>
  <si>
    <t xml:space="preserve">MS03</t>
  </si>
  <si>
    <t xml:space="preserve">MS13</t>
  </si>
  <si>
    <t xml:space="preserve">MS06; MS07</t>
  </si>
  <si>
    <t xml:space="preserve">MS07; MS08</t>
  </si>
  <si>
    <t xml:space="preserve">MS06; MS07; MS10</t>
  </si>
  <si>
    <t xml:space="preserve">MS10; MS29</t>
  </si>
  <si>
    <t xml:space="preserve">MS09; MS10</t>
  </si>
  <si>
    <t xml:space="preserve">MS10; MS22</t>
  </si>
  <si>
    <t xml:space="preserve">MS10</t>
  </si>
  <si>
    <t xml:space="preserve">MS12; MS19</t>
  </si>
  <si>
    <t xml:space="preserve">HY10; MS15; MS19</t>
  </si>
  <si>
    <t xml:space="preserve">MS13; MS14; MS15; MS17; MS19</t>
  </si>
  <si>
    <t xml:space="preserve">MS16; MS17; MS18; MS20</t>
  </si>
  <si>
    <t xml:space="preserve">Year notes</t>
  </si>
  <si>
    <t xml:space="preserve">Gurugram 0.70m (3 plants) + Manesar 0.30m</t>
  </si>
  <si>
    <t xml:space="preserve">0.85m + 0.35m via productivity, no new plant</t>
  </si>
  <si>
    <t xml:space="preserve">Manesar Plant B (+0.25m) SOP Oct-2011</t>
  </si>
  <si>
    <t xml:space="preserve">Plan: 1.75m by FY13-end incl. Plant C</t>
  </si>
  <si>
    <t xml:space="preserve">Manesar Plant C commissioned (2013)</t>
  </si>
  <si>
    <t xml:space="preserve">Implied by Suzuki: Gujarat +0.25m takes India to 1.75m</t>
  </si>
  <si>
    <t xml:space="preserve">Gurugram 0.7m + Manesar 0.8m; effective c.1.45m</t>
  </si>
  <si>
    <t xml:space="preserve">SMG Plant A SOP 1-Feb-2017</t>
  </si>
  <si>
    <t xml:space="preserve">MSIL 1.5-1.55m (sources differ) + SMG 0.25m</t>
  </si>
  <si>
    <t xml:space="preserve">SMG Plant B + powertrain (Jan-2019)</t>
  </si>
  <si>
    <t xml:space="preserve">No change until Plant C</t>
  </si>
  <si>
    <t xml:space="preserve">SMG Plant C SOP Apr-2021</t>
  </si>
  <si>
    <t xml:space="preserve">1.5m Haryana + 0.75m Gujarat</t>
  </si>
  <si>
    <t xml:space="preserve">Unchanged; +0.1m Manesar line falls in FY25</t>
  </si>
  <si>
    <t xml:space="preserve">+0.1m Manesar (Apr-24); Kharkhoda P1 (Feb-25)</t>
  </si>
  <si>
    <t xml:space="preserve">Gurugram restated 0.7m -&gt; 0.5m</t>
  </si>
  <si>
    <t xml:space="preserve">C. PLANT-LEVEL CAPACITY AND OUTPUT BY FISCAL YEAR (disclosed points only; no interpolation)</t>
  </si>
  <si>
    <t xml:space="preserve">Plant / line</t>
  </si>
  <si>
    <t xml:space="preserve">Notes [sources]</t>
  </si>
  <si>
    <t xml:space="preserve">Gurugram (Haryana)</t>
  </si>
  <si>
    <t xml:space="preserve">3 assembly plants; Plant 1 (c.0.16m) phase-out from 2009; restated to 0.5m by May-2026 [MS02; MS03; MS07; MS23; MS20]</t>
  </si>
  <si>
    <t xml:space="preserve">Manesar (Haryana)</t>
  </si>
  <si>
    <t xml:space="preserve">Plant A 2007, Plant B Oct-2011, Plant C 2013, +0.1m line Apr-2024 [MS02; MS03; MS07; MS13; MS20]</t>
  </si>
  <si>
    <t xml:space="preserve">Memo: Gurugram + Manesar combined (company-stated)</t>
  </si>
  <si>
    <t xml:space="preserve">'Production ability' of MSIL's Haryana plants [MS09; MS10; MS12]</t>
  </si>
  <si>
    <t xml:space="preserve">Hansalpur (Gujarat) — ex-SMG</t>
  </si>
  <si>
    <t xml:space="preserve">Sum of plants at 250k each: A Feb-2017, B Jan-2019, C Apr-2021 (D Jul-2026 = FY27) [MS10; MS11; MS21]</t>
  </si>
  <si>
    <t xml:space="preserve">Kharkhoda (Haryana)</t>
  </si>
  <si>
    <t xml:space="preserve">Plant 1 SOP 25-Feb-2025; Plant 2 SOP 18-May-2026 (FY27) [MS14; MS20]</t>
  </si>
  <si>
    <t xml:space="preserve">Hansalpur powertrain — engines</t>
  </si>
  <si>
    <t xml:space="preserve">engines p.a.</t>
  </si>
  <si>
    <t xml:space="preserve">SOP Jan-2019 with Plant B; 500k transmissions also [MS10]</t>
  </si>
  <si>
    <t xml:space="preserve">D. PLANT REGISTER</t>
  </si>
  <si>
    <t xml:space="preserve">Plant / site</t>
  </si>
  <si>
    <t xml:space="preserve">Location</t>
  </si>
  <si>
    <t xml:space="preserve">Entity / ownership</t>
  </si>
  <si>
    <t xml:space="preserve">SOP / commissioned</t>
  </si>
  <si>
    <t xml:space="preserve">Vehicle category</t>
  </si>
  <si>
    <t xml:space="preserve">Key models (latest disclosed)</t>
  </si>
  <si>
    <t xml:space="preserve">Platforms</t>
  </si>
  <si>
    <t xml:space="preserve">Initial capacity (units p.a.)</t>
  </si>
  <si>
    <t xml:space="preserve">Latest capacity (units p.a.)</t>
  </si>
  <si>
    <t xml:space="preserve">Status</t>
  </si>
  <si>
    <t xml:space="preserve">Sources [confidence]</t>
  </si>
  <si>
    <t xml:space="preserve">Gurugram</t>
  </si>
  <si>
    <t xml:space="preserve">Gurugram, Haryana</t>
  </si>
  <si>
    <t xml:space="preserve">MSIL</t>
  </si>
  <si>
    <t xml:space="preserve">Dec-1983</t>
  </si>
  <si>
    <t xml:space="preserve">PV (small cars, vans)</t>
  </si>
  <si>
    <t xml:space="preserve">2009 disclosure: 800, Alto, WagonR, Estilo, Omni, Gypsy, Eeco. Current allocation not in sources reviewed</t>
  </si>
  <si>
    <t xml:space="preserve">Legacy + HEARTECT</t>
  </si>
  <si>
    <t xml:space="preserve">May-2026</t>
  </si>
  <si>
    <t xml:space="preserve">Operating; relocation intent</t>
  </si>
  <si>
    <t xml:space="preserve">c.300 acres; 3 vehicle plants; restated 0.7m -&gt; 0.5m; Kharkhoda chosen as relocation site (2021)</t>
  </si>
  <si>
    <t xml:space="preserve">[High/Med] MS02; MS20; MS24; MS26</t>
  </si>
  <si>
    <t xml:space="preserve">Manesar</t>
  </si>
  <si>
    <t xml:space="preserve">Manesar, Haryana</t>
  </si>
  <si>
    <t xml:space="preserve">Oct-2006 / Feb-2007 (A); Oct-2011 (B); 2013 (C)</t>
  </si>
  <si>
    <t xml:space="preserve">Brezza, Ertiga, XL6, Wagon R, Dzire, S-Presso, Ciaz, Celerio (Apr-2024)</t>
  </si>
  <si>
    <t xml:space="preserve">HEARTECT</t>
  </si>
  <si>
    <t xml:space="preserve">Operating</t>
  </si>
  <si>
    <t xml:space="preserve">c.600 acres; diesel engine plant (2006, Fiat licence); &gt;10m cumulative by Oct-2024</t>
  </si>
  <si>
    <t xml:space="preserve">[High] MS13; MS20; MS27; MS28</t>
  </si>
  <si>
    <t xml:space="preserve">Hansalpur</t>
  </si>
  <si>
    <t xml:space="preserve">Hansalpur, Gujarat</t>
  </si>
  <si>
    <t xml:space="preserve">SMG (Suzuki 100%) -&gt; MSIL sub. (Dec-2023) -&gt; merged into MSIL</t>
  </si>
  <si>
    <t xml:space="preserve">A Feb-2017; B Jan-2019; C Apr-2021; D 30-Jul-2026</t>
  </si>
  <si>
    <t xml:space="preserve">PV incl. BEV</t>
  </si>
  <si>
    <t xml:space="preserve">Baleno (A); Fronx, Swift (B); Fronx, e Vitara (C); e Vitara (D)</t>
  </si>
  <si>
    <t xml:space="preserve">HEARTECT; HEARTECT-e</t>
  </si>
  <si>
    <t xml:space="preserve">c.640 acres; powertrain 0.5m engines + 0.5m transmissions; c.47% of MSIL FY26 exports; Plant D capex Rs3,900cr</t>
  </si>
  <si>
    <t xml:space="preserve">[High] MS10; MS11; MS21</t>
  </si>
  <si>
    <t xml:space="preserve">Kharkhoda</t>
  </si>
  <si>
    <t xml:space="preserve">Sonipat, Haryana</t>
  </si>
  <si>
    <t xml:space="preserve">P1 25-Feb-2025; P2 18-May-2026</t>
  </si>
  <si>
    <t xml:space="preserve">PV (SUV)</t>
  </si>
  <si>
    <t xml:space="preserve">Brezza, Victoris</t>
  </si>
  <si>
    <t xml:space="preserve">18-May-2026</t>
  </si>
  <si>
    <t xml:space="preserve">Operating; ramp to 1.0m (4 x 0.25m)</t>
  </si>
  <si>
    <t xml:space="preserve">c.800-900 acres; Rs11,000cr phase 1 (Rs18,000cr three-plant plan, 2021)</t>
  </si>
  <si>
    <t xml:space="preserve">[High] MS14; MS20; MS25; MS26</t>
  </si>
  <si>
    <t xml:space="preserve">Khoraj (Sanand)</t>
  </si>
  <si>
    <t xml:space="preserve">Khoraj Industrial Estate, Gujarat</t>
  </si>
  <si>
    <t xml:space="preserve">Planned</t>
  </si>
  <si>
    <t xml:space="preserve">—</t>
  </si>
  <si>
    <t xml:space="preserve">up to 1,000,000 (planned)</t>
  </si>
  <si>
    <t xml:space="preserve">Mar-2026</t>
  </si>
  <si>
    <t xml:space="preserve">Land approved; phasing TBD</t>
  </si>
  <si>
    <t xml:space="preserve">Rs4,960cr for land and early-stage development</t>
  </si>
  <si>
    <t xml:space="preserve">[High] MS16; MS18</t>
  </si>
  <si>
    <t xml:space="preserve">Memo: Toyota Kirloskar (Bidadi)</t>
  </si>
  <si>
    <t xml:space="preserve">Bidadi, Karnataka</t>
  </si>
  <si>
    <t xml:space="preserve">Toyota Kirloskar Motor</t>
  </si>
  <si>
    <t xml:space="preserve">PV (contract supply)</t>
  </si>
  <si>
    <t xml:space="preserve">Grand Vitara, Invicto (built by Toyota for MSIL)</t>
  </si>
  <si>
    <t xml:space="preserve">n.a.</t>
  </si>
  <si>
    <t xml:space="preserve">Outside MSIL capacity</t>
  </si>
  <si>
    <t xml:space="preserve">MSIL volumes can exceed own capacity; verify supply volumes from MSIL related-party disclosures</t>
  </si>
  <si>
    <t xml:space="preserve">[Medium — not in source log; verify]</t>
  </si>
  <si>
    <t xml:space="preserve">E. CAPACITY EVENT LOG (chronological; positive = addition)</t>
  </si>
  <si>
    <t xml:space="preserve">Event</t>
  </si>
  <si>
    <t xml:space="preserve">Date</t>
  </si>
  <si>
    <t xml:space="preserve">FY</t>
  </si>
  <si>
    <t xml:space="preserve">Type</t>
  </si>
  <si>
    <t xml:space="preserve">Capacity change (units p.a.)</t>
  </si>
  <si>
    <t xml:space="preserve">Plant capacity after</t>
  </si>
  <si>
    <t xml:space="preserve">Company capacity after</t>
  </si>
  <si>
    <t xml:space="preserve">Capex (Rs cr)</t>
  </si>
  <si>
    <t xml:space="preserve">Sources</t>
  </si>
  <si>
    <t xml:space="preserve">First production (Maruti 800)</t>
  </si>
  <si>
    <t xml:space="preserve">FY84</t>
  </si>
  <si>
    <t xml:space="preserve">New plant</t>
  </si>
  <si>
    <t xml:space="preserve">Commissioned</t>
  </si>
  <si>
    <t xml:space="preserve">Start of Maruti production</t>
  </si>
  <si>
    <t xml:space="preserve">MS05</t>
  </si>
  <si>
    <t xml:space="preserve">Manesar Plant A + diesel engine plant</t>
  </si>
  <si>
    <t xml:space="preserve">Oct-2006 / Feb-2007</t>
  </si>
  <si>
    <t xml:space="preserve">FY07</t>
  </si>
  <si>
    <t xml:space="preserve">Diesel engines under Fiat licence</t>
  </si>
  <si>
    <t xml:space="preserve">MS05; MS28</t>
  </si>
  <si>
    <t xml:space="preserve">Gurugram Plant 1 car production phase-out</t>
  </si>
  <si>
    <t xml:space="preserve">Sep-2009</t>
  </si>
  <si>
    <t xml:space="preserve">Closure (partial)</t>
  </si>
  <si>
    <t xml:space="preserve">Gurugram Plant 1</t>
  </si>
  <si>
    <t xml:space="preserve">Announced</t>
  </si>
  <si>
    <t xml:space="preserve">c.160k line to be phased out gradually; space reassigned to engines (media)</t>
  </si>
  <si>
    <t xml:space="preserve">MS24</t>
  </si>
  <si>
    <t xml:space="preserve">Board approves Manesar Plant B</t>
  </si>
  <si>
    <t xml:space="preserve">23-Jan-2010</t>
  </si>
  <si>
    <t xml:space="preserve">Expansion approved</t>
  </si>
  <si>
    <t xml:space="preserve">Manesar Plant B</t>
  </si>
  <si>
    <t xml:space="preserve">Approved</t>
  </si>
  <si>
    <t xml:space="preserve">SOP targeted Apr-2012</t>
  </si>
  <si>
    <t xml:space="preserve">MS01; MS02</t>
  </si>
  <si>
    <t xml:space="preserve">AGM: Plant C announced; capacity 1.2m via productivity</t>
  </si>
  <si>
    <t xml:space="preserve">07-Sep-2010</t>
  </si>
  <si>
    <t xml:space="preserve">Expansion / debottlenecking</t>
  </si>
  <si>
    <t xml:space="preserve">Manesar Plant C; Gurugram</t>
  </si>
  <si>
    <t xml:space="preserve">Target 1.75m by FY13 incl. productivity; Rs2,500cr engine + R&amp;D</t>
  </si>
  <si>
    <t xml:space="preserve">Manesar Plant B SOP</t>
  </si>
  <si>
    <t xml:space="preserve">Oct-2011</t>
  </si>
  <si>
    <t xml:space="preserve">Six months ahead of schedule</t>
  </si>
  <si>
    <t xml:space="preserve">MS30; MS13</t>
  </si>
  <si>
    <t xml:space="preserve">Manesar Plant C SOP</t>
  </si>
  <si>
    <t xml:space="preserve">2013</t>
  </si>
  <si>
    <t xml:space="preserve">FY13/14</t>
  </si>
  <si>
    <t xml:space="preserve">Manesar Plant C</t>
  </si>
  <si>
    <t xml:space="preserve">Manesar reaches 0.8m (two shifts)</t>
  </si>
  <si>
    <t xml:space="preserve">MS13; MS07</t>
  </si>
  <si>
    <t xml:space="preserve">Suzuki Motor Gujarat incorporated</t>
  </si>
  <si>
    <t xml:space="preserve">Mar-2014</t>
  </si>
  <si>
    <t xml:space="preserve">New entity</t>
  </si>
  <si>
    <t xml:space="preserve">Incorporated</t>
  </si>
  <si>
    <t xml:space="preserve">100% Suzuki; supplies MSIL at cost; minority approval Dec-2015</t>
  </si>
  <si>
    <t xml:space="preserve">MS10; MS08</t>
  </si>
  <si>
    <t xml:space="preserve">Hansalpur Plant A SOP</t>
  </si>
  <si>
    <t xml:space="preserve">01-Feb-2017</t>
  </si>
  <si>
    <t xml:space="preserve">Hansalpur A</t>
  </si>
  <si>
    <t xml:space="preserve">Baleno</t>
  </si>
  <si>
    <t xml:space="preserve">Hansalpur Plant B + powertrain SOP</t>
  </si>
  <si>
    <t xml:space="preserve">Jan-2019</t>
  </si>
  <si>
    <t xml:space="preserve">Hansalpur B</t>
  </si>
  <si>
    <t xml:space="preserve">Swift; engines 0.5m, transmissions 0.5m</t>
  </si>
  <si>
    <t xml:space="preserve">Hansalpur Plant C SOP</t>
  </si>
  <si>
    <t xml:space="preserve">Apr-2021</t>
  </si>
  <si>
    <t xml:space="preserve">Hansalpur C</t>
  </si>
  <si>
    <t xml:space="preserve">Dzire initially</t>
  </si>
  <si>
    <t xml:space="preserve">Kharkhoda land allotted</t>
  </si>
  <si>
    <t xml:space="preserve">Nov-2021</t>
  </si>
  <si>
    <t xml:space="preserve">New site</t>
  </si>
  <si>
    <t xml:space="preserve">Land allotted</t>
  </si>
  <si>
    <t xml:space="preserve">c.900 acres; three 250k plants planned (later four)</t>
  </si>
  <si>
    <t xml:space="preserve">MS26</t>
  </si>
  <si>
    <t xml:space="preserve">Kharkhoda foundation stone</t>
  </si>
  <si>
    <t xml:space="preserve">Aug-2022</t>
  </si>
  <si>
    <t xml:space="preserve">Construction start</t>
  </si>
  <si>
    <t xml:space="preserve">Under construction</t>
  </si>
  <si>
    <t xml:space="preserve">Phase 1 investment</t>
  </si>
  <si>
    <t xml:space="preserve">MS12; MS14</t>
  </si>
  <si>
    <t xml:space="preserve">SMG becomes MSIL subsidiary</t>
  </si>
  <si>
    <t xml:space="preserve">Dec-2023</t>
  </si>
  <si>
    <t xml:space="preserve">Ownership change</t>
  </si>
  <si>
    <t xml:space="preserve">Completed</t>
  </si>
  <si>
    <t xml:space="preserve">Ends contract-manufacturing structure</t>
  </si>
  <si>
    <t xml:space="preserve">MS11</t>
  </si>
  <si>
    <t xml:space="preserve">Additional Manesar line</t>
  </si>
  <si>
    <t xml:space="preserve">09-Apr-2024</t>
  </si>
  <si>
    <t xml:space="preserve">Debottlenecking (new line)</t>
  </si>
  <si>
    <t xml:space="preserve">Manesar Plant A</t>
  </si>
  <si>
    <t xml:space="preserve">Ertiga first off line</t>
  </si>
  <si>
    <t xml:space="preserve">MS13; MS15</t>
  </si>
  <si>
    <t xml:space="preserve">Kharkhoda Plant 1 SOP</t>
  </si>
  <si>
    <t xml:space="preserve">25-Feb-2025</t>
  </si>
  <si>
    <t xml:space="preserve">Kharkhoda P1</t>
  </si>
  <si>
    <t xml:space="preserve">Brezza</t>
  </si>
  <si>
    <t xml:space="preserve">MS14; MS15</t>
  </si>
  <si>
    <t xml:space="preserve">Gurugram capacity restated</t>
  </si>
  <si>
    <t xml:space="preserve">By Mar-2026 (n.d.)</t>
  </si>
  <si>
    <t xml:space="preserve">Restatement</t>
  </si>
  <si>
    <t xml:space="preserve">Restated</t>
  </si>
  <si>
    <t xml:space="preserve">No dated announcement found; consistent with relocation</t>
  </si>
  <si>
    <t xml:space="preserve">MS16; MS18; MS20</t>
  </si>
  <si>
    <t xml:space="preserve">Khoraj land approved</t>
  </si>
  <si>
    <t xml:space="preserve">Khoraj, Gujarat</t>
  </si>
  <si>
    <t xml:space="preserve">Approved (land)</t>
  </si>
  <si>
    <t xml:space="preserve">Up to 1m; phasing to be decided by board</t>
  </si>
  <si>
    <t xml:space="preserve">MS16; MS18</t>
  </si>
  <si>
    <t xml:space="preserve">Kharkhoda Plant 2 SOP</t>
  </si>
  <si>
    <t xml:space="preserve">FY27</t>
  </si>
  <si>
    <t xml:space="preserve">Kharkhoda P2</t>
  </si>
  <si>
    <t xml:space="preserve">Victoris, Brezza</t>
  </si>
  <si>
    <t xml:space="preserve">MS20</t>
  </si>
  <si>
    <t xml:space="preserve">Hansalpur Plant D SOP</t>
  </si>
  <si>
    <t xml:space="preserve">Hansalpur D</t>
  </si>
  <si>
    <t xml:space="preserve">e Vitara; first Suzuki site at 1m</t>
  </si>
  <si>
    <t xml:space="preserve">MS21</t>
  </si>
  <si>
    <t xml:space="preserve">F. PLATFORMS, MODELS AND PLANT ALLOCATION (confidence in brackets; model-plant mapping is rarely company-disclosed)</t>
  </si>
  <si>
    <t xml:space="preserve">Platform / architecture</t>
  </si>
  <si>
    <t xml:space="preserve">Powertrain</t>
  </si>
  <si>
    <t xml:space="preserve">Models</t>
  </si>
  <si>
    <t xml:space="preserve">Plant(s)</t>
  </si>
  <si>
    <t xml:space="preserve">First SOP</t>
  </si>
  <si>
    <t xml:space="preserve">ICE (petrol, CNG; mild/strong hybrid capable)</t>
  </si>
  <si>
    <t xml:space="preserve">Hatch, sedan, MPV, compact SUV</t>
  </si>
  <si>
    <t xml:space="preserve">Swift, Dzire, Baleno, Fronx, Ertiga, XL6, Wagon R, Celerio, S-Presso, Alto K10, Ignis</t>
  </si>
  <si>
    <t xml:space="preserve">Manesar, Hansalpur, Gurugram</t>
  </si>
  <si>
    <t xml:space="preserve">2016 (Baleno)</t>
  </si>
  <si>
    <t xml:space="preserve">Suzuki's lightweight platform; model-level mapping from media, not MSIL filings</t>
  </si>
  <si>
    <t xml:space="preserve">[Medium] MS13; MS21</t>
  </si>
  <si>
    <t xml:space="preserve">HEARTECT-e</t>
  </si>
  <si>
    <t xml:space="preserve">BEV</t>
  </si>
  <si>
    <t xml:space="preserve">Mid SUV</t>
  </si>
  <si>
    <t xml:space="preserve">e Vitara (also supplied to Toyota)</t>
  </si>
  <si>
    <t xml:space="preserve">Hansalpur C, D</t>
  </si>
  <si>
    <t xml:space="preserve">Exported to 44 countries by Apr-2026</t>
  </si>
  <si>
    <t xml:space="preserve">[Medium-High] MS17; MS21</t>
  </si>
  <si>
    <t xml:space="preserve">SUV architecture (Brezza / Victoris)</t>
  </si>
  <si>
    <t xml:space="preserve">ICE / CNG / hybrid</t>
  </si>
  <si>
    <t xml:space="preserve">Compact &amp; mid SUV</t>
  </si>
  <si>
    <t xml:space="preserve">Kharkhoda, Manesar</t>
  </si>
  <si>
    <t xml:space="preserve">2016 / 2025</t>
  </si>
  <si>
    <t xml:space="preserve">Platform name not disclosed in sources reviewed</t>
  </si>
  <si>
    <t xml:space="preserve">[Low] MS13; MS20</t>
  </si>
  <si>
    <t xml:space="preserve">Ladder frame (Jimny)</t>
  </si>
  <si>
    <t xml:space="preserve">ICE</t>
  </si>
  <si>
    <t xml:space="preserve">Off-roader</t>
  </si>
  <si>
    <t xml:space="preserve">Jimny 5-door</t>
  </si>
  <si>
    <t xml:space="preserve">n.d. (verify)</t>
  </si>
  <si>
    <t xml:space="preserve">2023</t>
  </si>
  <si>
    <t xml:space="preserve">Plant not confirmed in sources reviewed</t>
  </si>
  <si>
    <t xml:space="preserve">[Low]</t>
  </si>
  <si>
    <t xml:space="preserve">G. FORWARD CAPACITY PIPELINE — Tier 1 = commissioned after FY26 or under execution; Tier 2 = announced with timeline/site; Memo = not summed</t>
  </si>
  <si>
    <t xml:space="preserve">Project</t>
  </si>
  <si>
    <t xml:space="preserve">Capacity add (units p.a.)</t>
  </si>
  <si>
    <t xml:space="preserve">Expected timing</t>
  </si>
  <si>
    <t xml:space="preserve">Tier</t>
  </si>
  <si>
    <t xml:space="preserve">Status (as of 14-Oct-2026)</t>
  </si>
  <si>
    <t xml:space="preserve">Kharkhoda Plant 2</t>
  </si>
  <si>
    <t xml:space="preserve">Haryana</t>
  </si>
  <si>
    <t xml:space="preserve">FY27 (18-May-2026)</t>
  </si>
  <si>
    <t xml:space="preserve">Tier 1</t>
  </si>
  <si>
    <t xml:space="preserve">Hansalpur Plant D</t>
  </si>
  <si>
    <t xml:space="preserve">Gujarat</t>
  </si>
  <si>
    <t xml:space="preserve">FY27 (30-Jul-2026)</t>
  </si>
  <si>
    <t xml:space="preserve">e Vitara</t>
  </si>
  <si>
    <t xml:space="preserve">Kharkhoda Plants 3-4</t>
  </si>
  <si>
    <t xml:space="preserve">By c.FY33 ('over next 8 years' from Feb-2025)</t>
  </si>
  <si>
    <t xml:space="preserve">Tier 2</t>
  </si>
  <si>
    <t xml:space="preserve">Planned in site master plan</t>
  </si>
  <si>
    <t xml:space="preserve">Site designed for 4 x 250k</t>
  </si>
  <si>
    <t xml:space="preserve">MS25; MS20</t>
  </si>
  <si>
    <t xml:space="preserve">Khoraj greenfield</t>
  </si>
  <si>
    <t xml:space="preserve">Phasing TBD by board</t>
  </si>
  <si>
    <t xml:space="preserve">Land approved Mar-2026</t>
  </si>
  <si>
    <t xml:space="preserve">Capex shown is land and early-stage works only</t>
  </si>
  <si>
    <t xml:space="preserve">Gurugram exit (relocation)</t>
  </si>
  <si>
    <t xml:space="preserve">Intent stated since 2018-21</t>
  </si>
  <si>
    <t xml:space="preserve">Treated as capacity loss once Kharkhoda/Khoraj are up</t>
  </si>
  <si>
    <t xml:space="preserve">MS26; MS29</t>
  </si>
  <si>
    <t xml:space="preserve">Company target: c.4m by FY31</t>
  </si>
  <si>
    <t xml:space="preserve">India</t>
  </si>
  <si>
    <t xml:space="preserve">Memo</t>
  </si>
  <si>
    <t xml:space="preserve">Target</t>
  </si>
  <si>
    <t xml:space="preserve">c.Rs45,000cr programme (media)</t>
  </si>
  <si>
    <t xml:space="preserve">MS11; MS23</t>
  </si>
  <si>
    <t xml:space="preserve">H. ANALYST NOTES</t>
  </si>
  <si>
    <r>
      <rPr>
        <b val="true"/>
        <sz val="9"/>
        <rFont val="Arial"/>
        <family val="0"/>
        <charset val="1"/>
      </rPr>
      <t xml:space="preserve">Disclosure quality is high.</t>
    </r>
    <r>
      <rPr>
        <sz val="9"/>
        <rFont val="Arial"/>
        <family val="0"/>
        <charset val="1"/>
      </rPr>
      <t xml:space="preserve"> MSIL and Suzuki disclose plant-wise capacity at every commissioning; the only true gap is FY12-FY14 year-end figures.</t>
    </r>
  </si>
  <si>
    <r>
      <rPr>
        <b val="true"/>
        <sz val="9"/>
        <rFont val="Arial"/>
        <family val="0"/>
        <charset val="1"/>
      </rPr>
      <t xml:space="preserve">Gurugram is being restated, not closed.</t>
    </r>
    <r>
      <rPr>
        <sz val="9"/>
        <rFont val="Arial"/>
        <family val="0"/>
        <charset val="1"/>
      </rPr>
      <t xml:space="preserve"> Capacity falls from 0.7m (Feb-2025) to 0.5m (May-2026) with no dated announcement — treat as relocation-linked.</t>
    </r>
  </si>
  <si>
    <r>
      <rPr>
        <b val="true"/>
        <sz val="9"/>
        <rFont val="Arial"/>
        <family val="0"/>
        <charset val="1"/>
      </rPr>
      <t xml:space="preserve">Gujarat is the export and EV engine.</t>
    </r>
    <r>
      <rPr>
        <sz val="9"/>
        <rFont val="Arial"/>
        <family val="0"/>
        <charset val="1"/>
      </rPr>
      <t xml:space="preserve"> Hansalpur ships c.47% of FY26 exports and hosts all BEV capacity (Plants C, D).</t>
    </r>
  </si>
  <si>
    <r>
      <rPr>
        <b val="true"/>
        <sz val="9"/>
        <rFont val="Arial"/>
        <family val="0"/>
        <charset val="1"/>
      </rPr>
      <t xml:space="preserve">Toyota supply sits outside the capacity base.</t>
    </r>
    <r>
      <rPr>
        <sz val="9"/>
        <rFont val="Arial"/>
        <family val="0"/>
        <charset val="1"/>
      </rPr>
      <t xml:space="preserve"> Grand Vitara and Invicto are built by Toyota Kirloskar; MSIL sales can exceed own-plant capacity.</t>
    </r>
  </si>
  <si>
    <r>
      <rPr>
        <b val="true"/>
        <sz val="9"/>
        <rFont val="Arial"/>
        <family val="0"/>
        <charset val="1"/>
      </rPr>
      <t xml:space="preserve">Commissioning years understate utilisation.</t>
    </r>
    <r>
      <rPr>
        <sz val="9"/>
        <rFont val="Arial"/>
        <family val="0"/>
        <charset val="1"/>
      </rPr>
      <t xml:space="preserve"> FY25 year-end utilisation is diluted by Kharkhoda (SOP 25-Feb-2025); use the average-capacity row.</t>
    </r>
  </si>
  <si>
    <t xml:space="preserve">Hyundai Motor India Ltd (HMIL)</t>
  </si>
  <si>
    <t xml:space="preserve">HYUNDAI IN  |  Segment: PV  |  Units: vehicles p.a. unless stated  |  FY = year to 31-Mar  |  As of 14-Oct-2026</t>
  </si>
  <si>
    <t xml:space="preserve">Scope: Chennai (Sriperumbudur: Plant 1 and Plant 2 — separate assembly lines) and Talegaon (Pune, ex-GM India) from Oct-2025. Excludes Kia India (Anantapur), a sister HMG company.</t>
  </si>
  <si>
    <t xml:space="preserve">As of FY26 (Mar-2026)  [HY11; HY15]</t>
  </si>
  <si>
    <t xml:space="preserve">FY26 (Mar-2026)</t>
  </si>
  <si>
    <t xml:space="preserve">Installed annual vehicle capacity per HMIL (DRHP/AR basis)</t>
  </si>
  <si>
    <t xml:space="preserve">2 — Chennai (Plants 1 &amp; 2), Talegaon/Pune</t>
  </si>
  <si>
    <t xml:space="preserve">Production (FY26 AR, plant-wise)</t>
  </si>
  <si>
    <t xml:space="preserve">[HY10; HY12]</t>
  </si>
  <si>
    <t xml:space="preserve">Talegaon at 250k (c.2028)</t>
  </si>
  <si>
    <r>
      <rPr>
        <b val="true"/>
        <sz val="10"/>
        <rFont val="Arial"/>
        <family val="0"/>
        <charset val="1"/>
      </rPr>
      <t xml:space="preserve">Talegaon resets the denominator.</t>
    </r>
    <r>
      <rPr>
        <sz val="10"/>
        <rFont val="Arial"/>
        <family val="0"/>
        <charset val="1"/>
      </rPr>
      <t xml:space="preserve"> Capacity rises 21% to 994k in FY26 while output grows &lt;1%; utilisation on year-end capacity falls to c.77%. The FY27-FY28 debate is about filling Pune and Chennai Plant 1, not adding new capacity.</t>
    </r>
  </si>
  <si>
    <t xml:space="preserve">FY11-FY15 and FY17 not found. FY20-FY21 bracketed (7.5 lakh until H1-2023 per Aug-2023 statement; DRHP shows 758k for FY22 — rounding).</t>
  </si>
  <si>
    <t xml:space="preserve">M</t>
  </si>
  <si>
    <t xml:space="preserve">M*</t>
  </si>
  <si>
    <t xml:space="preserve">FY22-FY26 from FY26 AR Board's Report (plant-wise in section C). CY2016 665k and CY2017 678k (calendar) noted in HY18.</t>
  </si>
  <si>
    <t xml:space="preserve">Domestic + exports per FY26 AR.</t>
  </si>
  <si>
    <t xml:space="preserve">DRHP: Chennai utilisation on closing installed capacity (row 25 replicates this basis).</t>
  </si>
  <si>
    <t xml:space="preserve">HY04</t>
  </si>
  <si>
    <t xml:space="preserve">HY05</t>
  </si>
  <si>
    <t xml:space="preserve">HY05; HY18</t>
  </si>
  <si>
    <t xml:space="preserve">HY06; HY18</t>
  </si>
  <si>
    <t xml:space="preserve">HY07</t>
  </si>
  <si>
    <t xml:space="preserve">HY09</t>
  </si>
  <si>
    <t xml:space="preserve">HY08; HY11</t>
  </si>
  <si>
    <t xml:space="preserve">HY09; HY10; HY11</t>
  </si>
  <si>
    <t xml:space="preserve">HY11</t>
  </si>
  <si>
    <t xml:space="preserve">HY11; HY15</t>
  </si>
  <si>
    <t xml:space="preserve">Plant 2 (Feb-2008) doubled capacity to 0.6m</t>
  </si>
  <si>
    <t xml:space="preserve">c.12% debottleneck to c.670k planned</t>
  </si>
  <si>
    <t xml:space="preserve">Stated May-2016 as fully utilised</t>
  </si>
  <si>
    <t xml:space="preserve">Third plant (1m) evaluated; not executed</t>
  </si>
  <si>
    <t xml:space="preserve">Stated Mar/Jul-2018</t>
  </si>
  <si>
    <t xml:space="preserve">+50k from Jan-2019 (value engineering)</t>
  </si>
  <si>
    <t xml:space="preserve">Bracketed: 7.5 lakh until H1-CY2023</t>
  </si>
  <si>
    <t xml:space="preserve">DRHP</t>
  </si>
  <si>
    <t xml:space="preserve">770k -&gt; 824k (H1-CY2023)</t>
  </si>
  <si>
    <t xml:space="preserve">Talegaon engine shop SOP Jun-2025 (FY26)</t>
  </si>
  <si>
    <t xml:space="preserve">Talegaon vehicles from 1-Oct-2025 (+170k)</t>
  </si>
  <si>
    <t xml:space="preserve">Chennai (Plants 1+2) capacity</t>
  </si>
  <si>
    <t xml:space="preserve">Plant 1 (1998, 300k reached 2006) + Plant 2 (Feb-2008, 300k) [HY01; HY02; HY08; HY11]</t>
  </si>
  <si>
    <t xml:space="preserve">Talegaon / Pune capacity</t>
  </si>
  <si>
    <t xml:space="preserve">SOP 1-Oct-2025; to 250k by 2028 [HY11; HY12]</t>
  </si>
  <si>
    <t xml:space="preserve">Production — Chennai Plant 1</t>
  </si>
  <si>
    <t xml:space="preserve">FY26 AR [HY11]</t>
  </si>
  <si>
    <t xml:space="preserve">Production — Chennai Plant 2</t>
  </si>
  <si>
    <t xml:space="preserve">Production — Pune (Talegaon)</t>
  </si>
  <si>
    <t xml:space="preserve">Six months of operation [HY11]</t>
  </si>
  <si>
    <t xml:space="preserve">Check: plant production sum</t>
  </si>
  <si>
    <t xml:space="preserve">Formula; should equal row 21</t>
  </si>
  <si>
    <t xml:space="preserve">Talegaon engine capacity</t>
  </si>
  <si>
    <t xml:space="preserve">Engine shop SOP 16-Jun-2025 [HY12; HY13]</t>
  </si>
  <si>
    <t xml:space="preserve">Chennai Plant 1</t>
  </si>
  <si>
    <t xml:space="preserve">Irungattukottai/Sriperumbudur, Tamil Nadu</t>
  </si>
  <si>
    <t xml:space="preserve">HMIL</t>
  </si>
  <si>
    <t xml:space="preserve">1998</t>
  </si>
  <si>
    <t xml:space="preserve">Separate assembly line; model split not disclosed</t>
  </si>
  <si>
    <t xml:space="preserve">K1 / K2 (see F)</t>
  </si>
  <si>
    <t xml:space="preserve">824,000 (Chennai combined)</t>
  </si>
  <si>
    <t xml:space="preserve">HMC's first integrated plant outside Korea; 300k installed reached in 2006; 525-acre site shared with Plant 2</t>
  </si>
  <si>
    <t xml:space="preserve">[High] HY01; HY02; HY11</t>
  </si>
  <si>
    <t xml:space="preserve">Chennai Plant 2</t>
  </si>
  <si>
    <t xml:space="preserve">Sriperumbudur, Tamil Nadu</t>
  </si>
  <si>
    <t xml:space="preserve">02-Feb-2008</t>
  </si>
  <si>
    <t xml:space="preserve">K1 / K2</t>
  </si>
  <si>
    <t xml:space="preserve">Built Nov-2005 to 2007; c.US$1bn; doubled capacity to 600k</t>
  </si>
  <si>
    <t xml:space="preserve">[High] HY01; HY17</t>
  </si>
  <si>
    <t xml:space="preserve">Chennai powertrain</t>
  </si>
  <si>
    <t xml:space="preserve">2008</t>
  </si>
  <si>
    <t xml:space="preserve">Engines &amp; transmissions</t>
  </si>
  <si>
    <t xml:space="preserve">Kappa 1.2L at SOP</t>
  </si>
  <si>
    <t xml:space="preserve">Capacity in engines p.a.</t>
  </si>
  <si>
    <t xml:space="preserve">[Medium] HY03</t>
  </si>
  <si>
    <t xml:space="preserve">Talegaon (Pune)</t>
  </si>
  <si>
    <t xml:space="preserve">MIDC Talegaon, Maharashtra</t>
  </si>
  <si>
    <t xml:space="preserve">HMIL (ex-GM India assets)</t>
  </si>
  <si>
    <t xml:space="preserve">Engines 16-Jun-2025; vehicles 1-Oct-2025</t>
  </si>
  <si>
    <t xml:space="preserve">Venue (2nd gen) first</t>
  </si>
  <si>
    <t xml:space="preserve">K1</t>
  </si>
  <si>
    <t xml:space="preserve">Oct-2025</t>
  </si>
  <si>
    <t xml:space="preserve">Ramp-up</t>
  </si>
  <si>
    <t xml:space="preserve">GM-era 130k vehicles / 160k engines; investment Rs7,000cr -&gt; Rs11,000cr; 250k by 2028; engine capacity 150k</t>
  </si>
  <si>
    <t xml:space="preserve">[High] HY09; HY11; HY12; HY13; HY14</t>
  </si>
  <si>
    <t xml:space="preserve">Chennai Plant 1 SOP (Santro)</t>
  </si>
  <si>
    <t xml:space="preserve">FY99</t>
  </si>
  <si>
    <t xml:space="preserve">Installed 300k reached 2006; 327k produced in CY2007</t>
  </si>
  <si>
    <t xml:space="preserve">HY02</t>
  </si>
  <si>
    <t xml:space="preserve">Chennai Plant 2 SOP</t>
  </si>
  <si>
    <t xml:space="preserve">FY08</t>
  </si>
  <si>
    <t xml:space="preserve">c.US$1bn</t>
  </si>
  <si>
    <t xml:space="preserve">Global small-car export hub</t>
  </si>
  <si>
    <t xml:space="preserve">HY01; HY17</t>
  </si>
  <si>
    <t xml:space="preserve">Engine &amp; transmission plant</t>
  </si>
  <si>
    <t xml:space="preserve">FY09</t>
  </si>
  <si>
    <t xml:space="preserve">Chennai</t>
  </si>
  <si>
    <t xml:space="preserve">Engines p.a.</t>
  </si>
  <si>
    <t xml:space="preserve">HY03</t>
  </si>
  <si>
    <t xml:space="preserve">c.12% debottleneck planned</t>
  </si>
  <si>
    <t xml:space="preserve">Aug-2010</t>
  </si>
  <si>
    <t xml:space="preserve">Debottlenecking</t>
  </si>
  <si>
    <t xml:space="preserve">Delivery not confirmed in sources</t>
  </si>
  <si>
    <t xml:space="preserve">Capacity fully utilised at 680k; third plant evaluated</t>
  </si>
  <si>
    <t xml:space="preserve">May-2016</t>
  </si>
  <si>
    <t xml:space="preserve">Plan (not executed)</t>
  </si>
  <si>
    <t xml:space="preserve">Third plant (Gujarat preferred)</t>
  </si>
  <si>
    <t xml:space="preserve">Not executed</t>
  </si>
  <si>
    <t xml:space="preserve">Kia's Anantapur plant (2019) later served HMG growth</t>
  </si>
  <si>
    <t xml:space="preserve">+50k via value engineering</t>
  </si>
  <si>
    <t xml:space="preserve">Jul-2018 / Jan-2019</t>
  </si>
  <si>
    <t xml:space="preserve">No incremental investment</t>
  </si>
  <si>
    <t xml:space="preserve">HY06; HY07</t>
  </si>
  <si>
    <t xml:space="preserve">Proposal: +100k (50k CKD, 50k CBU)</t>
  </si>
  <si>
    <t xml:space="preserve">Nov-2018</t>
  </si>
  <si>
    <t xml:space="preserve">Expansion (proposed)</t>
  </si>
  <si>
    <t xml:space="preserve">Proposed</t>
  </si>
  <si>
    <t xml:space="preserve">Delivered as 758k-824k path through FY24</t>
  </si>
  <si>
    <t xml:space="preserve">HY19</t>
  </si>
  <si>
    <t xml:space="preserve">Debottlenecking to 824k</t>
  </si>
  <si>
    <t xml:space="preserve">H1-CY2023</t>
  </si>
  <si>
    <t xml:space="preserve">770k (FY23) -&gt; 824k</t>
  </si>
  <si>
    <t xml:space="preserve">HY09; HY10</t>
  </si>
  <si>
    <t xml:space="preserve">Talegaon APA with GM India</t>
  </si>
  <si>
    <t xml:space="preserve">16-Aug-2023</t>
  </si>
  <si>
    <t xml:space="preserve">Acquisition</t>
  </si>
  <si>
    <t xml:space="preserve">Talegaon</t>
  </si>
  <si>
    <t xml:space="preserve">GM plant idle since 2020</t>
  </si>
  <si>
    <t xml:space="preserve">Talegaon engine shop SOP</t>
  </si>
  <si>
    <t xml:space="preserve">16-Jun-2025</t>
  </si>
  <si>
    <t xml:space="preserve">HY12; HY13</t>
  </si>
  <si>
    <t xml:space="preserve">Talegaon vehicle SOP</t>
  </si>
  <si>
    <t xml:space="preserve">01-Oct-2025</t>
  </si>
  <si>
    <t xml:space="preserve">Capex = total Talegaon commitment (raised from Rs7,000cr)</t>
  </si>
  <si>
    <t xml:space="preserve">HY11; HY12</t>
  </si>
  <si>
    <t xml:space="preserve">Chennai modernisation</t>
  </si>
  <si>
    <t xml:space="preserve">2025</t>
  </si>
  <si>
    <t xml:space="preserve">Upgrade</t>
  </si>
  <si>
    <t xml:space="preserve">Committed</t>
  </si>
  <si>
    <t xml:space="preserve">No capacity figure attached</t>
  </si>
  <si>
    <t xml:space="preserve">HY16</t>
  </si>
  <si>
    <t xml:space="preserve">K1 (HMG small-car platform)</t>
  </si>
  <si>
    <t xml:space="preserve">ICE (petrol, diesel, CNG)</t>
  </si>
  <si>
    <t xml:space="preserve">Hatch, compact sedan, sub-4m SUV</t>
  </si>
  <si>
    <t xml:space="preserve">Grand i10 Nios, Aura, Exter, i20, Venue</t>
  </si>
  <si>
    <t xml:space="preserve">Chennai; Talegaon (Venue Gen 2)</t>
  </si>
  <si>
    <t xml:space="preserve">Shared with Kia India (Sonet) — Kia capacity not included</t>
  </si>
  <si>
    <t xml:space="preserve">[Medium] HY14</t>
  </si>
  <si>
    <t xml:space="preserve">K2 (HMG mid platform)</t>
  </si>
  <si>
    <t xml:space="preserve">ICE; BEV derivative (Creta Electric)</t>
  </si>
  <si>
    <t xml:space="preserve">Sedan, mid SUV</t>
  </si>
  <si>
    <t xml:space="preserve">Verna, Creta, Alcazar, Creta Electric</t>
  </si>
  <si>
    <t xml:space="preserve">Shared with Kia Seltos/Carens</t>
  </si>
  <si>
    <t xml:space="preserve">[Medium]</t>
  </si>
  <si>
    <t xml:space="preserve">E-GMP</t>
  </si>
  <si>
    <t xml:space="preserve">Premium crossover</t>
  </si>
  <si>
    <t xml:space="preserve">Ioniq 5 (local assembly)</t>
  </si>
  <si>
    <t xml:space="preserve">Low volume</t>
  </si>
  <si>
    <t xml:space="preserve">Talegaon ramp to 250k</t>
  </si>
  <si>
    <t xml:space="preserve">Pune</t>
  </si>
  <si>
    <t xml:space="preserve">By 2028</t>
  </si>
  <si>
    <t xml:space="preserve">Under way (phased)</t>
  </si>
  <si>
    <t xml:space="preserve">Within Rs11,000cr Talegaon commitment</t>
  </si>
  <si>
    <t xml:space="preserve">HY10; HY12</t>
  </si>
  <si>
    <t xml:space="preserve">Tamil Nadu</t>
  </si>
  <si>
    <t xml:space="preserve">FY26-FY27</t>
  </si>
  <si>
    <t xml:space="preserve">Modernisation, no capacity number</t>
  </si>
  <si>
    <r>
      <rPr>
        <b val="true"/>
        <sz val="9"/>
        <rFont val="Arial"/>
        <family val="0"/>
        <charset val="1"/>
      </rPr>
      <t xml:space="preserve">Capacity barely moved for a decade.</t>
    </r>
    <r>
      <rPr>
        <sz val="9"/>
        <rFont val="Arial"/>
        <family val="0"/>
        <charset val="1"/>
      </rPr>
      <t xml:space="preserve"> 600k (FY10) -&gt; 680k (FY16) -&gt; 750k (FY19) through debottlenecking only; Talegaon is the first new site since 2008.</t>
    </r>
  </si>
  <si>
    <r>
      <rPr>
        <b val="true"/>
        <sz val="9"/>
        <rFont val="Arial"/>
        <family val="0"/>
        <charset val="1"/>
      </rPr>
      <t xml:space="preserve">Plant 1 is the swing line.</t>
    </r>
    <r>
      <rPr>
        <sz val="9"/>
        <rFont val="Arial"/>
        <family val="0"/>
        <charset val="1"/>
      </rPr>
      <t xml:space="preserve"> Plant 1 output falls c.14% in FY26 (408,800 -&gt; 352,375) as Venue moves to Pune.</t>
    </r>
  </si>
  <si>
    <r>
      <rPr>
        <b val="true"/>
        <sz val="9"/>
        <rFont val="Arial"/>
        <family val="0"/>
        <charset val="1"/>
      </rPr>
      <t xml:space="preserve">Reported utilisation uses closing capacity.</t>
    </r>
    <r>
      <rPr>
        <sz val="9"/>
        <rFont val="Arial"/>
        <family val="0"/>
        <charset val="1"/>
      </rPr>
      <t xml:space="preserve"> DRHP: 79.96% (FY22), 94.45% (FY23) — row 25 replicates this basis.</t>
    </r>
  </si>
  <si>
    <r>
      <rPr>
        <b val="true"/>
        <sz val="9"/>
        <rFont val="Arial"/>
        <family val="0"/>
        <charset val="1"/>
      </rPr>
      <t xml:space="preserve">Exports absorb slack.</t>
    </r>
    <r>
      <rPr>
        <sz val="9"/>
        <rFont val="Arial"/>
        <family val="0"/>
        <charset val="1"/>
      </rPr>
      <t xml:space="preserve"> Exports rise 16% to 190,125 in FY26 while domestic falls 2%.</t>
    </r>
  </si>
  <si>
    <t xml:space="preserve">Mahindra &amp; Mahindra Ltd — Automotive (SUV)</t>
  </si>
  <si>
    <t xml:space="preserve">MM IN  |  Segment: PV  |  Units: vehicles p.a. unless stated  |  FY = year to 31-Mar  |  As of 14-Oct-2026</t>
  </si>
  <si>
    <t xml:space="preserve">Scope: SUV operational capacity disclosed by M&amp;M in units/month (ICE + BEV); annualised x12. Excludes LCV/3W (MLMML), trucks and tractors unless stated.</t>
  </si>
  <si>
    <t xml:space="preserve">As of FY26 exit (64.5k/month)  [MM08; MM11]</t>
  </si>
  <si>
    <t xml:space="preserve">FY26 exit (64.5k/month)</t>
  </si>
  <si>
    <t xml:space="preserve">Operational SUV capacity, units/month x 12 (ICE 56.5k + BEV 8k at FY26 exit)</t>
  </si>
  <si>
    <t xml:space="preserve">SUVs: Chakan, Nashik (+ Haridwar/Zaheerabad under MLMML); Nagpur from 2028</t>
  </si>
  <si>
    <t xml:space="preserve">Domestic SUV sales (FY26) — exports excluded</t>
  </si>
  <si>
    <t xml:space="preserve">[MM08; MM09]</t>
  </si>
  <si>
    <t xml:space="preserve">FY31 (2x FY26)</t>
  </si>
  <si>
    <r>
      <rPr>
        <b val="true"/>
        <sz val="10"/>
        <rFont val="Arial"/>
        <family val="0"/>
        <charset val="1"/>
      </rPr>
      <t xml:space="preserve">The fastest capacity ramp in Indian PVs — running behind its own plan.</t>
    </r>
    <r>
      <rPr>
        <sz val="10"/>
        <rFont val="Arial"/>
        <family val="0"/>
        <charset val="1"/>
      </rPr>
      <t xml:space="preserve"> SUV capacity more than triples from 19k/month (FY20) to 64.5k (FY26) and is guided to 82k by H2FY27 and c.132k/month by FY31 with Nagpur. FY25 (59k vs 64k plan) and FY26 (64.5k vs 72k plan) both undershoot guidance — execution slippage is the watch item.</t>
    </r>
  </si>
  <si>
    <t xml:space="preserve">Formula: monthly operational capacity (section C) x 12. No consistent company series before FY20 in sources reviewed.</t>
  </si>
  <si>
    <t xml:space="preserve">Not disclosed in sources reviewed.</t>
  </si>
  <si>
    <t xml:space="preserve">Total SUV incl. exports not captured.</t>
  </si>
  <si>
    <t xml:space="preserve">Domestic SUV volumes (record 660,276 in FY26).</t>
  </si>
  <si>
    <t xml:space="preserve">Q4FY25: &gt;90% SUV utilisation (MM07); Q3FY26: EV 93%, CV 86% (MM15) — not entered as point values.</t>
  </si>
  <si>
    <t xml:space="preserve">MM01</t>
  </si>
  <si>
    <t xml:space="preserve">MM05</t>
  </si>
  <si>
    <t xml:space="preserve">MM03; MM04</t>
  </si>
  <si>
    <t xml:space="preserve">MM04; MM05</t>
  </si>
  <si>
    <t xml:space="preserve">MM08; MM13</t>
  </si>
  <si>
    <t xml:space="preserve">MM08; MM11; MM12</t>
  </si>
  <si>
    <t xml:space="preserve">Chakan SOP 13-Mar-2010 (0.3m incl. 50k trucks)</t>
  </si>
  <si>
    <t xml:space="preserve">19k/month</t>
  </si>
  <si>
    <t xml:space="preserve">29k/month (stated Q2FY23)</t>
  </si>
  <si>
    <t xml:space="preserve">39k/month</t>
  </si>
  <si>
    <t xml:space="preserve">49k/month</t>
  </si>
  <si>
    <t xml:space="preserve">59k/month vs 64k plan</t>
  </si>
  <si>
    <t xml:space="preserve">64.5k/month vs 72k plan; Nagpur announced</t>
  </si>
  <si>
    <t xml:space="preserve">SUV operational capacity — total</t>
  </si>
  <si>
    <t xml:space="preserve">units/month</t>
  </si>
  <si>
    <t xml:space="preserve">Drives row 19 (x12) [MM03; MM04; MM05; MM08]</t>
  </si>
  <si>
    <t xml:space="preserve">of which ICE</t>
  </si>
  <si>
    <t xml:space="preserve">[MM07; MM08]</t>
  </si>
  <si>
    <t xml:space="preserve">of which BEV</t>
  </si>
  <si>
    <t xml:space="preserve">INGLO + XUV400 [MM08]</t>
  </si>
  <si>
    <t xml:space="preserve">Memo: capacity guided a year earlier</t>
  </si>
  <si>
    <t xml:space="preserve">Plan vs delivery [MM05]</t>
  </si>
  <si>
    <t xml:space="preserve">Chakan plant (all vehicles)</t>
  </si>
  <si>
    <t xml:space="preserve">Incl. trucks; 2019 statement placed in FY20 [MM01; MM02]</t>
  </si>
  <si>
    <t xml:space="preserve">Chakan</t>
  </si>
  <si>
    <t xml:space="preserve">Pune, Maharashtra</t>
  </si>
  <si>
    <t xml:space="preserve">M&amp;M (EVs via Mahindra Electric Automobile)</t>
  </si>
  <si>
    <t xml:space="preserve">13-Mar-2010</t>
  </si>
  <si>
    <t xml:space="preserve">SUV; trucks; BEV</t>
  </si>
  <si>
    <t xml:space="preserve">Scorpio-N, trucks 0.75-49t (2022); XUV700, Thar Roxx, INGLO BEVs (per media)</t>
  </si>
  <si>
    <t xml:space="preserve">Scorpio-N ladder; W601; INGLO; NU_IQ (FY28)</t>
  </si>
  <si>
    <t xml:space="preserve">c.2019</t>
  </si>
  <si>
    <t xml:space="preserve">Operating; +10k/month NU_IQ by FY28</t>
  </si>
  <si>
    <t xml:space="preserve">700 acres; engine shop 120k UV + 40k truck engines at SOP; capex c.Rs4,000cr planned (2007)</t>
  </si>
  <si>
    <t xml:space="preserve">[High/Med] MM01; MM02; MM14; MM16; MM09</t>
  </si>
  <si>
    <t xml:space="preserve">Nashik (Satpur)</t>
  </si>
  <si>
    <t xml:space="preserve">Nashik, Maharashtra</t>
  </si>
  <si>
    <t xml:space="preserve">pre-2000 (n.d.)</t>
  </si>
  <si>
    <t xml:space="preserve">SUV</t>
  </si>
  <si>
    <t xml:space="preserve">Allocation not disclosed in sources reviewed</t>
  </si>
  <si>
    <t xml:space="preserve">X100; legacy ladder</t>
  </si>
  <si>
    <t xml:space="preserve">2006 plan: 80k -&gt; 150k p.a.</t>
  </si>
  <si>
    <t xml:space="preserve">[Medium] MM17</t>
  </si>
  <si>
    <t xml:space="preserve">Igatpuri (engines)</t>
  </si>
  <si>
    <t xml:space="preserve">Engines</t>
  </si>
  <si>
    <t xml:space="preserve">450/day (2006)</t>
  </si>
  <si>
    <t xml:space="preserve">1,100/day</t>
  </si>
  <si>
    <t xml:space="preserve">Land being added in Igatpuri-Nashik corridor for engine capacity (2026)</t>
  </si>
  <si>
    <t xml:space="preserve">[Medium] MM17; MM18; MM10</t>
  </si>
  <si>
    <t xml:space="preserve">Haridwar</t>
  </si>
  <si>
    <t xml:space="preserve">Uttarakhand</t>
  </si>
  <si>
    <t xml:space="preserve">Mahindra Last Mile Mobility (MLMML)</t>
  </si>
  <si>
    <t xml:space="preserve">Dec-2005</t>
  </si>
  <si>
    <t xml:space="preserve">SUV (Bolero); e-3W</t>
  </si>
  <si>
    <t xml:space="preserve">Bolero; Scorpio (to 2022); e-Alfa, e-Treo</t>
  </si>
  <si>
    <t xml:space="preserve">Legacy ladder</t>
  </si>
  <si>
    <t xml:space="preserve">Millionth vehicle c.2019</t>
  </si>
  <si>
    <t xml:space="preserve">[Medium] MM02; MM18</t>
  </si>
  <si>
    <t xml:space="preserve">Zaheerabad</t>
  </si>
  <si>
    <t xml:space="preserve">Telangana</t>
  </si>
  <si>
    <t xml:space="preserve">MLMML</t>
  </si>
  <si>
    <t xml:space="preserve">LCV, 3W</t>
  </si>
  <si>
    <t xml:space="preserve">Kandivali</t>
  </si>
  <si>
    <t xml:space="preserve">Mumbai, Maharashtra</t>
  </si>
  <si>
    <t xml:space="preserve">First plant (n.d.)</t>
  </si>
  <si>
    <t xml:space="preserve">Legacy UVs / components</t>
  </si>
  <si>
    <t xml:space="preserve">Millionth vehicle pre-2019</t>
  </si>
  <si>
    <t xml:space="preserve">[Low] MM02</t>
  </si>
  <si>
    <t xml:space="preserve">Nagpur (new)</t>
  </si>
  <si>
    <t xml:space="preserve">Nagpur, Maharashtra</t>
  </si>
  <si>
    <t xml:space="preserve">2028 (planned)</t>
  </si>
  <si>
    <t xml:space="preserve">SUV (ICE/EV) + tractors</t>
  </si>
  <si>
    <t xml:space="preserve">NU_IQ</t>
  </si>
  <si>
    <t xml:space="preserve">&gt;500,000 vehicles + 100,000 tractors (full)</t>
  </si>
  <si>
    <t xml:space="preserve">Feb-2026</t>
  </si>
  <si>
    <t xml:space="preserve">1,500 acres; Rs15,000cr over a decade; supplier park at Sambhajinagar; +20k/month H1FY30, +20k/month H1FY31</t>
  </si>
  <si>
    <t xml:space="preserve">[High] MM08; MM10</t>
  </si>
  <si>
    <t xml:space="preserve">Haridwar SOP</t>
  </si>
  <si>
    <t xml:space="preserve">FY06</t>
  </si>
  <si>
    <t xml:space="preserve">Now MLMML</t>
  </si>
  <si>
    <t xml:space="preserve">MM02</t>
  </si>
  <si>
    <t xml:space="preserve">Nashik expansion plan</t>
  </si>
  <si>
    <t xml:space="preserve">2006</t>
  </si>
  <si>
    <t xml:space="preserve">Expansion (planned)</t>
  </si>
  <si>
    <t xml:space="preserve">Nashik</t>
  </si>
  <si>
    <t xml:space="preserve">Capex = US$118m incl. new line; Igatpuri engines 450 -&gt; 800/day</t>
  </si>
  <si>
    <t xml:space="preserve">MM17</t>
  </si>
  <si>
    <t xml:space="preserve">Chakan inaugurated</t>
  </si>
  <si>
    <t xml:space="preserve">Incl. 50k trucks; capex per 2007 plan</t>
  </si>
  <si>
    <t xml:space="preserve">MM01; MM16</t>
  </si>
  <si>
    <t xml:space="preserve">SUV capacity 19k/month</t>
  </si>
  <si>
    <t xml:space="preserve">Mar-2020</t>
  </si>
  <si>
    <t xml:space="preserve">Disclosure</t>
  </si>
  <si>
    <t xml:space="preserve">All SUV</t>
  </si>
  <si>
    <t xml:space="preserve">Reported</t>
  </si>
  <si>
    <t xml:space="preserve">Pre-ramp base</t>
  </si>
  <si>
    <t xml:space="preserve">Capacity plan 29k -&gt; 49k/month</t>
  </si>
  <si>
    <t xml:space="preserve">Nov-2022</t>
  </si>
  <si>
    <t xml:space="preserve">Expansion plan</t>
  </si>
  <si>
    <t xml:space="preserve">Multiple</t>
  </si>
  <si>
    <t xml:space="preserve">Thar, XUV300/400, XUV700, Scorpio-N (section F2)</t>
  </si>
  <si>
    <t xml:space="preserve">MM03</t>
  </si>
  <si>
    <t xml:space="preserve">39k/month achieved</t>
  </si>
  <si>
    <t xml:space="preserve">Mar-2023</t>
  </si>
  <si>
    <t xml:space="preserve">MM04</t>
  </si>
  <si>
    <t xml:space="preserve">49k/month achieved</t>
  </si>
  <si>
    <t xml:space="preserve">Mar-2024</t>
  </si>
  <si>
    <t xml:space="preserve">EV capacity for INGLO</t>
  </si>
  <si>
    <t xml:space="preserve">Nov-2024</t>
  </si>
  <si>
    <t xml:space="preserve">New lines (BEV)</t>
  </si>
  <si>
    <t xml:space="preserve">10k/month by Mar-2025 guided; 5k reported at FY25-end</t>
  </si>
  <si>
    <t xml:space="preserve">MM06; MM08</t>
  </si>
  <si>
    <t xml:space="preserve">59k/month at FY25-end</t>
  </si>
  <si>
    <t xml:space="preserve">Mar-2025</t>
  </si>
  <si>
    <t xml:space="preserve">54k ICE + 5k BEV vs 64k plan</t>
  </si>
  <si>
    <t xml:space="preserve">MM07; MM08</t>
  </si>
  <si>
    <t xml:space="preserve">Nagpur integrated plant announced</t>
  </si>
  <si>
    <t xml:space="preserve">06-Feb-2026</t>
  </si>
  <si>
    <t xml:space="preserve">New plant (announced)</t>
  </si>
  <si>
    <t xml:space="preserve">Nagpur</t>
  </si>
  <si>
    <t xml:space="preserve">Vehicles &gt;500k + tractors 100k; SOP 2028</t>
  </si>
  <si>
    <t xml:space="preserve">MM10</t>
  </si>
  <si>
    <t xml:space="preserve">64.5k/month at FY26-end</t>
  </si>
  <si>
    <t xml:space="preserve">56.5k ICE + 8k BEV vs 72k plan</t>
  </si>
  <si>
    <t xml:space="preserve">MM08; MM11</t>
  </si>
  <si>
    <t xml:space="preserve">Scorpio-N body-on-frame</t>
  </si>
  <si>
    <t xml:space="preserve">Mid/large SUV</t>
  </si>
  <si>
    <t xml:space="preserve">Scorpio-N, Thar Roxx</t>
  </si>
  <si>
    <t xml:space="preserve">2022</t>
  </si>
  <si>
    <t xml:space="preserve">[Medium] MM14</t>
  </si>
  <si>
    <t xml:space="preserve">W601 monocoque</t>
  </si>
  <si>
    <t xml:space="preserve">XUV700 / XUV 7XO</t>
  </si>
  <si>
    <t xml:space="preserve">Chakan (per media)</t>
  </si>
  <si>
    <t xml:space="preserve">2021</t>
  </si>
  <si>
    <t xml:space="preserve">X100 (Tivoli-derived)</t>
  </si>
  <si>
    <t xml:space="preserve">ICE + BEV</t>
  </si>
  <si>
    <t xml:space="preserve">Sub-4m SUV</t>
  </si>
  <si>
    <t xml:space="preserve">XUV300 -&gt; XUV 3XO; XUV400; XUV 3XO EV</t>
  </si>
  <si>
    <t xml:space="preserve">Nashik (per media)</t>
  </si>
  <si>
    <t xml:space="preserve">2019</t>
  </si>
  <si>
    <t xml:space="preserve">INGLO (born-electric)</t>
  </si>
  <si>
    <t xml:space="preserve">BE 6, XEV 9e, XEV 9S</t>
  </si>
  <si>
    <t xml:space="preserve">Company-named platform</t>
  </si>
  <si>
    <t xml:space="preserve">[High] MM06; MM08</t>
  </si>
  <si>
    <t xml:space="preserve">NU_IQ (modular, multi-energy)</t>
  </si>
  <si>
    <t xml:space="preserve">ICE / hybrid / BEV</t>
  </si>
  <si>
    <t xml:space="preserve">Compact SUVs</t>
  </si>
  <si>
    <t xml:space="preserve">Vision S/X/T-derived (from FY27)</t>
  </si>
  <si>
    <t xml:space="preserve">Chakan (+10k/month), Nagpur</t>
  </si>
  <si>
    <t xml:space="preserve">FY27-FY28</t>
  </si>
  <si>
    <t xml:space="preserve">[High] MM09; MM10</t>
  </si>
  <si>
    <t xml:space="preserve">Legacy ladder frame</t>
  </si>
  <si>
    <t xml:space="preserve">Utility SUV</t>
  </si>
  <si>
    <t xml:space="preserve">Bolero, Bolero Neo, Scorpio Classic, Thar 3-door</t>
  </si>
  <si>
    <t xml:space="preserve">Nashik / Chakan / Haridwar (mix n.d.)</t>
  </si>
  <si>
    <t xml:space="preserve">Bolero 9.5k and Scorpio Classic 5.5k per month</t>
  </si>
  <si>
    <t xml:space="preserve">[Low-Med] MM18</t>
  </si>
  <si>
    <t xml:space="preserve">F2. MODEL-LEVEL CAPACITY DISCLOSURES (units/month)</t>
  </si>
  <si>
    <t xml:space="preserve">Model / family</t>
  </si>
  <si>
    <t xml:space="preserve">Plant</t>
  </si>
  <si>
    <t xml:space="preserve">Capacity before (units/month)</t>
  </si>
  <si>
    <t xml:space="preserve">Capacity after (units/month)</t>
  </si>
  <si>
    <t xml:space="preserve">Timing</t>
  </si>
  <si>
    <t xml:space="preserve">Thar (3-door)</t>
  </si>
  <si>
    <t xml:space="preserve">By Q4FY23</t>
  </si>
  <si>
    <t xml:space="preserve">XUV300 / XUV400</t>
  </si>
  <si>
    <t xml:space="preserve">7.5k Q4FY23; 9.5k Q3FY24</t>
  </si>
  <si>
    <t xml:space="preserve">XUV700</t>
  </si>
  <si>
    <t xml:space="preserve">Chakan (media)</t>
  </si>
  <si>
    <t xml:space="preserve">Q3FY24</t>
  </si>
  <si>
    <t xml:space="preserve">Scorpio-N</t>
  </si>
  <si>
    <t xml:space="preserve">Q4FY24</t>
  </si>
  <si>
    <t xml:space="preserve">Thar 3-door + Thar Roxx (fungible)</t>
  </si>
  <si>
    <t xml:space="preserve">Jan-2025 ('a couple of thousand')</t>
  </si>
  <si>
    <t xml:space="preserve">After value is approximate</t>
  </si>
  <si>
    <t xml:space="preserve">MM06</t>
  </si>
  <si>
    <t xml:space="preserve">Bolero family</t>
  </si>
  <si>
    <t xml:space="preserve">Ongoing</t>
  </si>
  <si>
    <t xml:space="preserve">MM18</t>
  </si>
  <si>
    <t xml:space="preserve">Scorpio Classic (incl. pickup)</t>
  </si>
  <si>
    <t xml:space="preserve">BEV (INGLO + XUV400)</t>
  </si>
  <si>
    <t xml:space="preserve">FY25 5k; FY26 8k; H2FY27 12k</t>
  </si>
  <si>
    <t xml:space="preserve">MM08; MM09</t>
  </si>
  <si>
    <t xml:space="preserve">H1FY27 ICE debottlenecking (56.5k -&gt; 60k/month)</t>
  </si>
  <si>
    <t xml:space="preserve">Existing plants</t>
  </si>
  <si>
    <t xml:space="preserve">H1FY27</t>
  </si>
  <si>
    <t xml:space="preserve">Under execution ('on track')</t>
  </si>
  <si>
    <t xml:space="preserve">3.5k/month x 12</t>
  </si>
  <si>
    <t xml:space="preserve">MM08; MM19</t>
  </si>
  <si>
    <t xml:space="preserve">H2FY27 new-launch capacity (+10k ICE, +4k BEV per month)</t>
  </si>
  <si>
    <t xml:space="preserve">H2FY27</t>
  </si>
  <si>
    <t xml:space="preserve">Confirmed by company</t>
  </si>
  <si>
    <t xml:space="preserve">Capex = FY25-FY27 auto programme</t>
  </si>
  <si>
    <t xml:space="preserve">MM07; MM09</t>
  </si>
  <si>
    <t xml:space="preserve">Chakan NU_IQ line (+10k/month)</t>
  </si>
  <si>
    <t xml:space="preserve">By FY28-end</t>
  </si>
  <si>
    <t xml:space="preserve">Takes operational capacity to 92k/month</t>
  </si>
  <si>
    <t xml:space="preserve">MM09</t>
  </si>
  <si>
    <t xml:space="preserve">Nagpur phase 1 (+20k/month)</t>
  </si>
  <si>
    <t xml:space="preserve">H1FY30</t>
  </si>
  <si>
    <t xml:space="preserve">Announced; SOP 2028</t>
  </si>
  <si>
    <t xml:space="preserve">Capex = total Nagpur over a decade</t>
  </si>
  <si>
    <t xml:space="preserve">MM08; MM10</t>
  </si>
  <si>
    <t xml:space="preserve">Nagpur phase 2 (+20k/month)</t>
  </si>
  <si>
    <t xml:space="preserve">H1FY31</t>
  </si>
  <si>
    <t xml:space="preserve">c.132k/month total</t>
  </si>
  <si>
    <t xml:space="preserve">MM08</t>
  </si>
  <si>
    <t xml:space="preserve">Target: double capacity FY26 -&gt; FY31</t>
  </si>
  <si>
    <t xml:space="preserve">FY31</t>
  </si>
  <si>
    <t xml:space="preserve">Separately 'c.10 lakh by 2030' reported (MM11)</t>
  </si>
  <si>
    <r>
      <rPr>
        <b val="true"/>
        <sz val="9"/>
        <rFont val="Arial"/>
        <family val="0"/>
        <charset val="1"/>
      </rPr>
      <t xml:space="preserve">Ramp is real but runs behind plan.</t>
    </r>
    <r>
      <rPr>
        <sz val="9"/>
        <rFont val="Arial"/>
        <family val="0"/>
        <charset val="1"/>
      </rPr>
      <t xml:space="preserve"> FY25 exit 59k vs 64k guided; FY26 exit 64.5k vs 72k guided — c.8-10% annual slippage.</t>
    </r>
  </si>
  <si>
    <r>
      <rPr>
        <b val="true"/>
        <sz val="9"/>
        <rFont val="Arial"/>
        <family val="0"/>
        <charset val="1"/>
      </rPr>
      <t xml:space="preserve">BEV is still a small slice.</t>
    </r>
    <r>
      <rPr>
        <sz val="9"/>
        <rFont val="Arial"/>
        <family val="0"/>
        <charset val="1"/>
      </rPr>
      <t xml:space="preserve"> 8k/month (12% of total) at FY26-end; EV lines run at 93% (Q3FY26, media).</t>
    </r>
  </si>
  <si>
    <r>
      <rPr>
        <b val="true"/>
        <sz val="9"/>
        <rFont val="Arial"/>
        <family val="0"/>
        <charset val="1"/>
      </rPr>
      <t xml:space="preserve">Utilisation proxy excludes exports.</t>
    </r>
    <r>
      <rPr>
        <sz val="9"/>
        <rFont val="Arial"/>
        <family val="0"/>
        <charset val="1"/>
      </rPr>
      <t xml:space="preserve"> FY26 domestic SUV volume vs annualised capacity gives c.85%; true utilisation is higher.</t>
    </r>
  </si>
  <si>
    <r>
      <rPr>
        <b val="true"/>
        <sz val="9"/>
        <rFont val="Arial"/>
        <family val="0"/>
        <charset val="1"/>
      </rPr>
      <t xml:space="preserve">Pre-FY20 history is a gap.</t>
    </r>
    <r>
      <rPr>
        <sz val="9"/>
        <rFont val="Arial"/>
        <family val="0"/>
        <charset val="1"/>
      </rPr>
      <t xml:space="preserve"> No consistent auto capacity series before FY20 in sources reviewed — fill from ARs.</t>
    </r>
  </si>
  <si>
    <t xml:space="preserve">Tata Motors Passenger Vehicles Ltd (TMPV) — India PV/EV (ex-JLR plants abroad)</t>
  </si>
  <si>
    <t xml:space="preserve">TMPV IN  |  Segment: PV  |  Units: vehicles p.a. unless stated  |  FY = year to 31-Mar  |  As of 14-Oct-2026</t>
  </si>
  <si>
    <t xml:space="preserve">Scope: India PV/EV capacity: Pune (Pimpri/Chikhli), Ranjangaon (FIAPL JV with Stellantis), Sanand I, Sanand II (ex-Ford, TPEML), Panapakkam (with JLR, from Feb-2026). TMPV demerged from the CV business on 1-Oct-2025.</t>
  </si>
  <si>
    <t xml:space="preserve">As of Jun/Jul-2026 (mgmt)  [TP12; TP08]</t>
  </si>
  <si>
    <t xml:space="preserve">Jun/Jul-2026 (mgmt)</t>
  </si>
  <si>
    <t xml:space="preserve">Installed PV capacity per management commentary (c.0.9m); Investor Day 2024 cited '1mn+' incl. expandable Sanand-2</t>
  </si>
  <si>
    <t xml:space="preserve">5+ — Pune (five plants), Ranjangaon (JV), Sanand I &amp; II, Panapakkam</t>
  </si>
  <si>
    <t xml:space="preserve">Total PV sales FY26 (c.642k incl. exports)</t>
  </si>
  <si>
    <t xml:space="preserve">[TP11; TP12]</t>
  </si>
  <si>
    <t xml:space="preserve">2-3 years from Jun-2026 (c.FY29)</t>
  </si>
  <si>
    <r>
      <rPr>
        <b val="true"/>
        <sz val="10"/>
        <rFont val="Arial"/>
        <family val="0"/>
        <charset val="1"/>
      </rPr>
      <t xml:space="preserve">Ample in aggregate, tight by model.</t>
    </r>
    <r>
      <rPr>
        <sz val="10"/>
        <rFont val="Arial"/>
        <family val="0"/>
        <charset val="1"/>
      </rPr>
      <t xml:space="preserve"> c.0.9m installed vs c.642k FY26 sales (c.71%) yet management cites demand of c.70k/month outrunning supply — the constraint sits in specific shops and lines, which the Sanand +300k brownfield and multi-product line flexibility target.</t>
    </r>
  </si>
  <si>
    <t xml:space="preserve">Management-commentary only; no year-end series since FY11. FY24 '1mn+' (Investor Day) vs c.0.9m (Jun-2026) — definitional (expandable vs installed); not entered.</t>
  </si>
  <si>
    <t xml:space="preserve">FY10-FY12: 'Tata &amp; other brand' cars + UVs per 20-F (incl. Fiat cars distributed and exports) — not like-for-like. FY26 c.642k (rounded, media).</t>
  </si>
  <si>
    <t xml:space="preserve">Domestic PV (incl. EV).</t>
  </si>
  <si>
    <t xml:space="preserve">TP01</t>
  </si>
  <si>
    <t xml:space="preserve">TP01; TP02</t>
  </si>
  <si>
    <t xml:space="preserve">TP04</t>
  </si>
  <si>
    <t xml:space="preserve">TP05</t>
  </si>
  <si>
    <t xml:space="preserve">TP06</t>
  </si>
  <si>
    <t xml:space="preserve">TP07</t>
  </si>
  <si>
    <t xml:space="preserve">MM13</t>
  </si>
  <si>
    <t xml:space="preserve">TP08; TP11; TP12; MM13</t>
  </si>
  <si>
    <t xml:space="preserve">Nano interim at Pantnagar; Sanand from Jun-2010</t>
  </si>
  <si>
    <t xml:space="preserve">Nano capacity 250k (Sanand I)</t>
  </si>
  <si>
    <t xml:space="preserve">JLR CKD at Pune from May-2011</t>
  </si>
  <si>
    <t xml:space="preserve">Sanand I 154k at 100% utilisation</t>
  </si>
  <si>
    <t xml:space="preserve">480k across plants (pre-Ford)</t>
  </si>
  <si>
    <t xml:space="preserve">Sanand II acquired (Jan-2023)</t>
  </si>
  <si>
    <t xml:space="preserve">Investor Day: '1mn+' incl. Sanand-2 300k (exp. 420k)</t>
  </si>
  <si>
    <t xml:space="preserve">Panapakkam SOP 9-Feb-2026; demerger 1-Oct-2025</t>
  </si>
  <si>
    <t xml:space="preserve">Sanand I (Nano -&gt; Tiago/Tigor)</t>
  </si>
  <si>
    <t xml:space="preserve">Nano installed 250k; Aug-2018 statement placed in FY19 [TP02; TP04]</t>
  </si>
  <si>
    <t xml:space="preserve">Sanand II (ex-Ford)</t>
  </si>
  <si>
    <t xml:space="preserve">300k, expandable to 420k [TP06; TP07]</t>
  </si>
  <si>
    <t xml:space="preserve">Pune PV (Pimpri/Chikhli)</t>
  </si>
  <si>
    <t xml:space="preserve">Not disclosed</t>
  </si>
  <si>
    <t xml:space="preserve">Ranjangaon (FIAPL JV)</t>
  </si>
  <si>
    <t xml:space="preserve">Panapakkam (with JLR)</t>
  </si>
  <si>
    <t xml:space="preserve">Design 250k over 5-7 years; phase 1 CKD c.30k (media) [TP09; TP10]</t>
  </si>
  <si>
    <t xml:space="preserve">Pune — Pimpri/Chikhli</t>
  </si>
  <si>
    <t xml:space="preserve">TMPV</t>
  </si>
  <si>
    <t xml:space="preserve">1991 (PV entry)</t>
  </si>
  <si>
    <t xml:space="preserve">PV; JLR CKD</t>
  </si>
  <si>
    <t xml:space="preserve">Harrier, Safari, Altroz, Punch (2022); JLR CKD (Freelander 2 from May-2011; later RR/RRS)</t>
  </si>
  <si>
    <t xml:space="preserve">OMEGA; ALFA</t>
  </si>
  <si>
    <t xml:space="preserve">'Five plants in Pune' (mgmt, Jul-2026); JLR CKD to move to Panapakkam</t>
  </si>
  <si>
    <t xml:space="preserve">[Medium] TP01; TP05; TP12</t>
  </si>
  <si>
    <t xml:space="preserve">Ranjangaon (FIAPL)</t>
  </si>
  <si>
    <t xml:space="preserve">JV with Fiat/Stellantis</t>
  </si>
  <si>
    <t xml:space="preserve">Apr-2008</t>
  </si>
  <si>
    <t xml:space="preserve">PV + powertrain</t>
  </si>
  <si>
    <t xml:space="preserve">Nexon (2022); historically Linea, Punto, Manza</t>
  </si>
  <si>
    <t xml:space="preserve">X1 (legacy)</t>
  </si>
  <si>
    <t xml:space="preserve">Also engines and transmissions</t>
  </si>
  <si>
    <t xml:space="preserve">[Medium] TP01; TP05</t>
  </si>
  <si>
    <t xml:space="preserve">Sanand I</t>
  </si>
  <si>
    <t xml:space="preserve">Sanand, Gujarat</t>
  </si>
  <si>
    <t xml:space="preserve">Jun-2010</t>
  </si>
  <si>
    <t xml:space="preserve">PV, EV</t>
  </si>
  <si>
    <t xml:space="preserve">Tiago, Tigor (incl. Tigor EV from Dec-2017); Nano 2010-18</t>
  </si>
  <si>
    <t xml:space="preserve">Aug-2018</t>
  </si>
  <si>
    <t xml:space="preserve">Built after Singur exit (Oct-2008); Nano interim at Pantnagar</t>
  </si>
  <si>
    <t xml:space="preserve">[High] TP02; TP03; TP04</t>
  </si>
  <si>
    <t xml:space="preserve">Tata Passenger Electric Mobility (TPEML)</t>
  </si>
  <si>
    <t xml:space="preserve">Acquired Jan-2023; SOP within 12 months</t>
  </si>
  <si>
    <t xml:space="preserve">n.d. in sources reviewed</t>
  </si>
  <si>
    <t xml:space="preserve">Jun-2024</t>
  </si>
  <si>
    <t xml:space="preserve">Operating; +300k brownfield announced</t>
  </si>
  <si>
    <t xml:space="preserve">Expandable to 420k; adjacent to Sanand I and vendor park</t>
  </si>
  <si>
    <t xml:space="preserve">[High] TP06; TP07; TP11</t>
  </si>
  <si>
    <t xml:space="preserve">Panapakkam</t>
  </si>
  <si>
    <t xml:space="preserve">Ranipet, Tamil Nadu</t>
  </si>
  <si>
    <t xml:space="preserve">TMPV with JLR</t>
  </si>
  <si>
    <t xml:space="preserve">09-Feb-2026</t>
  </si>
  <si>
    <t xml:space="preserve">PV incl. EV (Tata + JLR)</t>
  </si>
  <si>
    <t xml:space="preserve">Range Rover Evoque (CKD) first</t>
  </si>
  <si>
    <t xml:space="preserve">Future next-gen platforms incl. EV</t>
  </si>
  <si>
    <t xml:space="preserve">c.30,000 (media)</t>
  </si>
  <si>
    <t xml:space="preserve">250,000 design</t>
  </si>
  <si>
    <t xml:space="preserve">Ramp-up (phase 1 CKD)</t>
  </si>
  <si>
    <t xml:space="preserve">Rs9,000cr; c.470 acres; 100% renewable; to centralise JLR CKD</t>
  </si>
  <si>
    <t xml:space="preserve">[High design / Low initial] TP08; TP09; TP10</t>
  </si>
  <si>
    <t xml:space="preserve">Memo: Pantnagar (Nano interim)</t>
  </si>
  <si>
    <t xml:space="preserve">Tata Motors</t>
  </si>
  <si>
    <t xml:space="preserve">2009</t>
  </si>
  <si>
    <t xml:space="preserve">PV (interim)</t>
  </si>
  <si>
    <t xml:space="preserve">Nano</t>
  </si>
  <si>
    <t xml:space="preserve">c.60,000 (5,000/month)</t>
  </si>
  <si>
    <t xml:space="preserve">Exited</t>
  </si>
  <si>
    <t xml:space="preserve">2010</t>
  </si>
  <si>
    <t xml:space="preserve">Ended after Sanand SOP</t>
  </si>
  <si>
    <t xml:space="preserve">[Low] TP03</t>
  </si>
  <si>
    <t xml:space="preserve">Entry into PVs</t>
  </si>
  <si>
    <t xml:space="preserve">1991</t>
  </si>
  <si>
    <t xml:space="preserve">FY92</t>
  </si>
  <si>
    <t xml:space="preserve">Business entry</t>
  </si>
  <si>
    <t xml:space="preserve">Sierra; Indica 1998</t>
  </si>
  <si>
    <t xml:space="preserve">FIAPL Ranjangaon JV plant</t>
  </si>
  <si>
    <t xml:space="preserve">JV plant</t>
  </si>
  <si>
    <t xml:space="preserve">Ranjangaon</t>
  </si>
  <si>
    <t xml:space="preserve">Established</t>
  </si>
  <si>
    <t xml:space="preserve">With Fiat (now Stellantis)</t>
  </si>
  <si>
    <t xml:space="preserve">Nano interim production</t>
  </si>
  <si>
    <t xml:space="preserve">Interim</t>
  </si>
  <si>
    <t xml:space="preserve">Pantnagar</t>
  </si>
  <si>
    <t xml:space="preserve">5,000/month</t>
  </si>
  <si>
    <t xml:space="preserve">TP03</t>
  </si>
  <si>
    <t xml:space="preserve">Sanand I SOP (Nano)</t>
  </si>
  <si>
    <t xml:space="preserve">Output &lt;50% of capacity (2011)</t>
  </si>
  <si>
    <t xml:space="preserve">TP02; TP04</t>
  </si>
  <si>
    <t xml:space="preserve">JLR CKD at Pune</t>
  </si>
  <si>
    <t xml:space="preserve">May-2011</t>
  </si>
  <si>
    <t xml:space="preserve">CKD line</t>
  </si>
  <si>
    <t xml:space="preserve">Freelander 2</t>
  </si>
  <si>
    <t xml:space="preserve">Sanand I capacity stated</t>
  </si>
  <si>
    <t xml:space="preserve">At 100% utilisation</t>
  </si>
  <si>
    <t xml:space="preserve">Group PV capacity stated</t>
  </si>
  <si>
    <t xml:space="preserve">Mar-2022</t>
  </si>
  <si>
    <t xml:space="preserve">All</t>
  </si>
  <si>
    <t xml:space="preserve">MoU to acquire Ford Sanand</t>
  </si>
  <si>
    <t xml:space="preserve">30-May-2022</t>
  </si>
  <si>
    <t xml:space="preserve">Acquisition (MoU)</t>
  </si>
  <si>
    <t xml:space="preserve">Sanand II</t>
  </si>
  <si>
    <t xml:space="preserve">Completed Jan-2023</t>
  </si>
  <si>
    <t xml:space="preserve">Scalable to 420k</t>
  </si>
  <si>
    <t xml:space="preserve">Sanand II SOP</t>
  </si>
  <si>
    <t xml:space="preserve">Within 12 months of acquisition</t>
  </si>
  <si>
    <t xml:space="preserve">Plant restart</t>
  </si>
  <si>
    <t xml:space="preserve">Investor Day: capacity '1mn+'</t>
  </si>
  <si>
    <t xml:space="preserve">Panapakkam groundbreaking</t>
  </si>
  <si>
    <t xml:space="preserve">Sep-2024</t>
  </si>
  <si>
    <t xml:space="preserve">TP08; TP09</t>
  </si>
  <si>
    <t xml:space="preserve">CV/PV demerger effective</t>
  </si>
  <si>
    <t xml:space="preserve">Corporate</t>
  </si>
  <si>
    <t xml:space="preserve">Effective</t>
  </si>
  <si>
    <t xml:space="preserve">TMPV = PV + EV + JLR</t>
  </si>
  <si>
    <t xml:space="preserve">TC06</t>
  </si>
  <si>
    <t xml:space="preserve">Panapakkam SOP (Evoque CKD)</t>
  </si>
  <si>
    <t xml:space="preserve">250k design</t>
  </si>
  <si>
    <t xml:space="preserve">Commissioned (phase 1)</t>
  </si>
  <si>
    <t xml:space="preserve">Ramp over 5-7 years</t>
  </si>
  <si>
    <t xml:space="preserve">Plan to 1.3m capacity</t>
  </si>
  <si>
    <t xml:space="preserve">30-Jun-2026</t>
  </si>
  <si>
    <t xml:space="preserve">Expansion (announced)</t>
  </si>
  <si>
    <t xml:space="preserve">Sanand + debottlenecking</t>
  </si>
  <si>
    <t xml:space="preserve">Sanand +300k brownfield</t>
  </si>
  <si>
    <t xml:space="preserve">TP11; TP12</t>
  </si>
  <si>
    <t xml:space="preserve">ALFA</t>
  </si>
  <si>
    <t xml:space="preserve">ICE (+EV variants)</t>
  </si>
  <si>
    <t xml:space="preserve">Premium hatch, micro-SUV</t>
  </si>
  <si>
    <t xml:space="preserve">Altroz, Punch</t>
  </si>
  <si>
    <t xml:space="preserve">2020</t>
  </si>
  <si>
    <t xml:space="preserve">[Medium] TP05</t>
  </si>
  <si>
    <t xml:space="preserve">OMEGA (JLR D8-derived)</t>
  </si>
  <si>
    <t xml:space="preserve">ICE; acti.ev+ variant for Harrier.ev</t>
  </si>
  <si>
    <t xml:space="preserve">Harrier, Safari</t>
  </si>
  <si>
    <t xml:space="preserve">ICE / EV</t>
  </si>
  <si>
    <t xml:space="preserve">Hatch, sedan, sub-4m SUV</t>
  </si>
  <si>
    <t xml:space="preserve">Tiago, Tigor, Nexon (ICE &amp; EV)</t>
  </si>
  <si>
    <t xml:space="preserve">Sanand I; Ranjangaon</t>
  </si>
  <si>
    <t xml:space="preserve">2016-17</t>
  </si>
  <si>
    <t xml:space="preserve">Naming per media</t>
  </si>
  <si>
    <t xml:space="preserve">[Low-Med] TP04; TP05</t>
  </si>
  <si>
    <t xml:space="preserve">acti.ev (Gen-2 pure EV)</t>
  </si>
  <si>
    <t xml:space="preserve">Micro to mid SUV</t>
  </si>
  <si>
    <t xml:space="preserve">Punch.ev, Curvv.ev</t>
  </si>
  <si>
    <t xml:space="preserve">2024</t>
  </si>
  <si>
    <t xml:space="preserve">Company: underpins next-gen Tata.ev products</t>
  </si>
  <si>
    <t xml:space="preserve">[Medium] TP07</t>
  </si>
  <si>
    <t xml:space="preserve">Avinya (Gen-3)</t>
  </si>
  <si>
    <t xml:space="preserve">Premium</t>
  </si>
  <si>
    <t xml:space="preserve">Avinya</t>
  </si>
  <si>
    <t xml:space="preserve">n.d. (Panapakkam candidate)</t>
  </si>
  <si>
    <t xml:space="preserve">FY27+</t>
  </si>
  <si>
    <t xml:space="preserve">Platform synergies with JLR</t>
  </si>
  <si>
    <t xml:space="preserve">[Low] TP07</t>
  </si>
  <si>
    <t xml:space="preserve">Sanand brownfield (+300k)</t>
  </si>
  <si>
    <t xml:space="preserve">2-3 years from Jun-2026</t>
  </si>
  <si>
    <t xml:space="preserve">Flexible ICE/CNG/EV lines</t>
  </si>
  <si>
    <t xml:space="preserve">Debottlenecking of existing shops</t>
  </si>
  <si>
    <t xml:space="preserve">Pune / Sanand / Ranjangaon</t>
  </si>
  <si>
    <t xml:space="preserve">Under way</t>
  </si>
  <si>
    <t xml:space="preserve">Not quantified; explains residual to 1.3m</t>
  </si>
  <si>
    <t xml:space="preserve">TP11</t>
  </si>
  <si>
    <t xml:space="preserve">Panapakkam ramp to 250k (shared with JLR)</t>
  </si>
  <si>
    <t xml:space="preserve">5-7 years from Feb-2026</t>
  </si>
  <si>
    <t xml:space="preserve">Phase 1 CKD live</t>
  </si>
  <si>
    <t xml:space="preserve">Excluded from TMPV total: shared with JLR and not cited in the 1.3m roadmap</t>
  </si>
  <si>
    <t xml:space="preserve">TP09; TP10</t>
  </si>
  <si>
    <t xml:space="preserve">Target: 1.3m installed</t>
  </si>
  <si>
    <t xml:space="preserve">c.FY29</t>
  </si>
  <si>
    <t xml:space="preserve">FY31 PV volume aspiration &gt;1.2m</t>
  </si>
  <si>
    <r>
      <rPr>
        <b val="true"/>
        <sz val="9"/>
        <rFont val="Arial"/>
        <family val="0"/>
        <charset val="1"/>
      </rPr>
      <t xml:space="preserve">Ford Sanand was the cheapest capacity in the sector.</t>
    </r>
    <r>
      <rPr>
        <sz val="9"/>
        <rFont val="Arial"/>
        <family val="0"/>
        <charset val="1"/>
      </rPr>
      <t xml:space="preserve"> 300k (expandable to 420k) in production within 12 months of acquisition.</t>
    </r>
  </si>
  <si>
    <r>
      <rPr>
        <b val="true"/>
        <sz val="9"/>
        <rFont val="Arial"/>
        <family val="0"/>
        <charset val="1"/>
      </rPr>
      <t xml:space="preserve">Disclosure is commentary-only.</t>
    </r>
    <r>
      <rPr>
        <sz val="9"/>
        <rFont val="Arial"/>
        <family val="0"/>
        <charset val="1"/>
      </rPr>
      <t xml:space="preserve"> No year-end series since FY11; Investor Day (1mn+) and Jun-2026 (c.0.9m) differ on definition.</t>
    </r>
  </si>
  <si>
    <r>
      <rPr>
        <b val="true"/>
        <sz val="9"/>
        <rFont val="Arial"/>
        <family val="0"/>
        <charset val="1"/>
      </rPr>
      <t xml:space="preserve">Panapakkam is a JLR-first site.</t>
    </r>
    <r>
      <rPr>
        <sz val="9"/>
        <rFont val="Arial"/>
        <family val="0"/>
        <charset val="1"/>
      </rPr>
      <t xml:space="preserve"> Evoque CKD first; Tata-brand volume there is a FY28+ story.</t>
    </r>
  </si>
  <si>
    <r>
      <rPr>
        <b val="true"/>
        <sz val="9"/>
        <rFont val="Arial"/>
        <family val="0"/>
        <charset val="1"/>
      </rPr>
      <t xml:space="preserve">Volume history is not like-for-like.</t>
    </r>
    <r>
      <rPr>
        <sz val="9"/>
        <rFont val="Arial"/>
        <family val="0"/>
        <charset val="1"/>
      </rPr>
      <t xml:space="preserve"> FY10-FY12 20-F volumes include Fiat cars distributed; use FY25-FY26 for utilisation.</t>
    </r>
  </si>
  <si>
    <t xml:space="preserve">Tata Motors Ltd (TMCV) — commercial vehicles (formerly TML Commercial Vehicles)</t>
  </si>
  <si>
    <t xml:space="preserve">TMCV IN  |  Segment: CV  |  Units: vehicles p.a. unless stated  |  FY = year to 31-Mar  |  As of 14-Oct-2026</t>
  </si>
  <si>
    <t xml:space="preserve">Scope: India CV plants: Jamshedpur, Pune (CV), Lucknow, Pantnagar, Dharwad ('5 plants' per Investor Day 2024). Excludes Tata Daewoo (Korea) and pending Iveco acquisition.</t>
  </si>
  <si>
    <t xml:space="preserve">As of Not disclosed  [—]</t>
  </si>
  <si>
    <t xml:space="preserve">No consolidated CV installed capacity found in sources reviewed</t>
  </si>
  <si>
    <t xml:space="preserve">5 — Jamshedpur, Pune, Lucknow, Pantnagar, Dharwad</t>
  </si>
  <si>
    <t xml:space="preserve">Total CV sales FY26 (domestic + exports)</t>
  </si>
  <si>
    <t xml:space="preserve">No current capacity disclosure</t>
  </si>
  <si>
    <t xml:space="preserve">No disclosed current base</t>
  </si>
  <si>
    <t xml:space="preserve">[—]</t>
  </si>
  <si>
    <r>
      <rPr>
        <b val="true"/>
        <sz val="10"/>
        <rFont val="Arial"/>
        <family val="0"/>
        <charset val="1"/>
      </rPr>
      <t xml:space="preserve">The story is footprint, not units.</t>
    </r>
    <r>
      <rPr>
        <sz val="10"/>
        <rFont val="Arial"/>
        <family val="0"/>
        <charset val="1"/>
      </rPr>
      <t xml:space="preserve"> No consolidated CV capacity figure is published post-FY11. FY26 sales rise 14% to 428k with capex guided at only 2-4% of revenue — brownfield headroom is assumed adequate. The Iveco tender (settlement 30-Oct-2026) adds a European/LatAm footprint and takes combined volume to 540k+.</t>
    </r>
  </si>
  <si>
    <t xml:space="preserve">Not disclosed in sources reviewed. Last statutory disclosure would be the FY11 'licensed and installed capacity' note (old Schedule VI).</t>
  </si>
  <si>
    <t xml:space="preserve">FY10-FY12: LCV + M&amp;HCV 'Tata &amp; other brand' per 20-F — includes Tata Daewoo (Korea) and international ops; not like-for-like with FY25-FY26 (India CV business).</t>
  </si>
  <si>
    <t xml:space="preserve">TC05</t>
  </si>
  <si>
    <t xml:space="preserve">TC05; TC03</t>
  </si>
  <si>
    <t xml:space="preserve">Prima launched (with Tata Daewoo)</t>
  </si>
  <si>
    <t xml:space="preserve">Ultra LCV/ICV range shown (Auto Expo 2012)</t>
  </si>
  <si>
    <t xml:space="preserve">MHCV production added at Pantnagar (c.2019-20)</t>
  </si>
  <si>
    <t xml:space="preserve">Investor Day: 5 CV plants; capex 2-4% of revenue</t>
  </si>
  <si>
    <t xml:space="preserve">Demerger 1-Oct-2025; Lucknow rated &gt;100k</t>
  </si>
  <si>
    <t xml:space="preserve">Pantnagar (design at SOP)</t>
  </si>
  <si>
    <t xml:space="preserve">2.25 lakh p.a. planned at SOP (Apr-2007) [TC02]</t>
  </si>
  <si>
    <t xml:space="preserve">Lucknow (rated)</t>
  </si>
  <si>
    <t xml:space="preserve">'More than 100,000' (Apr-2026) — lower bound [TC03]</t>
  </si>
  <si>
    <t xml:space="preserve">Jamshedpur</t>
  </si>
  <si>
    <t xml:space="preserve">Jharkhand</t>
  </si>
  <si>
    <t xml:space="preserve">TMCV</t>
  </si>
  <si>
    <t xml:space="preserve">1945 (CVs from 1954)</t>
  </si>
  <si>
    <t xml:space="preserve">M&amp;HCV trucks</t>
  </si>
  <si>
    <t xml:space="preserve">Prima, Signa (per media)</t>
  </si>
  <si>
    <t xml:space="preserve">Prima; Signa</t>
  </si>
  <si>
    <t xml:space="preserve">First plant; CVs since 1954 under Daimler-Benz collaboration</t>
  </si>
  <si>
    <t xml:space="preserve">[Medium] TP01</t>
  </si>
  <si>
    <t xml:space="preserve">Pune (CV)</t>
  </si>
  <si>
    <t xml:space="preserve">Pimpri/Chinchwad, Maharashtra</t>
  </si>
  <si>
    <t xml:space="preserve">LCV/ICV/SCV, vans</t>
  </si>
  <si>
    <t xml:space="preserve">Ultra (n.d.)</t>
  </si>
  <si>
    <t xml:space="preserve">Shares campus history with PV operations</t>
  </si>
  <si>
    <t xml:space="preserve">[Low] TP01; TC10</t>
  </si>
  <si>
    <t xml:space="preserve">Lucknow</t>
  </si>
  <si>
    <t xml:space="preserve">Uttar Pradesh</t>
  </si>
  <si>
    <t xml:space="preserve">1992</t>
  </si>
  <si>
    <t xml:space="preserve">Trucks and buses incl. e-buses, FCEV</t>
  </si>
  <si>
    <t xml:space="preserve">&gt;100,000 (rated)</t>
  </si>
  <si>
    <t xml:space="preserve">Apr-2026</t>
  </si>
  <si>
    <t xml:space="preserve">c.600 acres; 1m cumulative; 100% renewable power</t>
  </si>
  <si>
    <t xml:space="preserve">[High] TC03</t>
  </si>
  <si>
    <t xml:space="preserve">Aug-2007</t>
  </si>
  <si>
    <t xml:space="preserve">SCV (Ace, Magic, Intra); MHCV from c.2019</t>
  </si>
  <si>
    <t xml:space="preserve">Ace family</t>
  </si>
  <si>
    <t xml:space="preserve">Ace; Intra</t>
  </si>
  <si>
    <t xml:space="preserve">Rs1,000cr; built in c.11 months; Uttarakhand fiscal incentives</t>
  </si>
  <si>
    <t xml:space="preserve">[Medium] TC02; TC09; TP01</t>
  </si>
  <si>
    <t xml:space="preserve">Dharwad</t>
  </si>
  <si>
    <t xml:space="preserve">Karnataka</t>
  </si>
  <si>
    <t xml:space="preserve">TMCV (ex-Tata Marcopolo JV)</t>
  </si>
  <si>
    <t xml:space="preserve">Buses (bodies, fully built)</t>
  </si>
  <si>
    <t xml:space="preserve">Marcopolo JV formed May-2006 (TML 51%)</t>
  </si>
  <si>
    <t xml:space="preserve">Memo: Iveco Group</t>
  </si>
  <si>
    <t xml:space="preserve">Europe, LatAm</t>
  </si>
  <si>
    <t xml:space="preserve">TML CV Holdings BV (offeror)</t>
  </si>
  <si>
    <t xml:space="preserve">Trucks, vans, buses, powertrain (FPT)</t>
  </si>
  <si>
    <t xml:space="preserve">Tender open; settlement 30-Oct-2026</t>
  </si>
  <si>
    <t xml:space="preserve">EUR3.8bn; combined 540k+ units; no plant closures for two years post-close</t>
  </si>
  <si>
    <t xml:space="preserve">[High] TC07; TC08</t>
  </si>
  <si>
    <t xml:space="preserve">Tata Daewoo acquisition</t>
  </si>
  <si>
    <t xml:space="preserve">2004</t>
  </si>
  <si>
    <t xml:space="preserve">FY05</t>
  </si>
  <si>
    <t xml:space="preserve">Gunsan, Korea</t>
  </si>
  <si>
    <t xml:space="preserve">Co-developed Prima</t>
  </si>
  <si>
    <t xml:space="preserve">Tata Marcopolo JV</t>
  </si>
  <si>
    <t xml:space="preserve">May-2006</t>
  </si>
  <si>
    <t xml:space="preserve">JV</t>
  </si>
  <si>
    <t xml:space="preserve">Production from FY09</t>
  </si>
  <si>
    <t xml:space="preserve">TML 51%</t>
  </si>
  <si>
    <t xml:space="preserve">Pantnagar SOP (Ace)</t>
  </si>
  <si>
    <t xml:space="preserve">Capacity = plan at announcement (Dec-2006)</t>
  </si>
  <si>
    <t xml:space="preserve">TC02; TP01</t>
  </si>
  <si>
    <t xml:space="preserve">MHCV production added at Pantnagar</t>
  </si>
  <si>
    <t xml:space="preserve">c.2019-20</t>
  </si>
  <si>
    <t xml:space="preserve">Line addition</t>
  </si>
  <si>
    <t xml:space="preserve">Plan to raise MHCV output (Jul-2020)</t>
  </si>
  <si>
    <t xml:space="preserve">TC09</t>
  </si>
  <si>
    <t xml:space="preserve">Investor Day: five CV plants</t>
  </si>
  <si>
    <t xml:space="preserve">11-Jun-2024</t>
  </si>
  <si>
    <t xml:space="preserve">Capex 2-4% of revenue; bus body capacity raised for seasonal peaks</t>
  </si>
  <si>
    <t xml:space="preserve">Iveco offer announced</t>
  </si>
  <si>
    <t xml:space="preserve">30-Jul-2025</t>
  </si>
  <si>
    <t xml:space="preserve">Acquisition (announced)</t>
  </si>
  <si>
    <t xml:space="preserve">Iveco (Europe/LatAm)</t>
  </si>
  <si>
    <t xml:space="preserve">EUR3.8bn</t>
  </si>
  <si>
    <t xml:space="preserve">Excludes Iveco Defence</t>
  </si>
  <si>
    <t xml:space="preserve">TC08</t>
  </si>
  <si>
    <t xml:space="preserve">TML CV renamed Tata Motors Ltd</t>
  </si>
  <si>
    <t xml:space="preserve">Lucknow 10 lakh cumulative</t>
  </si>
  <si>
    <t xml:space="preserve">15-Apr-2026</t>
  </si>
  <si>
    <t xml:space="preserve">Milestone</t>
  </si>
  <si>
    <t xml:space="preserve">&gt;100,000 rated</t>
  </si>
  <si>
    <t xml:space="preserve">TC03</t>
  </si>
  <si>
    <t xml:space="preserve">Iveco tender offer</t>
  </si>
  <si>
    <t xml:space="preserve">07-Sep to 26-Oct-2026</t>
  </si>
  <si>
    <t xml:space="preserve">Acquisition (tender)</t>
  </si>
  <si>
    <t xml:space="preserve">Iveco</t>
  </si>
  <si>
    <t xml:space="preserve">Settlement 30-Oct-2026</t>
  </si>
  <si>
    <t xml:space="preserve">Consob approval 3-Sep-2026</t>
  </si>
  <si>
    <t xml:space="preserve">TC07</t>
  </si>
  <si>
    <t xml:space="preserve">Ace</t>
  </si>
  <si>
    <t xml:space="preserve">ICE / CNG / EV</t>
  </si>
  <si>
    <t xml:space="preserve">SCV (&lt;1t)</t>
  </si>
  <si>
    <t xml:space="preserve">Ace family, Ace EV, Magic</t>
  </si>
  <si>
    <t xml:space="preserve">May-2005</t>
  </si>
  <si>
    <t xml:space="preserve">100k units in 22 months</t>
  </si>
  <si>
    <t xml:space="preserve">[High] TP01</t>
  </si>
  <si>
    <t xml:space="preserve">Intra / Yodha</t>
  </si>
  <si>
    <t xml:space="preserve">ICE / CNG</t>
  </si>
  <si>
    <t xml:space="preserve">Pickups</t>
  </si>
  <si>
    <t xml:space="preserve">Intra V-series, Yodha</t>
  </si>
  <si>
    <t xml:space="preserve">Ultra</t>
  </si>
  <si>
    <t xml:space="preserve">LCV/ICV 5-14t; buses</t>
  </si>
  <si>
    <t xml:space="preserve">Ultra trucks, Ultra EV bus</t>
  </si>
  <si>
    <t xml:space="preserve">2012</t>
  </si>
  <si>
    <t xml:space="preserve">Shown at Auto Expo 2012</t>
  </si>
  <si>
    <t xml:space="preserve">Signa</t>
  </si>
  <si>
    <t xml:space="preserve">M&amp;HCV</t>
  </si>
  <si>
    <t xml:space="preserve">Signa range</t>
  </si>
  <si>
    <t xml:space="preserve">Jamshedpur / Lucknow (n.d.)</t>
  </si>
  <si>
    <t xml:space="preserve">2016</t>
  </si>
  <si>
    <t xml:space="preserve">Prima</t>
  </si>
  <si>
    <t xml:space="preserve">HCV</t>
  </si>
  <si>
    <t xml:space="preserve">Co-developed with Tata Daewoo</t>
  </si>
  <si>
    <t xml:space="preserve">Buses (Starbus, Magna, e-bus, FCEV)</t>
  </si>
  <si>
    <t xml:space="preserve">ICE / BEV / FCEV</t>
  </si>
  <si>
    <t xml:space="preserve">Buses</t>
  </si>
  <si>
    <t xml:space="preserve">Starbus EV, FCEV bus</t>
  </si>
  <si>
    <t xml:space="preserve">Lucknow; Dharwad</t>
  </si>
  <si>
    <t xml:space="preserve">[Medium] TC03</t>
  </si>
  <si>
    <t xml:space="preserve">Iveco acquisition</t>
  </si>
  <si>
    <t xml:space="preserve">Europe / LatAm</t>
  </si>
  <si>
    <t xml:space="preserve">Tender open</t>
  </si>
  <si>
    <t xml:space="preserve">Not India capacity</t>
  </si>
  <si>
    <t xml:space="preserve">TC07; TC08</t>
  </si>
  <si>
    <t xml:space="preserve">India CV capacity additions</t>
  </si>
  <si>
    <t xml:space="preserve">None disclosed</t>
  </si>
  <si>
    <t xml:space="preserve">Capex guided at 2-4% of revenue</t>
  </si>
  <si>
    <r>
      <rPr>
        <b val="true"/>
        <sz val="9"/>
        <rFont val="Arial"/>
        <family val="0"/>
        <charset val="1"/>
      </rPr>
      <t xml:space="preserve">No capacity series exists in public sources reviewed.</t>
    </r>
    <r>
      <rPr>
        <sz val="9"/>
        <rFont val="Arial"/>
        <family val="0"/>
        <charset val="1"/>
      </rPr>
      <t xml:space="preserve"> Retrieve the FY10-FY11 Schedule VI note and 20-F Item 4.D to anchor history.</t>
    </r>
  </si>
  <si>
    <r>
      <rPr>
        <b val="true"/>
        <sz val="9"/>
        <rFont val="Arial"/>
        <family val="0"/>
        <charset val="1"/>
      </rPr>
      <t xml:space="preserve">Volume has recovered without new plants.</t>
    </r>
    <r>
      <rPr>
        <sz val="9"/>
        <rFont val="Arial"/>
        <family val="0"/>
        <charset val="1"/>
      </rPr>
      <t xml:space="preserve"> FY26 CV sales of 428k (+14%), Q4 +25% YoY.</t>
    </r>
  </si>
  <si>
    <r>
      <rPr>
        <b val="true"/>
        <sz val="9"/>
        <rFont val="Arial"/>
        <family val="0"/>
        <charset val="1"/>
      </rPr>
      <t xml:space="preserve">Iveco changes the denominator, not India.</t>
    </r>
    <r>
      <rPr>
        <sz val="9"/>
        <rFont val="Arial"/>
        <family val="0"/>
        <charset val="1"/>
      </rPr>
      <t xml:space="preserve"> Combined 540k+ units; Tata committed to no plant closures for two years.</t>
    </r>
  </si>
  <si>
    <t xml:space="preserve">Ashok Leyland Ltd</t>
  </si>
  <si>
    <t xml:space="preserve">AL IN  |  Segment: CV  |  Units: vehicles p.a. unless stated  |  FY = year to 31-Mar  |  As of 14-Oct-2026</t>
  </si>
  <si>
    <t xml:space="preserve">Scope: India CV plants: Ennore, Hosur I/II (+ LCV), Alwar, Bhandara, Pantnagar, Vijayawada (buses), Lucknow (EV). Overseas (RAK UAE, Optare UK) excluded.</t>
  </si>
  <si>
    <t xml:space="preserve">As of Sep-2010 (latest found)  [AL03]</t>
  </si>
  <si>
    <t xml:space="preserve">Sep-2010 (latest found)</t>
  </si>
  <si>
    <t xml:space="preserve">Installed capacity across seven plants (2010); no later company total found</t>
  </si>
  <si>
    <t xml:space="preserve">8 vehicle sites in India incl. Vijayawada (2025) and Lucknow EV (2026)</t>
  </si>
  <si>
    <t xml:space="preserve">Total deliveries FY26 (incl. exports)</t>
  </si>
  <si>
    <r>
      <rPr>
        <b val="true"/>
        <sz val="10"/>
        <rFont val="Arial"/>
        <family val="0"/>
        <charset val="1"/>
      </rPr>
      <t xml:space="preserve">Disclosure stops in 2010.</t>
    </r>
    <r>
      <rPr>
        <sz val="10"/>
        <rFont val="Arial"/>
        <family val="0"/>
        <charset val="1"/>
      </rPr>
      <t xml:space="preserve"> New capacity since is bus- and EV-led (Vijayawada 4,800 p.a., Lucknow 2,500 -&gt; 5,000 p.a.) while FY26 deliveries hit a record 220k. Truck capacity headroom must be confirmed with management before modelling the next upcycle.</t>
    </r>
  </si>
  <si>
    <t xml:space="preserve">Only FY11 (150k) found. FY10: 100k across six plants (Oct-2009) + Pantnagar (75k) from Mar-2010 — company total at FY10-end not stated.</t>
  </si>
  <si>
    <t xml:space="preserve">FY26 deliveries per Automotive World (company data). FY10 sales c.64k per CFO (Sep-2010) — not entered.</t>
  </si>
  <si>
    <t xml:space="preserve">Exports 8.2% of FY26 volume.</t>
  </si>
  <si>
    <t xml:space="preserve">AL01; AL02</t>
  </si>
  <si>
    <t xml:space="preserve">AL03</t>
  </si>
  <si>
    <t xml:space="preserve">AL04</t>
  </si>
  <si>
    <t xml:space="preserve">AL11</t>
  </si>
  <si>
    <t xml:space="preserve">AL05</t>
  </si>
  <si>
    <t xml:space="preserve">AL06; AL07</t>
  </si>
  <si>
    <t xml:space="preserve">Oct-2009: 100k across 6 plants; Pantnagar SOP Mar-2010</t>
  </si>
  <si>
    <t xml:space="preserve">150k across 7 plants</t>
  </si>
  <si>
    <t xml:space="preserve">Dost LCV 55k at Hosur (date inferred)</t>
  </si>
  <si>
    <t xml:space="preserve">AVTR (Jun-2020), Phoenix LCV (Sep-2020)</t>
  </si>
  <si>
    <t xml:space="preserve">Vijayawada bus plant 4,800 p.a. (Mar-2025)</t>
  </si>
  <si>
    <t xml:space="preserve">Lucknow EV plant (Jan-2026); record 220k</t>
  </si>
  <si>
    <t xml:space="preserve">Installed 75k at SOP (Mar-2010); 50k cited in 2009 plan [AL01; AL02]</t>
  </si>
  <si>
    <t xml:space="preserve">Hosur — LCV (Dost)</t>
  </si>
  <si>
    <t xml:space="preserve">Article undated (c.2012) [AL04]</t>
  </si>
  <si>
    <t xml:space="preserve">Vijayawada (Malavalli) — buses</t>
  </si>
  <si>
    <t xml:space="preserve">SOP 19-Mar-2025 [AL05]</t>
  </si>
  <si>
    <t xml:space="preserve">Lucknow — EV</t>
  </si>
  <si>
    <t xml:space="preserve">Phase 1; to 5,000 [AL06]</t>
  </si>
  <si>
    <t xml:space="preserve">Ennore</t>
  </si>
  <si>
    <t xml:space="preserve">Chennai, Tamil Nadu</t>
  </si>
  <si>
    <t xml:space="preserve">AL</t>
  </si>
  <si>
    <t xml:space="preserve">1949</t>
  </si>
  <si>
    <t xml:space="preserve">Trucks, buses</t>
  </si>
  <si>
    <t xml:space="preserve">Original plant</t>
  </si>
  <si>
    <t xml:space="preserve">[Medium] AL08</t>
  </si>
  <si>
    <t xml:space="preserve">Hosur I</t>
  </si>
  <si>
    <t xml:space="preserve">1980</t>
  </si>
  <si>
    <t xml:space="preserve">Engines, spares distribution</t>
  </si>
  <si>
    <t xml:space="preserve">[Medium] AL08; AL09</t>
  </si>
  <si>
    <t xml:space="preserve">Hosur II</t>
  </si>
  <si>
    <t xml:space="preserve">1996</t>
  </si>
  <si>
    <t xml:space="preserve">Trucks (wide range)</t>
  </si>
  <si>
    <t xml:space="preserve">AVTR range</t>
  </si>
  <si>
    <t xml:space="preserve">AVTR</t>
  </si>
  <si>
    <t xml:space="preserve">Hosur — LCV</t>
  </si>
  <si>
    <t xml:space="preserve">AL (ex-Nissan JV)</t>
  </si>
  <si>
    <t xml:space="preserve">2011</t>
  </si>
  <si>
    <t xml:space="preserve">LCV</t>
  </si>
  <si>
    <t xml:space="preserve">Dost, Bada Dost</t>
  </si>
  <si>
    <t xml:space="preserve">Dost; Phoenix</t>
  </si>
  <si>
    <t xml:space="preserve">c.2012</t>
  </si>
  <si>
    <t xml:space="preserve">Pillaipakkam LCV greenfield proposed c.2012 — status not verified</t>
  </si>
  <si>
    <t xml:space="preserve">[Medium] AL04</t>
  </si>
  <si>
    <t xml:space="preserve">Alwar</t>
  </si>
  <si>
    <t xml:space="preserve">Rajasthan</t>
  </si>
  <si>
    <t xml:space="preserve">Aug-1982</t>
  </si>
  <si>
    <t xml:space="preserve">Buses, chassis</t>
  </si>
  <si>
    <t xml:space="preserve">ULE buses</t>
  </si>
  <si>
    <t xml:space="preserve">200 ULE buses/month (2009)</t>
  </si>
  <si>
    <t xml:space="preserve">Plan to 300 ULE/month (2009); c.110 chassis/day</t>
  </si>
  <si>
    <t xml:space="preserve">[Medium] AL01; AL08</t>
  </si>
  <si>
    <t xml:space="preserve">Bhandara</t>
  </si>
  <si>
    <t xml:space="preserve">Maharashtra</t>
  </si>
  <si>
    <t xml:space="preserve">Mar-1982</t>
  </si>
  <si>
    <t xml:space="preserve">Components / aggregates (n.d.)</t>
  </si>
  <si>
    <t xml:space="preserve">[Low] AL08</t>
  </si>
  <si>
    <t xml:space="preserve">Mar-2010</t>
  </si>
  <si>
    <t xml:space="preserve">U-Truck -&gt; AVTR</t>
  </si>
  <si>
    <t xml:space="preserve">U-Truck; AVTR</t>
  </si>
  <si>
    <t xml:space="preserve">Integrated plant for &lt;Rs1,500cr (Rs1,300cr per BS)</t>
  </si>
  <si>
    <t xml:space="preserve">[High] AL01; AL02</t>
  </si>
  <si>
    <t xml:space="preserve">Vijayawada (Malavalli)</t>
  </si>
  <si>
    <t xml:space="preserve">Andhra Pradesh</t>
  </si>
  <si>
    <t xml:space="preserve">AL (+ Switch Mobility EVs)</t>
  </si>
  <si>
    <t xml:space="preserve">19-Mar-2025</t>
  </si>
  <si>
    <t xml:space="preserve">Buses — diesel &amp; electric</t>
  </si>
  <si>
    <t xml:space="preserve">AL diesel buses; Switch e-buses</t>
  </si>
  <si>
    <t xml:space="preserve">Switch EiV</t>
  </si>
  <si>
    <t xml:space="preserve">Operating at full capacity from day one</t>
  </si>
  <si>
    <t xml:space="preserve">75 acres</t>
  </si>
  <si>
    <t xml:space="preserve">[High] AL05</t>
  </si>
  <si>
    <t xml:space="preserve">Lucknow (EV)</t>
  </si>
  <si>
    <t xml:space="preserve">09-Jan-2026</t>
  </si>
  <si>
    <t xml:space="preserve">e-buses, e-travellers, e-cargo (ICE-capable)</t>
  </si>
  <si>
    <t xml:space="preserve">17-18 seater e-bus first</t>
  </si>
  <si>
    <t xml:space="preserve">Jan-2026</t>
  </si>
  <si>
    <t xml:space="preserve">Ramp to 5,000</t>
  </si>
  <si>
    <t xml:space="preserve">70 acres; &gt;Rs1,000cr</t>
  </si>
  <si>
    <t xml:space="preserve">[High] AL06; AL10</t>
  </si>
  <si>
    <t xml:space="preserve">Sriperumbudur foundry</t>
  </si>
  <si>
    <t xml:space="preserve">Castings</t>
  </si>
  <si>
    <t xml:space="preserve">[Medium] AL09</t>
  </si>
  <si>
    <t xml:space="preserve">Plant history</t>
  </si>
  <si>
    <t xml:space="preserve">1949-1996</t>
  </si>
  <si>
    <t xml:space="preserve">New plants</t>
  </si>
  <si>
    <t xml:space="preserve">Ennore; Hosur I; Bhandara; Alwar; Hosur II</t>
  </si>
  <si>
    <t xml:space="preserve">1949, 1980, Mar-1982, Aug-1982, 1996</t>
  </si>
  <si>
    <t xml:space="preserve">AL08</t>
  </si>
  <si>
    <t xml:space="preserve">Installed capacity 100k (six plants)</t>
  </si>
  <si>
    <t xml:space="preserve">Oct-2009</t>
  </si>
  <si>
    <t xml:space="preserve">Alwar ULE 200 -&gt; 300/month planned</t>
  </si>
  <si>
    <t xml:space="preserve">AL01</t>
  </si>
  <si>
    <t xml:space="preserve">Pantnagar SOP</t>
  </si>
  <si>
    <t xml:space="preserve">U-Truck platform</t>
  </si>
  <si>
    <t xml:space="preserve">Installed capacity 150k (seven plants)</t>
  </si>
  <si>
    <t xml:space="preserve">Sep-2010</t>
  </si>
  <si>
    <t xml:space="preserve">Pantnagar to 4,000/month by FY12-end</t>
  </si>
  <si>
    <t xml:space="preserve">Dost LCV line</t>
  </si>
  <si>
    <t xml:space="preserve">2011-12</t>
  </si>
  <si>
    <t xml:space="preserve">New line</t>
  </si>
  <si>
    <t xml:space="preserve">Hosur</t>
  </si>
  <si>
    <t xml:space="preserve">Nissan JV product</t>
  </si>
  <si>
    <t xml:space="preserve">AVTR modular truck platform</t>
  </si>
  <si>
    <t xml:space="preserve">Jun-2020</t>
  </si>
  <si>
    <t xml:space="preserve">Platform</t>
  </si>
  <si>
    <t xml:space="preserve">Launched</t>
  </si>
  <si>
    <t xml:space="preserve">Vijayawada bus plant</t>
  </si>
  <si>
    <t xml:space="preserve">Vijayawada</t>
  </si>
  <si>
    <t xml:space="preserve">Diesel + Switch EV buses</t>
  </si>
  <si>
    <t xml:space="preserve">Lucknow EV plant</t>
  </si>
  <si>
    <t xml:space="preserve">To 5,000 in phases</t>
  </si>
  <si>
    <t xml:space="preserve">AL06; AL10</t>
  </si>
  <si>
    <t xml:space="preserve">U-Truck</t>
  </si>
  <si>
    <t xml:space="preserve">U-Truck range (U3723 etc.)</t>
  </si>
  <si>
    <t xml:space="preserve">Superseded by AVTR</t>
  </si>
  <si>
    <t xml:space="preserve">[High] AL02</t>
  </si>
  <si>
    <t xml:space="preserve">AVTR (modular)</t>
  </si>
  <si>
    <t xml:space="preserve">ICE; CNG/LNG/EV variants</t>
  </si>
  <si>
    <t xml:space="preserve">M&amp;HCV 18.5-55t</t>
  </si>
  <si>
    <t xml:space="preserve">Hosur II, Pantnagar (n.d.)</t>
  </si>
  <si>
    <t xml:space="preserve">[Medium] AL11</t>
  </si>
  <si>
    <t xml:space="preserve">Phoenix (LCV)</t>
  </si>
  <si>
    <t xml:space="preserve">Bada Dost</t>
  </si>
  <si>
    <t xml:space="preserve">Sep-2020</t>
  </si>
  <si>
    <t xml:space="preserve">Dost</t>
  </si>
  <si>
    <t xml:space="preserve">Nissan JV-derived</t>
  </si>
  <si>
    <t xml:space="preserve">Buses (Falcon, Viking, Garud)</t>
  </si>
  <si>
    <t xml:space="preserve">Garud 15m multi-axle (Jul-2024)</t>
  </si>
  <si>
    <t xml:space="preserve">Alwar, Ennore, Vijayawada (n.d.)</t>
  </si>
  <si>
    <t xml:space="preserve">Switch EiV (e-bus)</t>
  </si>
  <si>
    <t xml:space="preserve">Buses incl. double-decker</t>
  </si>
  <si>
    <t xml:space="preserve">Switch EiV12, EiV22</t>
  </si>
  <si>
    <t xml:space="preserve">Vijayawada; Lucknow</t>
  </si>
  <si>
    <t xml:space="preserve">Switch Mobility subsidiary</t>
  </si>
  <si>
    <t xml:space="preserve">[Medium] AL05; AL06</t>
  </si>
  <si>
    <t xml:space="preserve">Lucknow EV ramp (2,500 -&gt; 5,000)</t>
  </si>
  <si>
    <t xml:space="preserve">In phases</t>
  </si>
  <si>
    <t xml:space="preserve">AL06</t>
  </si>
  <si>
    <r>
      <rPr>
        <b val="true"/>
        <sz val="9"/>
        <rFont val="Arial"/>
        <family val="0"/>
        <charset val="1"/>
      </rPr>
      <t xml:space="preserve">Disclosure stops in 2010.</t>
    </r>
    <r>
      <rPr>
        <sz val="9"/>
        <rFont val="Arial"/>
        <family val="0"/>
        <charset val="1"/>
      </rPr>
      <t xml:space="preserve"> The only company totals found are 100k (Oct-2009) and 150k (Sep-2010).</t>
    </r>
  </si>
  <si>
    <r>
      <rPr>
        <b val="true"/>
        <sz val="9"/>
        <rFont val="Arial"/>
        <family val="0"/>
        <charset val="1"/>
      </rPr>
      <t xml:space="preserve">New capacity is bus- and EV-led.</t>
    </r>
    <r>
      <rPr>
        <sz val="9"/>
        <rFont val="Arial"/>
        <family val="0"/>
        <charset val="1"/>
      </rPr>
      <t xml:space="preserve"> Vijayawada (4,800) and Lucknow (2,500 -&gt; 5,000) are small relative to the truck base.</t>
    </r>
  </si>
  <si>
    <r>
      <rPr>
        <b val="true"/>
        <sz val="9"/>
        <rFont val="Arial"/>
        <family val="0"/>
        <charset val="1"/>
      </rPr>
      <t xml:space="preserve">Record volume on an unknown denominator.</t>
    </r>
    <r>
      <rPr>
        <sz val="9"/>
        <rFont val="Arial"/>
        <family val="0"/>
        <charset val="1"/>
      </rPr>
      <t xml:space="preserve"> FY26 deliveries 220,437; exports 18,082 (8.2%).</t>
    </r>
  </si>
  <si>
    <t xml:space="preserve">Bajaj Auto Ltd</t>
  </si>
  <si>
    <t xml:space="preserve">BJAUT IN  |  Segment: 2W/3W  |  Units: vehicles p.a. unless stated  |  FY = year to 31-Mar  |  As of 14-Oct-2026</t>
  </si>
  <si>
    <t xml:space="preserve">Scope: India 2W + 3W/commercial vehicles + Chetak EV: Waluj, Chakan (incl. Chakan 2), Pantnagar, Akurdi (Chetak). Excludes Brazil (Manaus) CKD and KTM.</t>
  </si>
  <si>
    <t xml:space="preserve">As of Jul-2026 (c.600k/month)  [BA07; BA03]</t>
  </si>
  <si>
    <t xml:space="preserve">Jul-2026 (c.600k/month)</t>
  </si>
  <si>
    <t xml:space="preserve">Installed capacity, 2W + 3W (company statements)</t>
  </si>
  <si>
    <t xml:space="preserve">4 — Waluj, Chakan (2 plants), Pantnagar, Akurdi (Chetak)</t>
  </si>
  <si>
    <t xml:space="preserve">Total sales FY26 (domestic + exports)</t>
  </si>
  <si>
    <t xml:space="preserve">[BA07]</t>
  </si>
  <si>
    <t xml:space="preserve">FY27-end / early FY28 (+20%)</t>
  </si>
  <si>
    <r>
      <rPr>
        <b val="true"/>
        <sz val="10"/>
        <rFont val="Arial"/>
        <family val="0"/>
        <charset val="1"/>
      </rPr>
      <t xml:space="preserve">Exports drive the capacity call.</t>
    </r>
    <r>
      <rPr>
        <sz val="10"/>
        <rFont val="Arial"/>
        <family val="0"/>
        <charset val="1"/>
      </rPr>
      <t xml:space="preserve"> FY26 volume of 5.12m (44% exports) sits at c.71% of the c.7.2m installed base, yet management is adding c.20% — read this as a mix-specific constraint (Chetak, CV/3W, premium motorcycles), not blanket shortage.</t>
    </r>
  </si>
  <si>
    <t xml:space="preserve">FY11-FY12 and FY21 per AR wording quoted by a data aggregator; FY15 per AR Directors' Report copy. FY24 7.1m from a secondary source — verify. FY26 = c.600k/month (Jul-2026).</t>
  </si>
  <si>
    <t xml:space="preserve">Not captured — Bajaj ARs publish production; retrieve.</t>
  </si>
  <si>
    <t xml:space="preserve">FY26 record 5,117,667 (previous peak FY19).</t>
  </si>
  <si>
    <t xml:space="preserve">Exports 44% of FY26 volume.</t>
  </si>
  <si>
    <t xml:space="preserve">BA01</t>
  </si>
  <si>
    <t xml:space="preserve">BA01; BA02; BA03</t>
  </si>
  <si>
    <t xml:space="preserve">BA03; BA04</t>
  </si>
  <si>
    <t xml:space="preserve">BA04</t>
  </si>
  <si>
    <t xml:space="preserve">BA05</t>
  </si>
  <si>
    <t xml:space="preserve">BA03</t>
  </si>
  <si>
    <t xml:space="preserve">BA06</t>
  </si>
  <si>
    <t xml:space="preserve">BA06; BA08</t>
  </si>
  <si>
    <t xml:space="preserve">BA03; BA07; BA08</t>
  </si>
  <si>
    <t xml:space="preserve">Pantnagar 0.6m -&gt; 1.2m (2009)</t>
  </si>
  <si>
    <t xml:space="preserve">Pantnagar Plant II -&gt; 1.8m (Oct-2010)</t>
  </si>
  <si>
    <t xml:space="preserve">4.5m 2W + 0.5m 3W</t>
  </si>
  <si>
    <t xml:space="preserve">Plan: 6.3m (5.7m 2W + 0.6m 3W)</t>
  </si>
  <si>
    <t xml:space="preserve">Plan: 6.12m by Mar-2016</t>
  </si>
  <si>
    <t xml:space="preserve">Secondary source (verify)</t>
  </si>
  <si>
    <t xml:space="preserve">Brazil (Manaus) CKD 20k/month from Jun-2024</t>
  </si>
  <si>
    <t xml:space="preserve">+20% in two phases announced Jul-2026</t>
  </si>
  <si>
    <t xml:space="preserve">0.6m at SOP (2007) [BA01; BA02]</t>
  </si>
  <si>
    <t xml:space="preserve">[BA02]</t>
  </si>
  <si>
    <t xml:space="preserve">Waluj</t>
  </si>
  <si>
    <t xml:space="preserve">Company — 2W capacity</t>
  </si>
  <si>
    <t xml:space="preserve">[BA04]</t>
  </si>
  <si>
    <t xml:space="preserve">Company — 3W capacity</t>
  </si>
  <si>
    <t xml:space="preserve">Chhatrapati Sambhajinagar, Maharashtra</t>
  </si>
  <si>
    <t xml:space="preserve">05-Nov-1985</t>
  </si>
  <si>
    <t xml:space="preserve">Motorcycles; 3W / commercial vehicles; Qute</t>
  </si>
  <si>
    <t xml:space="preserve">RE/Maxima 3W, Qute, motorcycles (n.d.)</t>
  </si>
  <si>
    <t xml:space="preserve">Operating; CV capacity in 2026 expansion</t>
  </si>
  <si>
    <t xml:space="preserve">[Medium] BA03; BA07</t>
  </si>
  <si>
    <t xml:space="preserve">Premium motorcycles</t>
  </si>
  <si>
    <t xml:space="preserve">Pulsar, Dominar, KTM 125-390</t>
  </si>
  <si>
    <t xml:space="preserve">Pulsar; KTM</t>
  </si>
  <si>
    <t xml:space="preserve">[Medium] BA02; BA03</t>
  </si>
  <si>
    <t xml:space="preserve">Chakan 2</t>
  </si>
  <si>
    <t xml:space="preserve">Triumph Speed 400, Scrambler 400X</t>
  </si>
  <si>
    <t xml:space="preserve">Triumph TR-series</t>
  </si>
  <si>
    <t xml:space="preserve">[Medium] BA10</t>
  </si>
  <si>
    <t xml:space="preserve">09-Apr-2007</t>
  </si>
  <si>
    <t xml:space="preserve">Commuter motorcycles</t>
  </si>
  <si>
    <t xml:space="preserve">Platina, Discover, Pulsar 135LS (2010)</t>
  </si>
  <si>
    <t xml:space="preserve">Oct-2010</t>
  </si>
  <si>
    <t xml:space="preserve">66 acres; Rs230cr initial; 10-yr excise exemption drove siting</t>
  </si>
  <si>
    <t xml:space="preserve">[High] BA01; BA02</t>
  </si>
  <si>
    <t xml:space="preserve">Akurdi (Chetak)</t>
  </si>
  <si>
    <t xml:space="preserve">Bajaj Auto / Chetak Technology</t>
  </si>
  <si>
    <t xml:space="preserve">Vehicle assembly shut 3-Sep-2007; Chetak EV from 2020</t>
  </si>
  <si>
    <t xml:space="preserve">Electric scooters</t>
  </si>
  <si>
    <t xml:space="preserve">Chetak</t>
  </si>
  <si>
    <t xml:space="preserve">Chetak EV</t>
  </si>
  <si>
    <t xml:space="preserve">c.50,000/month (to 60,000)</t>
  </si>
  <si>
    <t xml:space="preserve">Jul-2026</t>
  </si>
  <si>
    <t xml:space="preserve">Operating; expanding</t>
  </si>
  <si>
    <t xml:space="preserve">Also R&amp;D centre</t>
  </si>
  <si>
    <t xml:space="preserve">Memo: Manaus (Brazil)</t>
  </si>
  <si>
    <t xml:space="preserve">Brazil</t>
  </si>
  <si>
    <t xml:space="preserve">Bajaj subsidiary</t>
  </si>
  <si>
    <t xml:space="preserve">Motorcycles (CKD)</t>
  </si>
  <si>
    <t xml:space="preserve">20,000/month</t>
  </si>
  <si>
    <t xml:space="preserve">Outside India capacity</t>
  </si>
  <si>
    <t xml:space="preserve">[Low] BA06</t>
  </si>
  <si>
    <t xml:space="preserve">Waluj SOP</t>
  </si>
  <si>
    <t xml:space="preserve">FY86</t>
  </si>
  <si>
    <t xml:space="preserve">Chakan SOP</t>
  </si>
  <si>
    <t xml:space="preserve">BA01; BA03</t>
  </si>
  <si>
    <t xml:space="preserve">Akurdi vehicle assembly shut</t>
  </si>
  <si>
    <t xml:space="preserve">03-Sep-2007</t>
  </si>
  <si>
    <t xml:space="preserve">Closure</t>
  </si>
  <si>
    <t xml:space="preserve">Akurdi</t>
  </si>
  <si>
    <t xml:space="preserve">Closed</t>
  </si>
  <si>
    <t xml:space="preserve">Higher cost of production</t>
  </si>
  <si>
    <t xml:space="preserve">Pantnagar doubled</t>
  </si>
  <si>
    <t xml:space="preserve">Expansion</t>
  </si>
  <si>
    <t xml:space="preserve">Pantnagar Plant II</t>
  </si>
  <si>
    <t xml:space="preserve">Sep/Oct-2010</t>
  </si>
  <si>
    <t xml:space="preserve">1.2m -&gt; 1.5m -&gt; 1.8m</t>
  </si>
  <si>
    <t xml:space="preserve">BA01; BA02</t>
  </si>
  <si>
    <t xml:space="preserve">Plan to 6.3m</t>
  </si>
  <si>
    <t xml:space="preserve">May-2012</t>
  </si>
  <si>
    <t xml:space="preserve">Waluj, Chakan, Pantnagar</t>
  </si>
  <si>
    <t xml:space="preserve">5.7m 2W + 0.6m 3W</t>
  </si>
  <si>
    <t xml:space="preserve">Installed capacity 6.06m</t>
  </si>
  <si>
    <t xml:space="preserve">6.12m by Mar-2016 planned</t>
  </si>
  <si>
    <t xml:space="preserve">Installed capacity 6.33m</t>
  </si>
  <si>
    <t xml:space="preserve">31-Mar-2021</t>
  </si>
  <si>
    <t xml:space="preserve">Chakan 2 (Triumph) SOP</t>
  </si>
  <si>
    <t xml:space="preserve">BA10</t>
  </si>
  <si>
    <t xml:space="preserve">Brazil plant</t>
  </si>
  <si>
    <t xml:space="preserve">New plant (overseas)</t>
  </si>
  <si>
    <t xml:space="preserve">Manaus</t>
  </si>
  <si>
    <t xml:space="preserve">20k/month</t>
  </si>
  <si>
    <t xml:space="preserve">+20% capacity in two phases</t>
  </si>
  <si>
    <t xml:space="preserve">21-Jul-2026</t>
  </si>
  <si>
    <t xml:space="preserve">Motorcycles, Waluj CV, Akurdi</t>
  </si>
  <si>
    <t xml:space="preserve">+10% in 3-4 months; +10% by FY27-end/early FY28</t>
  </si>
  <si>
    <t xml:space="preserve">BA07</t>
  </si>
  <si>
    <t xml:space="preserve">Pulsar family</t>
  </si>
  <si>
    <t xml:space="preserve">125-400cc motorcycles</t>
  </si>
  <si>
    <t xml:space="preserve">Pulsar N/NS/RS</t>
  </si>
  <si>
    <t xml:space="preserve">Chakan (Pantnagar for 135LS in 2010)</t>
  </si>
  <si>
    <t xml:space="preserve">2001</t>
  </si>
  <si>
    <t xml:space="preserve">[Medium] BA01</t>
  </si>
  <si>
    <t xml:space="preserve">KTM / Dominar</t>
  </si>
  <si>
    <t xml:space="preserve">KTM 125-390, Dominar</t>
  </si>
  <si>
    <t xml:space="preserve">Triumph 400 (TR-series)</t>
  </si>
  <si>
    <t xml:space="preserve">Speed 400, Scrambler 400X</t>
  </si>
  <si>
    <t xml:space="preserve">Commuter (Platina/CT)</t>
  </si>
  <si>
    <t xml:space="preserve">100-125cc</t>
  </si>
  <si>
    <t xml:space="preserve">Platina, CT</t>
  </si>
  <si>
    <t xml:space="preserve">Electric scooter</t>
  </si>
  <si>
    <t xml:space="preserve">Chetak range</t>
  </si>
  <si>
    <t xml:space="preserve">FY26 retail 289,349</t>
  </si>
  <si>
    <t xml:space="preserve">[Medium] BA07; EV01</t>
  </si>
  <si>
    <t xml:space="preserve">3W / Qute</t>
  </si>
  <si>
    <t xml:space="preserve">3W, quadricycle</t>
  </si>
  <si>
    <t xml:space="preserve">RE, Maxima, Qute</t>
  </si>
  <si>
    <t xml:space="preserve">[Medium] BA07</t>
  </si>
  <si>
    <t xml:space="preserve">Phase 1: +10% capacity</t>
  </si>
  <si>
    <t xml:space="preserve">Motorcycles, Waluj, Akurdi</t>
  </si>
  <si>
    <t xml:space="preserve">3-4 months from Jul-2026</t>
  </si>
  <si>
    <t xml:space="preserve">Under execution</t>
  </si>
  <si>
    <t xml:space="preserve">10% of FY26 base</t>
  </si>
  <si>
    <t xml:space="preserve">Phase 2: +10% capacity</t>
  </si>
  <si>
    <t xml:space="preserve">FY27-end / early FY28</t>
  </si>
  <si>
    <t xml:space="preserve">Chetak 50k -&gt; 60k/month</t>
  </si>
  <si>
    <t xml:space="preserve">'Next couple of months' (Jul-2026)</t>
  </si>
  <si>
    <t xml:space="preserve">Within the 20% programme</t>
  </si>
  <si>
    <t xml:space="preserve">Not additive to phases</t>
  </si>
  <si>
    <r>
      <rPr>
        <b val="true"/>
        <sz val="9"/>
        <rFont val="Arial"/>
        <family val="0"/>
        <charset val="1"/>
      </rPr>
      <t xml:space="preserve">Disclosure exists — retrieval is the gap.</t>
    </r>
    <r>
      <rPr>
        <sz val="9"/>
        <rFont val="Arial"/>
        <family val="0"/>
        <charset val="1"/>
      </rPr>
      <t xml:space="preserve"> Bajaj Directors' Reports state installed capacity most years; FY13-FY20 and FY22-FY25 to be filled from ARs.</t>
    </r>
  </si>
  <si>
    <r>
      <rPr>
        <b val="true"/>
        <sz val="9"/>
        <rFont val="Arial"/>
        <family val="0"/>
        <charset val="1"/>
      </rPr>
      <t xml:space="preserve">Pantnagar tripled in three years on tax incentives.</t>
    </r>
    <r>
      <rPr>
        <sz val="9"/>
        <rFont val="Arial"/>
        <family val="0"/>
        <charset val="1"/>
      </rPr>
      <t xml:space="preserve"> 0.6m (2007) -&gt; 1.8m (Oct-2010).</t>
    </r>
  </si>
  <si>
    <r>
      <rPr>
        <b val="true"/>
        <sz val="9"/>
        <rFont val="Arial"/>
        <family val="0"/>
        <charset val="1"/>
      </rPr>
      <t xml:space="preserve">FY26 utilisation of c.71% understates tightness.</t>
    </r>
    <r>
      <rPr>
        <sz val="9"/>
        <rFont val="Arial"/>
        <family val="0"/>
        <charset val="1"/>
      </rPr>
      <t xml:space="preserve"> The +20% programme targets EV, CV/3W and premium lines.</t>
    </r>
  </si>
  <si>
    <t xml:space="preserve">TVS Motor Company Ltd</t>
  </si>
  <si>
    <t xml:space="preserve">TVSL IN  |  Segment: 2W/3W  |  Units: vehicles p.a. unless stated  |  FY = year to 31-Mar  |  As of 14-Oct-2026</t>
  </si>
  <si>
    <t xml:space="preserve">Scope: 2W + 3W capacity: Hosur, Mysuru, Nalagarh (India) and Karawang (Indonesia) — company figures may include Karawang.</t>
  </si>
  <si>
    <t xml:space="preserve">As of May-2026 (mgmt)  [TV05]</t>
  </si>
  <si>
    <t xml:space="preserve">May-2026 (mgmt)</t>
  </si>
  <si>
    <t xml:space="preserve">Total annual capacity per management (May-2026); earlier website figures split 2W/3W</t>
  </si>
  <si>
    <t xml:space="preserve">3 in India — Hosur, Mysuru, Nalagarh (+ Karawang, Indonesia)</t>
  </si>
  <si>
    <t xml:space="preserve">Total sales FY26 (2W + 3W incl. exports)</t>
  </si>
  <si>
    <t xml:space="preserve">[TV05]</t>
  </si>
  <si>
    <t xml:space="preserve">Within 12 months of May-2026</t>
  </si>
  <si>
    <r>
      <rPr>
        <b val="true"/>
        <sz val="10"/>
        <rFont val="Arial"/>
        <family val="0"/>
        <charset val="1"/>
      </rPr>
      <t xml:space="preserve">TVS is outgrowing its plants.</t>
    </r>
    <r>
      <rPr>
        <sz val="10"/>
        <rFont val="Arial"/>
        <family val="0"/>
        <charset val="1"/>
      </rPr>
      <t xml:space="preserve"> FY26 sales rise 24% to 5.89m on c.6.8m capacity (c.87%); management adds 1.5m within 12 months and is evaluating a new site, with EV lines going to 50k/month.</t>
    </r>
  </si>
  <si>
    <t xml:space="preserve">Older '4m 2W + 120k 3W' (undated, aggregator) and website '5.5m 2W + 250k 3W' (undated) not placed in a year.</t>
  </si>
  <si>
    <t xml:space="preserve">Not captured — retrieve from ARs.</t>
  </si>
  <si>
    <t xml:space="preserve">FY20 = sum of 2W/3W domestic and export components; FY25-FY26 lakh-rounded per company release.</t>
  </si>
  <si>
    <t xml:space="preserve">FY20: 2W 2,410,755 + 3W 11,934.</t>
  </si>
  <si>
    <t xml:space="preserve">FY20: 2W 678,841 + 3W 161,977.</t>
  </si>
  <si>
    <t xml:space="preserve">TV02</t>
  </si>
  <si>
    <t xml:space="preserve">TV03</t>
  </si>
  <si>
    <t xml:space="preserve">TV06</t>
  </si>
  <si>
    <t xml:space="preserve">TV05; TV06; TV07</t>
  </si>
  <si>
    <t xml:space="preserve">Hosur 2.5m; Mysuru 1.7m</t>
  </si>
  <si>
    <t xml:space="preserve">4.95m 2W + 0.24m 3W (website)</t>
  </si>
  <si>
    <t xml:space="preserve">Website later shows 5.5m 2W + 0.25m 3W (undated)</t>
  </si>
  <si>
    <t xml:space="preserve">6.8m; +1.5m in 12 months</t>
  </si>
  <si>
    <t xml:space="preserve">[TV02]</t>
  </si>
  <si>
    <t xml:space="preserve">Mysuru</t>
  </si>
  <si>
    <t xml:space="preserve">[TV03]</t>
  </si>
  <si>
    <t xml:space="preserve">1979 (moped division)</t>
  </si>
  <si>
    <t xml:space="preserve">Motorcycles, scooters, mopeds, EV; BMW 310 (contract)</t>
  </si>
  <si>
    <t xml:space="preserve">iQube; BMW G 310 series; Norton (future)</t>
  </si>
  <si>
    <t xml:space="preserve">see F</t>
  </si>
  <si>
    <t xml:space="preserve">May-2020</t>
  </si>
  <si>
    <t xml:space="preserve">200,000th BMW Dec-2025; Platinum GreenCo</t>
  </si>
  <si>
    <t xml:space="preserve">[High] TV01; TV02; TV05; TV07</t>
  </si>
  <si>
    <t xml:space="preserve">2W, 3W (n.d.)</t>
  </si>
  <si>
    <t xml:space="preserve">[Medium] TV02</t>
  </si>
  <si>
    <t xml:space="preserve">Nalagarh</t>
  </si>
  <si>
    <t xml:space="preserve">Himachal Pradesh</t>
  </si>
  <si>
    <t xml:space="preserve">Scalable to 600,000</t>
  </si>
  <si>
    <t xml:space="preserve">Gold GreenCo</t>
  </si>
  <si>
    <t xml:space="preserve">[Medium] TV01; TV07</t>
  </si>
  <si>
    <t xml:space="preserve">Memo: Karawang</t>
  </si>
  <si>
    <t xml:space="preserve">Indonesia</t>
  </si>
  <si>
    <t xml:space="preserve">PT TVS Motor Company Indonesia</t>
  </si>
  <si>
    <t xml:space="preserve">[Medium] TV01</t>
  </si>
  <si>
    <t xml:space="preserve">Memo: new plant</t>
  </si>
  <si>
    <t xml:space="preserve">Gujarat / MP / Karnataka / TN (media)</t>
  </si>
  <si>
    <t xml:space="preserve">2W, 3W</t>
  </si>
  <si>
    <t xml:space="preserve">Under evaluation</t>
  </si>
  <si>
    <t xml:space="preserve">Not confirmed</t>
  </si>
  <si>
    <t xml:space="preserve">[Low] TV05</t>
  </si>
  <si>
    <t xml:space="preserve">Hosur moped division</t>
  </si>
  <si>
    <t xml:space="preserve">1979</t>
  </si>
  <si>
    <t xml:space="preserve">FY80</t>
  </si>
  <si>
    <t xml:space="preserve">Sundaram-Clayton</t>
  </si>
  <si>
    <t xml:space="preserve">TV01</t>
  </si>
  <si>
    <t xml:space="preserve">Nalagarh SOP</t>
  </si>
  <si>
    <t xml:space="preserve">Scalable to 600k</t>
  </si>
  <si>
    <t xml:space="preserve">Karawang SOP</t>
  </si>
  <si>
    <t xml:space="preserve">Karawang</t>
  </si>
  <si>
    <t xml:space="preserve">Plant capacities stated</t>
  </si>
  <si>
    <t xml:space="preserve">Hosur; Mysuru</t>
  </si>
  <si>
    <t xml:space="preserve">2.5m and 1.7m</t>
  </si>
  <si>
    <t xml:space="preserve">Capacity 4.95m 2W + 0.24m 3W</t>
  </si>
  <si>
    <t xml:space="preserve">c.FY23</t>
  </si>
  <si>
    <t xml:space="preserve">Company website</t>
  </si>
  <si>
    <t xml:space="preserve">Capacity 6.8m; +1.5m plan</t>
  </si>
  <si>
    <t xml:space="preserve">All (+ possible new site)</t>
  </si>
  <si>
    <t xml:space="preserve">Capex = Norton mfg infra in FY27</t>
  </si>
  <si>
    <t xml:space="preserve">TV05</t>
  </si>
  <si>
    <t xml:space="preserve">Apache / RR 310</t>
  </si>
  <si>
    <t xml:space="preserve">Apache RTR/RR (RR 310 on BMW G 310 base)</t>
  </si>
  <si>
    <t xml:space="preserve">Hosur (n.d.)</t>
  </si>
  <si>
    <t xml:space="preserve">2005</t>
  </si>
  <si>
    <t xml:space="preserve">Jupiter / Ntorq</t>
  </si>
  <si>
    <t xml:space="preserve">Scooters</t>
  </si>
  <si>
    <t xml:space="preserve">Jupiter, Ntorq</t>
  </si>
  <si>
    <t xml:space="preserve">2013 / 2018</t>
  </si>
  <si>
    <t xml:space="preserve">iQube / Orbiter</t>
  </si>
  <si>
    <t xml:space="preserve">iQube, Orbiter</t>
  </si>
  <si>
    <t xml:space="preserve">iQube &gt;800k cumulative; India EV sales 0.37m in FY26</t>
  </si>
  <si>
    <t xml:space="preserve">[Medium] TV07</t>
  </si>
  <si>
    <t xml:space="preserve">BMW G 310 (contract manufacturing)</t>
  </si>
  <si>
    <t xml:space="preserve">BMW G 310 R/GS, F 450 GS</t>
  </si>
  <si>
    <t xml:space="preserve">200,000th unit Dec-2025</t>
  </si>
  <si>
    <t xml:space="preserve">King 3W</t>
  </si>
  <si>
    <t xml:space="preserve">3W</t>
  </si>
  <si>
    <t xml:space="preserve">King range</t>
  </si>
  <si>
    <t xml:space="preserve">3W sales +63% in FY26</t>
  </si>
  <si>
    <t xml:space="preserve">[Low] TV06</t>
  </si>
  <si>
    <t xml:space="preserve">+1.5m capacity within 12 months</t>
  </si>
  <si>
    <t xml:space="preserve">Existing plants / possible new site</t>
  </si>
  <si>
    <t xml:space="preserve">By c.May-2027</t>
  </si>
  <si>
    <t xml:space="preserve">Announced by management</t>
  </si>
  <si>
    <t xml:space="preserve">Location mix n.d.</t>
  </si>
  <si>
    <t xml:space="preserve">EV capacity to 50k/month</t>
  </si>
  <si>
    <t xml:space="preserve">Demand &gt;40k/month (May-2026)</t>
  </si>
  <si>
    <t xml:space="preserve">Norton manufacturing infrastructure</t>
  </si>
  <si>
    <t xml:space="preserve">Hosur / UK</t>
  </si>
  <si>
    <t xml:space="preserve">Budgeted</t>
  </si>
  <si>
    <t xml:space="preserve">Part of Rs3,500cr Norton programme</t>
  </si>
  <si>
    <r>
      <rPr>
        <b val="true"/>
        <sz val="9"/>
        <rFont val="Arial"/>
        <family val="0"/>
        <charset val="1"/>
      </rPr>
      <t xml:space="preserve">Fastest-growing incumbent.</t>
    </r>
    <r>
      <rPr>
        <sz val="9"/>
        <rFont val="Arial"/>
        <family val="0"/>
        <charset val="1"/>
      </rPr>
      <t xml:space="preserve"> FY26 sales +24% to 5.89m; 3W +63%; exports +33% to 1.59m.</t>
    </r>
  </si>
  <si>
    <r>
      <rPr>
        <b val="true"/>
        <sz val="9"/>
        <rFont val="Arial"/>
        <family val="0"/>
        <charset val="1"/>
      </rPr>
      <t xml:space="preserve">Capacity definitions vary.</t>
    </r>
    <r>
      <rPr>
        <sz val="9"/>
        <rFont val="Arial"/>
        <family val="0"/>
        <charset val="1"/>
      </rPr>
      <t xml:space="preserve"> Website figures split 2W (4.95m -&gt; 5.5m) and 3W (240k -&gt; 250k); May-2026 figure (6.8m) is a total.</t>
    </r>
  </si>
  <si>
    <r>
      <rPr>
        <b val="true"/>
        <sz val="9"/>
        <rFont val="Arial"/>
        <family val="0"/>
        <charset val="1"/>
      </rPr>
      <t xml:space="preserve">Pre-FY20 history is a gap.</t>
    </r>
    <r>
      <rPr>
        <sz val="9"/>
        <rFont val="Arial"/>
        <family val="0"/>
        <charset val="1"/>
      </rPr>
      <t xml:space="preserve"> Retrieve installed capacity from Directors' Reports FY10-FY22.</t>
    </r>
  </si>
  <si>
    <t xml:space="preserve">Eicher Motors Ltd — Royal Enfield</t>
  </si>
  <si>
    <t xml:space="preserve">EIM IN  |  Segment: 2W  |  Units: vehicles p.a. unless stated  |  FY = year to 31-Mar  |  As of 14-Oct-2026</t>
  </si>
  <si>
    <t xml:space="preserve">Scope: Royal Enfield motorcycles: Thiruvottiyur, Oragadam, Vallam Vadagal, Cheyyar (Tamil Nadu). Seven overseas CKD units excluded. VECV (trucks/buses JV) excluded.</t>
  </si>
  <si>
    <t xml:space="preserve">As of Feb/May-2026  [RE06; RE07]</t>
  </si>
  <si>
    <t xml:space="preserve">Feb/May-2026</t>
  </si>
  <si>
    <t xml:space="preserve">Annual motorcycle capacity per Eicher ('around 14.6 lakh')</t>
  </si>
  <si>
    <t xml:space="preserve">4 — Thiruvottiyur, Oragadam, Vallam Vadagal, Cheyyar (all Tamil Nadu)</t>
  </si>
  <si>
    <t xml:space="preserve">[RE06; RE07]</t>
  </si>
  <si>
    <t xml:space="preserve">FY28</t>
  </si>
  <si>
    <r>
      <rPr>
        <b val="true"/>
        <sz val="10"/>
        <rFont val="Arial"/>
        <family val="0"/>
        <charset val="1"/>
      </rPr>
      <t xml:space="preserve">Running hot, expanding cheaply.</t>
    </r>
    <r>
      <rPr>
        <sz val="10"/>
        <rFont val="Arial"/>
        <family val="0"/>
        <charset val="1"/>
      </rPr>
      <t xml:space="preserve"> FY26 volume of 1.24m (+23%) on c.1.46m capacity (c.85%); the Rs958cr Cheyyar expansion to 2.0m by FY28 costs c.Rs18k per unit of added capacity.</t>
    </r>
  </si>
  <si>
    <t xml:space="preserve">FY18 = planned combined capacity for the year; FY13-FY14 company totals ambiguous (150k combined in CY2013). FY20-FY25 not found.</t>
  </si>
  <si>
    <t xml:space="preserve">FY17 'produced and sold' 667,135.</t>
  </si>
  <si>
    <t xml:space="preserve">FY18 8.2 lakh (rounded).</t>
  </si>
  <si>
    <t xml:space="preserve">Exports 10.6% of FY26 volume.</t>
  </si>
  <si>
    <t xml:space="preserve">RE02</t>
  </si>
  <si>
    <t xml:space="preserve">RE01; RE02</t>
  </si>
  <si>
    <t xml:space="preserve">RE03</t>
  </si>
  <si>
    <t xml:space="preserve">RE03; RE04</t>
  </si>
  <si>
    <t xml:space="preserve">RE04</t>
  </si>
  <si>
    <t xml:space="preserve">RE08</t>
  </si>
  <si>
    <t xml:space="preserve">RE05; RE06; RE07; RE08</t>
  </si>
  <si>
    <t xml:space="preserve">FY13 production c.113k</t>
  </si>
  <si>
    <t xml:space="preserve">Oragadam phase 1 (150k) SOP 2013</t>
  </si>
  <si>
    <t xml:space="preserve">Oragadam phase 2 to 250k planned</t>
  </si>
  <si>
    <t xml:space="preserve">'Nearing installed capacity' at 667k</t>
  </si>
  <si>
    <t xml:space="preserve">Vallam Vadagal ph1 (300k) SOP 28-Aug-2017</t>
  </si>
  <si>
    <t xml:space="preserve">VV phase 2</t>
  </si>
  <si>
    <t xml:space="preserve">Cheyyar opened Jun-2025</t>
  </si>
  <si>
    <t xml:space="preserve">Oragadam</t>
  </si>
  <si>
    <t xml:space="preserve">Phase 1; phase 2 to 250k planned [RE01; RE02]</t>
  </si>
  <si>
    <t xml:space="preserve">Vallam Vadagal</t>
  </si>
  <si>
    <t xml:space="preserve">Phase 1 [RE03]</t>
  </si>
  <si>
    <t xml:space="preserve">Oragadam + Vallam Vadagal combined</t>
  </si>
  <si>
    <t xml:space="preserve">'Over one million' (Jun-2025) — lower bound [RE05]</t>
  </si>
  <si>
    <t xml:space="preserve">Cheyyar</t>
  </si>
  <si>
    <t xml:space="preserve">Not disclosed at opening; +540k by FY28 [RE05; RE07]</t>
  </si>
  <si>
    <t xml:space="preserve">Thiruvottiyur</t>
  </si>
  <si>
    <t xml:space="preserve">Eicher (RE)</t>
  </si>
  <si>
    <t xml:space="preserve">Legacy (1950s)</t>
  </si>
  <si>
    <t xml:space="preserve">Engines / legacy</t>
  </si>
  <si>
    <t xml:space="preserve">Engine plant and chrome plating retained after Oragadam (2013)</t>
  </si>
  <si>
    <t xml:space="preserve">[Medium] RE02; RE06</t>
  </si>
  <si>
    <t xml:space="preserve">Motorcycles</t>
  </si>
  <si>
    <t xml:space="preserve">Rs150cr phase 1; phase 2 to 250k</t>
  </si>
  <si>
    <t xml:space="preserve">[Medium] RE01; RE02</t>
  </si>
  <si>
    <t xml:space="preserve">28-Aug-2017</t>
  </si>
  <si>
    <t xml:space="preserve">50 acres; phase 2 2018-19</t>
  </si>
  <si>
    <t xml:space="preserve">[High] RE03; RE04</t>
  </si>
  <si>
    <t xml:space="preserve">SIPCOT, Tamil Nadu</t>
  </si>
  <si>
    <t xml:space="preserve">Jun-2025</t>
  </si>
  <si>
    <t xml:space="preserve">Motorcycles; future EV (Flying Flea)</t>
  </si>
  <si>
    <t xml:space="preserve">Bullet 650, Flying Flea C6/S6 (planned)</t>
  </si>
  <si>
    <t xml:space="preserve">650 twin; Flying Flea</t>
  </si>
  <si>
    <t xml:space="preserve">+540,000 by FY28</t>
  </si>
  <si>
    <t xml:space="preserve">50 acres; Rs958cr expansion</t>
  </si>
  <si>
    <t xml:space="preserve">[High] RE05; RE06; RE07</t>
  </si>
  <si>
    <t xml:space="preserve">Memo: overseas CKD</t>
  </si>
  <si>
    <t xml:space="preserve">7 units (incl. LatAm, SE Asia, Nepal, Bangladesh)</t>
  </si>
  <si>
    <t xml:space="preserve">RE subsidiaries/partners</t>
  </si>
  <si>
    <t xml:space="preserve">CKD assembly</t>
  </si>
  <si>
    <t xml:space="preserve">[Medium] RE06</t>
  </si>
  <si>
    <t xml:space="preserve">Oragadam phase 1</t>
  </si>
  <si>
    <t xml:space="preserve">Combined 150k in 2013</t>
  </si>
  <si>
    <t xml:space="preserve">Oragadam phase 2</t>
  </si>
  <si>
    <t xml:space="preserve">2014</t>
  </si>
  <si>
    <t xml:space="preserve">Planned (delivery n.d.)</t>
  </si>
  <si>
    <t xml:space="preserve">Vallam Vadagal land</t>
  </si>
  <si>
    <t xml:space="preserve">Oct-2014</t>
  </si>
  <si>
    <t xml:space="preserve">Acquired</t>
  </si>
  <si>
    <t xml:space="preserve">50 acres</t>
  </si>
  <si>
    <t xml:space="preserve">Vallam Vadagal phase 1</t>
  </si>
  <si>
    <t xml:space="preserve">Capex = FY18 programme</t>
  </si>
  <si>
    <t xml:space="preserve">Vallam Vadagal phase 2</t>
  </si>
  <si>
    <t xml:space="preserve">Capex = FY19 programme</t>
  </si>
  <si>
    <t xml:space="preserve">Cheyyar construction</t>
  </si>
  <si>
    <t xml:space="preserve">Apr-2023</t>
  </si>
  <si>
    <t xml:space="preserve">Started</t>
  </si>
  <si>
    <t xml:space="preserve">Part of Rs1,000-1,500cr 2023 plan</t>
  </si>
  <si>
    <t xml:space="preserve">RE05</t>
  </si>
  <si>
    <t xml:space="preserve">Cheyyar opened</t>
  </si>
  <si>
    <t xml:space="preserve">Capacity not disclosed</t>
  </si>
  <si>
    <t xml:space="preserve">RE05; RE06</t>
  </si>
  <si>
    <t xml:space="preserve">Cheyyar expansion approved</t>
  </si>
  <si>
    <t xml:space="preserve">Expansion (approved)</t>
  </si>
  <si>
    <t xml:space="preserve">Phased from Q1FY27</t>
  </si>
  <si>
    <t xml:space="preserve">Complete FY28</t>
  </si>
  <si>
    <t xml:space="preserve">RE06; RE07</t>
  </si>
  <si>
    <t xml:space="preserve">J-platform (350cc)</t>
  </si>
  <si>
    <t xml:space="preserve">Mid-size motorcycles</t>
  </si>
  <si>
    <t xml:space="preserve">Classic 350, Meteor 350, Hunter 350, Bullet 350, Goan Classic</t>
  </si>
  <si>
    <t xml:space="preserve">Sherpa 450</t>
  </si>
  <si>
    <t xml:space="preserve">Adventure / roadster</t>
  </si>
  <si>
    <t xml:space="preserve">Himalayan 450, Guerrilla 450</t>
  </si>
  <si>
    <t xml:space="preserve">650 twin</t>
  </si>
  <si>
    <t xml:space="preserve">650cc</t>
  </si>
  <si>
    <t xml:space="preserve">Interceptor, Continental GT, Super Meteor, Shotgun, Bear, Classic 650, Bullet 650</t>
  </si>
  <si>
    <t xml:space="preserve">n.d. (Cheyyar for Bullet 650)</t>
  </si>
  <si>
    <t xml:space="preserve">2018</t>
  </si>
  <si>
    <t xml:space="preserve">[Medium] RE07</t>
  </si>
  <si>
    <t xml:space="preserve">Flying Flea</t>
  </si>
  <si>
    <t xml:space="preserve">Electric urban motorcycles</t>
  </si>
  <si>
    <t xml:space="preserve">C6, S6</t>
  </si>
  <si>
    <t xml:space="preserve">FY27 (planned)</t>
  </si>
  <si>
    <t xml:space="preserve">[Medium] RE05; RE07</t>
  </si>
  <si>
    <t xml:space="preserve">Cheyyar expansion (+540k)</t>
  </si>
  <si>
    <t xml:space="preserve">Phased Q1FY27 -&gt; FY28</t>
  </si>
  <si>
    <t xml:space="preserve">Funded from internal accruals</t>
  </si>
  <si>
    <r>
      <rPr>
        <b val="true"/>
        <sz val="9"/>
        <rFont val="Arial"/>
        <family val="0"/>
        <charset val="1"/>
      </rPr>
      <t xml:space="preserve">Running hot.</t>
    </r>
    <r>
      <rPr>
        <sz val="9"/>
        <rFont val="Arial"/>
        <family val="0"/>
        <charset val="1"/>
      </rPr>
      <t xml:space="preserve"> FY26 volumes +23% to 1.24m; CY2025 first year above 1m.</t>
    </r>
  </si>
  <si>
    <r>
      <rPr>
        <b val="true"/>
        <sz val="9"/>
        <rFont val="Arial"/>
        <family val="0"/>
        <charset val="1"/>
      </rPr>
      <t xml:space="preserve">Capex-light expansion.</t>
    </r>
    <r>
      <rPr>
        <sz val="9"/>
        <rFont val="Arial"/>
        <family val="0"/>
        <charset val="1"/>
      </rPr>
      <t xml:space="preserve"> Rs958cr for 540k units is c.Rs18k per unit of capacity.</t>
    </r>
  </si>
  <si>
    <r>
      <rPr>
        <b val="true"/>
        <sz val="9"/>
        <rFont val="Arial"/>
        <family val="0"/>
        <charset val="1"/>
      </rPr>
      <t xml:space="preserve">Disclosure is lumpy.</t>
    </r>
    <r>
      <rPr>
        <sz val="9"/>
        <rFont val="Arial"/>
        <family val="0"/>
        <charset val="1"/>
      </rPr>
      <t xml:space="preserve"> Company totals found for FY18, FY19 and FY26 only; FY20-FY25 to be retrieved.</t>
    </r>
  </si>
  <si>
    <t xml:space="preserve">Hero MotoCorp Ltd</t>
  </si>
  <si>
    <t xml:space="preserve">HMCL IN  |  Segment: 2W  |  Units: vehicles p.a. unless stated  |  FY = year to 31-Mar  |  As of 14-Oct-2026</t>
  </si>
  <si>
    <t xml:space="preserve">Scope: India 2W plants: Dharuhera, Gurugram, Haridwar, Neemrana, Halol (Vadodara), Chittoor (Sri City). Colombia and Bangladesh excluded.</t>
  </si>
  <si>
    <t xml:space="preserve">As of Mar-2020 (design, incl. Chittoor at full ramp)  [HE03]</t>
  </si>
  <si>
    <t xml:space="preserve">Mar-2020 (design, incl. Chittoor at full ramp)</t>
  </si>
  <si>
    <t xml:space="preserve">Plant-wise design capacity (11.6m); operational 9.1m at Mar-2020 per secondary source</t>
  </si>
  <si>
    <t xml:space="preserve">6 — Dharuhera, Gurugram, Haridwar, Neemrana, Halol, Chittoor</t>
  </si>
  <si>
    <t xml:space="preserve">Total dispatches FY26 (domestic + exports)</t>
  </si>
  <si>
    <t xml:space="preserve">FY26 volume ÷ latest disclosed capacity (Mar-2020 (design, incl. Chittoor at full ramp)) — indicative only</t>
  </si>
  <si>
    <r>
      <rPr>
        <b val="true"/>
        <sz val="10"/>
        <rFont val="Arial"/>
        <family val="0"/>
        <charset val="1"/>
      </rPr>
      <t xml:space="preserve">Largest installed base, weakest current disclosure.</t>
    </r>
    <r>
      <rPr>
        <sz val="10"/>
        <rFont val="Arial"/>
        <family val="0"/>
        <charset val="1"/>
      </rPr>
      <t xml:space="preserve"> Plant design capacity of 11.6m (2020) vs 6.47m FY26 dispatches implies c.5m units of structural slack; incremental capex now goes to EV lines (Vida 25k -&gt; 50k+/month), not ICE.</t>
    </r>
  </si>
  <si>
    <t xml:space="preserve">FY15 = 4 plants incl. Neemrana. FY20 9.1m (operational, eight facilities incl. overseas) per Wikipedia — verify vs AR; plant design sum 11.6m in section C.</t>
  </si>
  <si>
    <t xml:space="preserve">Exports 6.2% of FY26 volume.</t>
  </si>
  <si>
    <t xml:space="preserve">HE01</t>
  </si>
  <si>
    <t xml:space="preserve">HE02</t>
  </si>
  <si>
    <t xml:space="preserve">HE04</t>
  </si>
  <si>
    <t xml:space="preserve">HE03; HE05</t>
  </si>
  <si>
    <t xml:space="preserve">HE06</t>
  </si>
  <si>
    <t xml:space="preserve">HE06; HE07</t>
  </si>
  <si>
    <t xml:space="preserve">Oct-2011: 6.15m (3 plants); 7.0m targeted by Mar-2012</t>
  </si>
  <si>
    <t xml:space="preserve">Neemrana SOP Oct-2014</t>
  </si>
  <si>
    <t xml:space="preserve">Combined c.9m (c.2018)</t>
  </si>
  <si>
    <t xml:space="preserve">Chittoor SOP 19-Mar-2020; design 11.6m</t>
  </si>
  <si>
    <t xml:space="preserve">EV capacity 15k -&gt; 25k/month</t>
  </si>
  <si>
    <t xml:space="preserve">9,500/day [HE03; HE04]</t>
  </si>
  <si>
    <t xml:space="preserve">Dharuhera</t>
  </si>
  <si>
    <t xml:space="preserve">[HE03]</t>
  </si>
  <si>
    <t xml:space="preserve">Neemrana</t>
  </si>
  <si>
    <t xml:space="preserve">[HE02; HE03]</t>
  </si>
  <si>
    <t xml:space="preserve">Halol / Vadodara</t>
  </si>
  <si>
    <t xml:space="preserve">Chittoor / Sri City (design)</t>
  </si>
  <si>
    <t xml:space="preserve">Three phases [HE03]</t>
  </si>
  <si>
    <t xml:space="preserve">Sum of plant design capacities</t>
  </si>
  <si>
    <t xml:space="preserve">Formula; FY20 = 11.6m design</t>
  </si>
  <si>
    <t xml:space="preserve">1985</t>
  </si>
  <si>
    <t xml:space="preserve">Motorcycles, scooters</t>
  </si>
  <si>
    <t xml:space="preserve">First Hero Honda plant</t>
  </si>
  <si>
    <t xml:space="preserve">[Medium] HE03; HE05</t>
  </si>
  <si>
    <t xml:space="preserve">[Medium] HE03</t>
  </si>
  <si>
    <t xml:space="preserve">2008 (n.d.)</t>
  </si>
  <si>
    <t xml:space="preserve">Splendor family (n.d.)</t>
  </si>
  <si>
    <t xml:space="preserve">9,500/day; 'world's largest 2W plant'; 25m cumulative (c.2018)</t>
  </si>
  <si>
    <t xml:space="preserve">[High] HE01; HE03; HE04</t>
  </si>
  <si>
    <t xml:space="preserve">X440 / Mavrick 440 (media)</t>
  </si>
  <si>
    <t xml:space="preserve">440 platform</t>
  </si>
  <si>
    <t xml:space="preserve">Rs1,050cr initial</t>
  </si>
  <si>
    <t xml:space="preserve">[High] HE02; HE03</t>
  </si>
  <si>
    <t xml:space="preserve">c.2016 (n.d.)</t>
  </si>
  <si>
    <t xml:space="preserve">Scooters (n.d.)</t>
  </si>
  <si>
    <t xml:space="preserve">Chittoor / Sri City</t>
  </si>
  <si>
    <t xml:space="preserve">19-Mar-2020</t>
  </si>
  <si>
    <t xml:space="preserve">Motorcycles, scooters; Vida EV</t>
  </si>
  <si>
    <t xml:space="preserve">Vida V-series</t>
  </si>
  <si>
    <t xml:space="preserve">Vida</t>
  </si>
  <si>
    <t xml:space="preserve">1,800,000 design; EV 25,000/month</t>
  </si>
  <si>
    <t xml:space="preserve">Operating; EV doubling</t>
  </si>
  <si>
    <t xml:space="preserve">600 acres; three-phase build</t>
  </si>
  <si>
    <t xml:space="preserve">[High] HE03; HE07</t>
  </si>
  <si>
    <t xml:space="preserve">Memo: Colombia, Bangladesh</t>
  </si>
  <si>
    <t xml:space="preserve">Overseas</t>
  </si>
  <si>
    <t xml:space="preserve">Hero subsidiaries/JV</t>
  </si>
  <si>
    <t xml:space="preserve">Assembly</t>
  </si>
  <si>
    <t xml:space="preserve">Capacity 6.15m; 7.0m targeted</t>
  </si>
  <si>
    <t xml:space="preserve">Dharuhera, Gurugram, Haridwar</t>
  </si>
  <si>
    <t xml:space="preserve">Three-shift operation; Haridwar 8,000 -&gt; 9,500/day</t>
  </si>
  <si>
    <t xml:space="preserve">Neemrana SOP</t>
  </si>
  <si>
    <t xml:space="preserve">Halol (Gujarat) SOP</t>
  </si>
  <si>
    <t xml:space="preserve">Halol</t>
  </si>
  <si>
    <t xml:space="preserve">Design 1.8m (2020)</t>
  </si>
  <si>
    <t xml:space="preserve">HE03</t>
  </si>
  <si>
    <t xml:space="preserve">Chittoor SOP</t>
  </si>
  <si>
    <t xml:space="preserve">Chittoor</t>
  </si>
  <si>
    <t xml:space="preserve">Commissioned (phased)</t>
  </si>
  <si>
    <t xml:space="preserve">Company total = design; operational 9.1m (verify)</t>
  </si>
  <si>
    <t xml:space="preserve">Expansion (EV)</t>
  </si>
  <si>
    <t xml:space="preserve">Sri City</t>
  </si>
  <si>
    <t xml:space="preserve">Completed; doubling planned</t>
  </si>
  <si>
    <t xml:space="preserve">Capex = total FY27 plan</t>
  </si>
  <si>
    <t xml:space="preserve">HE07</t>
  </si>
  <si>
    <t xml:space="preserve">100-110cc commuter</t>
  </si>
  <si>
    <t xml:space="preserve">Entry motorcycles</t>
  </si>
  <si>
    <t xml:space="preserve">Splendor, HF Deluxe, Passion</t>
  </si>
  <si>
    <t xml:space="preserve">Haridwar et al. (n.d.)</t>
  </si>
  <si>
    <t xml:space="preserve">125cc</t>
  </si>
  <si>
    <t xml:space="preserve">Executive motorcycles</t>
  </si>
  <si>
    <t xml:space="preserve">Glamour, Super Splendor, Xtreme 125R</t>
  </si>
  <si>
    <t xml:space="preserve">Premium (with Harley-Davidson)</t>
  </si>
  <si>
    <t xml:space="preserve">Harley-Davidson X440, Mavrick 440</t>
  </si>
  <si>
    <t xml:space="preserve">Neemrana (media)</t>
  </si>
  <si>
    <t xml:space="preserve">110-125cc</t>
  </si>
  <si>
    <t xml:space="preserve">Destini, Xoom, Pleasure</t>
  </si>
  <si>
    <t xml:space="preserve">Halol (n.d.)</t>
  </si>
  <si>
    <t xml:space="preserve">Vida V-series, VX2</t>
  </si>
  <si>
    <t xml:space="preserve">Chittoor (Sri City)</t>
  </si>
  <si>
    <t xml:space="preserve">FY26 retail 144,230</t>
  </si>
  <si>
    <t xml:space="preserve">[Medium] HE07; EV01</t>
  </si>
  <si>
    <t xml:space="preserve">EV capacity 25k -&gt; 50k+/month</t>
  </si>
  <si>
    <t xml:space="preserve">Ramping</t>
  </si>
  <si>
    <t xml:space="preserve">Capex = total FY27 plan incl. non-EV items</t>
  </si>
  <si>
    <r>
      <rPr>
        <b val="true"/>
        <sz val="9"/>
        <rFont val="Arial"/>
        <family val="0"/>
        <charset val="1"/>
      </rPr>
      <t xml:space="preserve">Structural slack is large.</t>
    </r>
    <r>
      <rPr>
        <sz val="9"/>
        <rFont val="Arial"/>
        <family val="0"/>
        <charset val="1"/>
      </rPr>
      <t xml:space="preserve"> FY26 dispatches 6.47m vs 9.1m operational (FY20, verify) or 11.6m design — c.56-71% utilisation.</t>
    </r>
  </si>
  <si>
    <r>
      <rPr>
        <b val="true"/>
        <sz val="9"/>
        <rFont val="Arial"/>
        <family val="0"/>
        <charset val="1"/>
      </rPr>
      <t xml:space="preserve">Incremental capex is EV-led.</t>
    </r>
    <r>
      <rPr>
        <sz val="9"/>
        <rFont val="Arial"/>
        <family val="0"/>
        <charset val="1"/>
      </rPr>
      <t xml:space="preserve"> No ICE capacity additions announced since Chittoor.</t>
    </r>
  </si>
  <si>
    <r>
      <rPr>
        <b val="true"/>
        <sz val="9"/>
        <rFont val="Arial"/>
        <family val="0"/>
        <charset val="1"/>
      </rPr>
      <t xml:space="preserve">Current capacity needs AR retrieval.</t>
    </r>
    <r>
      <rPr>
        <sz val="9"/>
        <rFont val="Arial"/>
        <family val="0"/>
        <charset val="1"/>
      </rPr>
      <t xml:space="preserve"> FY21-FY26 company totals not found in sources reviewed.</t>
    </r>
  </si>
  <si>
    <t xml:space="preserve">Ola Electric Mobility Ltd</t>
  </si>
  <si>
    <t xml:space="preserve">OLAELEC IN  |  Segment: 2W-EV  |  Units: vehicles p.a. unless stated  |  FY = year to 31-Mar  |  As of 14-Oct-2026</t>
  </si>
  <si>
    <t xml:space="preserve">Scope: Futurefactory (vehicles) and Gigafactory (cells, Ola Cell Technologies), Krishnagiri, Tamil Nadu.</t>
  </si>
  <si>
    <t xml:space="preserve">As of Oct-2023 (DRHP)  [OL03]</t>
  </si>
  <si>
    <t xml:space="preserve">Oct-2023 (DRHP)</t>
  </si>
  <si>
    <t xml:space="preserve">Futurefactory installed vehicle capacity (DRHP); cells tracked separately in GWh</t>
  </si>
  <si>
    <t xml:space="preserve">1 vehicle site (Futurefactory) + cell Gigafactory</t>
  </si>
  <si>
    <t xml:space="preserve">Retail registrations FY26 (media; not company deliveries)</t>
  </si>
  <si>
    <t xml:space="preserve">FY26 volume ÷ latest disclosed capacity (Oct-2023 (DRHP)) — indicative only</t>
  </si>
  <si>
    <t xml:space="preserve">FY24 year-end (row 19)</t>
  </si>
  <si>
    <t xml:space="preserve">[OL04; OL06; OL07]</t>
  </si>
  <si>
    <t xml:space="preserve">n.a. (cells: 5-6 GWh FY27; 20 GWh PLI)</t>
  </si>
  <si>
    <r>
      <rPr>
        <b val="true"/>
        <sz val="10"/>
        <rFont val="Arial"/>
        <family val="0"/>
        <charset val="1"/>
      </rPr>
      <t xml:space="preserve">Massive overcapacity in vehicles; capital has moved to cells.</t>
    </r>
    <r>
      <rPr>
        <sz val="10"/>
        <rFont val="Arial"/>
        <family val="0"/>
        <charset val="1"/>
      </rPr>
      <t xml:space="preserve"> 1.0m vehicle capacity vs 164k FY26 retail (c.16%) after a 52% volume decline; the gigafactory runs at c.2.5 GWh installed with 5-6 GWh targeted.</t>
    </r>
  </si>
  <si>
    <t xml:space="preserve">FY22 placed from Apr-2022 statement (one line, 0.5m). FY24 per DRHP (as of Oct-2023). No later vehicle capacity found.</t>
  </si>
  <si>
    <t xml:space="preserve">Retail registrations (media, Vahan-based) — not company-reported deliveries.</t>
  </si>
  <si>
    <t xml:space="preserve">OL01; OL08</t>
  </si>
  <si>
    <t xml:space="preserve">OL02</t>
  </si>
  <si>
    <t xml:space="preserve">OL03; OL07</t>
  </si>
  <si>
    <t xml:space="preserve">EV01</t>
  </si>
  <si>
    <t xml:space="preserve">EV01; OL04; OL06</t>
  </si>
  <si>
    <t xml:space="preserve">Construction; phase 1 planned at 2m</t>
  </si>
  <si>
    <t xml:space="preserve">One line; c.1,000/day</t>
  </si>
  <si>
    <t xml:space="preserve">DRHP: 1.0m; cells 1.5 GWh phase 1A</t>
  </si>
  <si>
    <t xml:space="preserve">Q1 68,192; Q3 32,680 deliveries; cells c.2.5 GWh</t>
  </si>
  <si>
    <t xml:space="preserve">Futurefactory — vehicles</t>
  </si>
  <si>
    <t xml:space="preserve">[OL02; OL03]</t>
  </si>
  <si>
    <t xml:space="preserve">Gigafactory — cell capacity</t>
  </si>
  <si>
    <t xml:space="preserve">GWh</t>
  </si>
  <si>
    <t xml:space="preserve">Phase 1A 1.5 GWh; c.2.5 GWh installed Feb-2026 [OL03; OL06]</t>
  </si>
  <si>
    <t xml:space="preserve">Futurefactory</t>
  </si>
  <si>
    <t xml:space="preserve">Pochampalli, Krishnagiri, Tamil Nadu</t>
  </si>
  <si>
    <t xml:space="preserve">Ola Electric Technologies</t>
  </si>
  <si>
    <t xml:space="preserve">E-scooters, e-motorcycles</t>
  </si>
  <si>
    <t xml:space="preserve">S1 range, Roadster</t>
  </si>
  <si>
    <t xml:space="preserve">Gen 1-3; Roadster</t>
  </si>
  <si>
    <t xml:space="preserve">Oct-2023</t>
  </si>
  <si>
    <t xml:space="preserve">Operating; heavily under-utilised</t>
  </si>
  <si>
    <t xml:space="preserve">500 acres; master plan 10 lines / 10m p.a.; Rs2,400cr phase 1 MoU (Dec-2020)</t>
  </si>
  <si>
    <t xml:space="preserve">[High] OL01; OL02; OL03; OL08</t>
  </si>
  <si>
    <t xml:space="preserve">Gigafactory (cells)</t>
  </si>
  <si>
    <t xml:space="preserve">Krishnagiri, Tamil Nadu</t>
  </si>
  <si>
    <t xml:space="preserve">Ola Cell Technologies</t>
  </si>
  <si>
    <t xml:space="preserve">Mar-2024 (phase 1A)</t>
  </si>
  <si>
    <t xml:space="preserve">Li-ion cells (4680 'Bharat Cell')</t>
  </si>
  <si>
    <t xml:space="preserve">4680</t>
  </si>
  <si>
    <t xml:space="preserve">1.5 GWh</t>
  </si>
  <si>
    <t xml:space="preserve">c.2.5 GWh installed</t>
  </si>
  <si>
    <t xml:space="preserve">PLI ACC allotment 20 GWh; site potential 100 GWh; Rs2,800cr for 5 GWh (Rs1,500cr spent by Jul-2025); 5 GWh ~ 1.2m vehicles</t>
  </si>
  <si>
    <t xml:space="preserve">[High] OL03; OL04; OL05; OL06; OL07</t>
  </si>
  <si>
    <t xml:space="preserve">MoU with Tamil Nadu</t>
  </si>
  <si>
    <t xml:space="preserve">Dec-2020</t>
  </si>
  <si>
    <t xml:space="preserve">Signed</t>
  </si>
  <si>
    <t xml:space="preserve">OL08</t>
  </si>
  <si>
    <t xml:space="preserve">Construction; phase 1 at 2m p.a. planned</t>
  </si>
  <si>
    <t xml:space="preserve">Mar-2021</t>
  </si>
  <si>
    <t xml:space="preserve">Construction</t>
  </si>
  <si>
    <t xml:space="preserve">10m p.a. with 10 lines at full build</t>
  </si>
  <si>
    <t xml:space="preserve">OL01</t>
  </si>
  <si>
    <t xml:space="preserve">One line, 0.5m installed</t>
  </si>
  <si>
    <t xml:space="preserve">Apr-2022</t>
  </si>
  <si>
    <t xml:space="preserve">FY22/23</t>
  </si>
  <si>
    <t xml:space="preserve">c.1,000 units/day</t>
  </si>
  <si>
    <t xml:space="preserve">Installed 1.0m; PLI ACC 20 GWh</t>
  </si>
  <si>
    <t xml:space="preserve">Reported (DRHP)</t>
  </si>
  <si>
    <t xml:space="preserve">Gigafactory phase 1A (1.5 GWh)</t>
  </si>
  <si>
    <t xml:space="preserve">New plant (cells)</t>
  </si>
  <si>
    <t xml:space="preserve">Gigafactory</t>
  </si>
  <si>
    <t xml:space="preserve">IPO proceeds to take cells to 6.4 GWh</t>
  </si>
  <si>
    <t xml:space="preserve">OL03</t>
  </si>
  <si>
    <t xml:space="preserve">Cells: 1.4 GWh utilised by FY26-end; 5 GWh through FY27</t>
  </si>
  <si>
    <t xml:space="preserve">14-Jul-2025</t>
  </si>
  <si>
    <t xml:space="preserve">Plan (cells)</t>
  </si>
  <si>
    <t xml:space="preserve">Guided</t>
  </si>
  <si>
    <t xml:space="preserve">OL04; OL05</t>
  </si>
  <si>
    <t xml:space="preserve">Cells c.2.5 GWh installed</t>
  </si>
  <si>
    <t xml:space="preserve">13-Feb-2026</t>
  </si>
  <si>
    <t xml:space="preserve">Expansion (cells)</t>
  </si>
  <si>
    <t xml:space="preserve">2.5 GWh</t>
  </si>
  <si>
    <t xml:space="preserve">6 GWh by Mar-2026 planned</t>
  </si>
  <si>
    <t xml:space="preserve">OL06</t>
  </si>
  <si>
    <t xml:space="preserve">S1 Gen 1-3</t>
  </si>
  <si>
    <t xml:space="preserve">S1 Pro, S1 Air, S1 X (Gen 1-3)</t>
  </si>
  <si>
    <t xml:space="preserve">[Medium] OL02</t>
  </si>
  <si>
    <t xml:space="preserve">Roadster</t>
  </si>
  <si>
    <t xml:space="preserve">Electric motorcycles</t>
  </si>
  <si>
    <t xml:space="preserve">Roadster X, Roadster Pro</t>
  </si>
  <si>
    <t xml:space="preserve">Rollout in phases (Jul-2025)</t>
  </si>
  <si>
    <t xml:space="preserve">[Medium] OL04</t>
  </si>
  <si>
    <t xml:space="preserve">4680 Bharat Cell</t>
  </si>
  <si>
    <t xml:space="preserve">Cell</t>
  </si>
  <si>
    <t xml:space="preserve">Battery cells</t>
  </si>
  <si>
    <t xml:space="preserve">Used in own vehicles; Ola Shakti storage</t>
  </si>
  <si>
    <t xml:space="preserve">Rare-earth-free motor also productionised</t>
  </si>
  <si>
    <t xml:space="preserve">[Medium] OL05; OL06</t>
  </si>
  <si>
    <t xml:space="preserve">Cells to 5-6 GWh</t>
  </si>
  <si>
    <t xml:space="preserve">GWh, not vehicles (5 GWh ~ 1.2m vehicles)</t>
  </si>
  <si>
    <t xml:space="preserve">OL04; OL05; OL06</t>
  </si>
  <si>
    <t xml:space="preserve">Cells to 20 GWh (PLI allotment)</t>
  </si>
  <si>
    <t xml:space="preserve">Long term</t>
  </si>
  <si>
    <t xml:space="preserve">Aspiration</t>
  </si>
  <si>
    <t xml:space="preserve">OL07</t>
  </si>
  <si>
    <t xml:space="preserve">Vehicle capacity additions</t>
  </si>
  <si>
    <r>
      <rPr>
        <b val="true"/>
        <sz val="9"/>
        <rFont val="Arial"/>
        <family val="0"/>
        <charset val="1"/>
      </rPr>
      <t xml:space="preserve">Overcapacity is the defining fact.</t>
    </r>
    <r>
      <rPr>
        <sz val="9"/>
        <rFont val="Arial"/>
        <family val="0"/>
        <charset val="1"/>
      </rPr>
      <t xml:space="preserve"> c.16% utilisation of the 1.0m line on FY26 retail; FY25 was c.34%.</t>
    </r>
  </si>
  <si>
    <r>
      <rPr>
        <b val="true"/>
        <sz val="9"/>
        <rFont val="Arial"/>
        <family val="0"/>
        <charset val="1"/>
      </rPr>
      <t xml:space="preserve">Capital is shifting to cells.</t>
    </r>
    <r>
      <rPr>
        <sz val="9"/>
        <rFont val="Arial"/>
        <family val="0"/>
        <charset val="1"/>
      </rPr>
      <t xml:space="preserve"> Cell capacity 1.5 -&gt; 2.5 GWh installed with 5-6 GWh targeted; vehicle capex is dormant.</t>
    </r>
  </si>
  <si>
    <r>
      <rPr>
        <b val="true"/>
        <sz val="9"/>
        <rFont val="Arial"/>
        <family val="0"/>
        <charset val="1"/>
      </rPr>
      <t xml:space="preserve">Volume definitions differ.</t>
    </r>
    <r>
      <rPr>
        <sz val="9"/>
        <rFont val="Arial"/>
        <family val="0"/>
        <charset val="1"/>
      </rPr>
      <t xml:space="preserve"> Retail (Vahan) and company deliveries diverge; quarterly deliveries FY26: Q1 68,192, Q3 32,680.</t>
    </r>
  </si>
  <si>
    <t xml:space="preserve">Ather Energy Ltd</t>
  </si>
  <si>
    <t xml:space="preserve">ATHERENERG IN  |  Segment: 2W-EV  |  Units: vehicles p.a. unless stated  |  FY = year to 31-Mar  |  As of 14-Oct-2026</t>
  </si>
  <si>
    <t xml:space="preserve">Scope: Hosur (Tamil Nadu) vehicle and battery plants; AURIC Bidkin (Maharashtra) from Q3FY27.</t>
  </si>
  <si>
    <t xml:space="preserve">As of Aug-2026  [AT05]</t>
  </si>
  <si>
    <t xml:space="preserve">Aug-2026</t>
  </si>
  <si>
    <t xml:space="preserve">Hosur vehicle assembly capacity (c.35k/month)</t>
  </si>
  <si>
    <t xml:space="preserve">1 (Hosur, two units); AURIC Bidkin commissioning Q3FY27</t>
  </si>
  <si>
    <t xml:space="preserve">Retail registrations FY26 (media)</t>
  </si>
  <si>
    <t xml:space="preserve">[AT05]</t>
  </si>
  <si>
    <t xml:space="preserve">AURIC phase 1 Q3FY27; phase 2 in planning</t>
  </si>
  <si>
    <r>
      <rPr>
        <b val="true"/>
        <sz val="10"/>
        <rFont val="Arial"/>
        <family val="0"/>
        <charset val="1"/>
      </rPr>
      <t xml:space="preserve">Capacity is about to more than double.</t>
    </r>
    <r>
      <rPr>
        <sz val="10"/>
        <rFont val="Arial"/>
        <family val="0"/>
        <charset val="1"/>
      </rPr>
      <t xml:space="preserve"> Hosur's 420k (c.57% utilised on FY26 retail of 239k) plus AURIC phase 1 (500k) in Q3FY27 takes capacity to 920k; management already flags 13-15k lost sales a month and is weighing an earlier phase 2.</t>
    </r>
  </si>
  <si>
    <t xml:space="preserve">FY24-FY25 bracketed: identical 420k disclosures in Nov-2022 and Aug-2026 with no change announced.</t>
  </si>
  <si>
    <t xml:space="preserve">Retail registrations (media) — not company-reported sales.</t>
  </si>
  <si>
    <t xml:space="preserve">AT01; AT03</t>
  </si>
  <si>
    <t xml:space="preserve">AT01; AT02</t>
  </si>
  <si>
    <t xml:space="preserve">AT01; AT05</t>
  </si>
  <si>
    <t xml:space="preserve">AT01; AT05; EV01</t>
  </si>
  <si>
    <t xml:space="preserve">AT05; EV01</t>
  </si>
  <si>
    <t xml:space="preserve">Hosur plant 1 (since 2021)</t>
  </si>
  <si>
    <t xml:space="preserve">Hosur plant 2 (23-Nov-2022)</t>
  </si>
  <si>
    <t xml:space="preserve">Bracketed (no change disclosed)</t>
  </si>
  <si>
    <t xml:space="preserve">AURIC announced Jun-2024 (FY25)</t>
  </si>
  <si>
    <t xml:space="preserve">AURIC phase 1 due Q3FY27</t>
  </si>
  <si>
    <t xml:space="preserve">Hosur plant 1</t>
  </si>
  <si>
    <t xml:space="preserve">[AT01]</t>
  </si>
  <si>
    <t xml:space="preserve">Hosur site total (plants 1+2)</t>
  </si>
  <si>
    <t xml:space="preserve">[AT01; AT05]</t>
  </si>
  <si>
    <t xml:space="preserve">AURIC Bidkin</t>
  </si>
  <si>
    <t xml:space="preserve">Phase 1 500k from Q3FY27 [AT05]</t>
  </si>
  <si>
    <t xml:space="preserve">Hosur, Tamil Nadu</t>
  </si>
  <si>
    <t xml:space="preserve">E-scooters</t>
  </si>
  <si>
    <t xml:space="preserve">450 series</t>
  </si>
  <si>
    <t xml:space="preserve">450</t>
  </si>
  <si>
    <t xml:space="preserve">Part of 420,000 site</t>
  </si>
  <si>
    <t xml:space="preserve">[Medium] AT01; AT03</t>
  </si>
  <si>
    <t xml:space="preserve">Hosur plant 2</t>
  </si>
  <si>
    <t xml:space="preserve">23-Nov-2022</t>
  </si>
  <si>
    <t xml:space="preserve">Vehicle assembly (2 lines) + battery packs (5 lines)</t>
  </si>
  <si>
    <t xml:space="preserve">450, Rizta</t>
  </si>
  <si>
    <t xml:space="preserve">450; Rizta</t>
  </si>
  <si>
    <t xml:space="preserve">420,000 (site)</t>
  </si>
  <si>
    <t xml:space="preserve">Operating; capacity-constrained</t>
  </si>
  <si>
    <t xml:space="preserve">300k sq ft</t>
  </si>
  <si>
    <t xml:space="preserve">[High] AT01; AT02; AT05</t>
  </si>
  <si>
    <t xml:space="preserve">Q3FY27 (phase 1)</t>
  </si>
  <si>
    <t xml:space="preserve">Vehicles + battery packs</t>
  </si>
  <si>
    <t xml:space="preserve">EL platform scooters</t>
  </si>
  <si>
    <t xml:space="preserve">EL</t>
  </si>
  <si>
    <t xml:space="preserve">Up to 1,000,000 (site)</t>
  </si>
  <si>
    <t xml:space="preserve">Commissioning</t>
  </si>
  <si>
    <t xml:space="preserve">Rs2,000cr+; c.100 acres</t>
  </si>
  <si>
    <t xml:space="preserve">[High] AT03; AT04; AT05</t>
  </si>
  <si>
    <t xml:space="preserve">Battery 5 lines, vehicle 2 lines</t>
  </si>
  <si>
    <t xml:space="preserve">AURIC plant announced</t>
  </si>
  <si>
    <t xml:space="preserve">AT03; AT04</t>
  </si>
  <si>
    <t xml:space="preserve">AURIC phase 1 commissioning</t>
  </si>
  <si>
    <t xml:space="preserve">Q3FY27</t>
  </si>
  <si>
    <t xml:space="preserve">Phase 2 being evaluated</t>
  </si>
  <si>
    <t xml:space="preserve">AT05</t>
  </si>
  <si>
    <t xml:space="preserve">Performance scooters</t>
  </si>
  <si>
    <t xml:space="preserve">450S, 450X, 450 Apex</t>
  </si>
  <si>
    <t xml:space="preserve">[Medium] AT01</t>
  </si>
  <si>
    <t xml:space="preserve">Rizta</t>
  </si>
  <si>
    <t xml:space="preserve">Family scooter</t>
  </si>
  <si>
    <t xml:space="preserve">Low-cost scooters</t>
  </si>
  <si>
    <t xml:space="preserve">EL-based scooters</t>
  </si>
  <si>
    <t xml:space="preserve">Hosur + AURIC</t>
  </si>
  <si>
    <t xml:space="preserve">Target c.60k/month across two plants</t>
  </si>
  <si>
    <t xml:space="preserve">[Medium] AT05</t>
  </si>
  <si>
    <t xml:space="preserve">Zenith</t>
  </si>
  <si>
    <t xml:space="preserve">Unveiled Aug-2025</t>
  </si>
  <si>
    <t xml:space="preserve">AURIC phase 1</t>
  </si>
  <si>
    <t xml:space="preserve">Capex = site programme</t>
  </si>
  <si>
    <t xml:space="preserve">AT04; AT05</t>
  </si>
  <si>
    <t xml:space="preserve">AURIC phase 2</t>
  </si>
  <si>
    <t xml:space="preserve">TBD (planning)</t>
  </si>
  <si>
    <t xml:space="preserve">Planning; may be accelerated</t>
  </si>
  <si>
    <t xml:space="preserve">Derived: 1.0m site design less 0.5m phase 1</t>
  </si>
  <si>
    <t xml:space="preserve">AT03; AT05</t>
  </si>
  <si>
    <r>
      <rPr>
        <b val="true"/>
        <sz val="9"/>
        <rFont val="Arial"/>
        <family val="0"/>
        <charset val="1"/>
      </rPr>
      <t xml:space="preserve">Demand already outruns Hosur.</t>
    </r>
    <r>
      <rPr>
        <sz val="9"/>
        <rFont val="Arial"/>
        <family val="0"/>
        <charset val="1"/>
      </rPr>
      <t xml:space="preserve"> Management cites 13-15k lost sales per month (Aug-2026).</t>
    </r>
  </si>
  <si>
    <r>
      <rPr>
        <b val="true"/>
        <sz val="9"/>
        <rFont val="Arial"/>
        <family val="0"/>
        <charset val="1"/>
      </rPr>
      <t xml:space="preserve">FY26 utilisation of c.57% is a lagging read.</t>
    </r>
    <r>
      <rPr>
        <sz val="9"/>
        <rFont val="Arial"/>
        <family val="0"/>
        <charset val="1"/>
      </rPr>
      <t xml:space="preserve"> Retail grew 82% to 239k; FY27 run-rate is above 35k/month.</t>
    </r>
  </si>
  <si>
    <r>
      <rPr>
        <b val="true"/>
        <sz val="9"/>
        <rFont val="Arial"/>
        <family val="0"/>
        <charset val="1"/>
      </rPr>
      <t xml:space="preserve">Volume basis is retail.</t>
    </r>
    <r>
      <rPr>
        <sz val="9"/>
        <rFont val="Arial"/>
        <family val="0"/>
        <charset val="1"/>
      </rPr>
      <t xml:space="preserve"> Company-reported wholesale (incl. exports) differs; replace once AR FY26 is retrieved.</t>
    </r>
  </si>
  <si>
    <t xml:space="preserve">Gap Register — missing series and where to find them</t>
  </si>
  <si>
    <t xml:space="preserve">Fields left blank in OEM sheets because no reliable disclosure was found in sources reviewed. Priority = value for capacity/utilisation modelling.</t>
  </si>
  <si>
    <t xml:space="preserve">Data gap</t>
  </si>
  <si>
    <t xml:space="preserve">Years</t>
  </si>
  <si>
    <t xml:space="preserve">Most likely source</t>
  </si>
  <si>
    <t xml:space="preserve">Priority</t>
  </si>
  <si>
    <t xml:space="preserve">FY-end installed capacity</t>
  </si>
  <si>
    <t xml:space="preserve">FY12–FY14</t>
  </si>
  <si>
    <t xml:space="preserve">MSIL Annual Reports FY12–FY14 (Directors' Report / MD&amp;A 'Production'); Q4 investor presentations</t>
  </si>
  <si>
    <t xml:space="preserve">Medium</t>
  </si>
  <si>
    <t xml:space="preserve">Production volumes</t>
  </si>
  <si>
    <t xml:space="preserve">FY10–FY14, FY16–FY22</t>
  </si>
  <si>
    <t xml:space="preserve">MSIL Annual Report 'Ten-year performance' table</t>
  </si>
  <si>
    <t xml:space="preserve">High</t>
  </si>
  <si>
    <t xml:space="preserve">Plant-wise capacity (Gurugram, Manesar)</t>
  </si>
  <si>
    <t xml:space="preserve">FY12–FY24</t>
  </si>
  <si>
    <t xml:space="preserve">Investor presentations; AR plant notes; timing of Gurugram 0.7m -&gt; 0.5m restatement</t>
  </si>
  <si>
    <t xml:space="preserve">Toyota-sourced volumes (Grand Vitara, Invicto)</t>
  </si>
  <si>
    <t xml:space="preserve">FY23–FY26</t>
  </si>
  <si>
    <t xml:space="preserve">MSIL AR related-party / purchase-of-goods notes</t>
  </si>
  <si>
    <t xml:space="preserve">Installed capacity</t>
  </si>
  <si>
    <t xml:space="preserve">FY11–FY15, FY17</t>
  </si>
  <si>
    <t xml:space="preserve">HMIL statutory filings (MCA/RoC); HMC Korea annual reports (overseas plant capacity tables)</t>
  </si>
  <si>
    <t xml:space="preserve">Production and sales</t>
  </si>
  <si>
    <t xml:space="preserve">FY10–FY21</t>
  </si>
  <si>
    <t xml:space="preserve">HMC Korea annual reports / IR (India plant production); SIAM</t>
  </si>
  <si>
    <t xml:space="preserve">Auto/SUV capacity series</t>
  </si>
  <si>
    <t xml:space="preserve">FY10–FY19, FY21</t>
  </si>
  <si>
    <t xml:space="preserve">M&amp;M ARs (MD&amp;A Automotive); analyst meet presentations</t>
  </si>
  <si>
    <t xml:space="preserve">Plant-wise capacity (Nashik, Chakan, Haridwar, Zaheerabad)</t>
  </si>
  <si>
    <t xml:space="preserve">All years</t>
  </si>
  <si>
    <t xml:space="preserve">AR 'Plant locations'; analyst meets; BRSR production data</t>
  </si>
  <si>
    <t xml:space="preserve">SUV exports and production</t>
  </si>
  <si>
    <t xml:space="preserve">FY10–FY26</t>
  </si>
  <si>
    <t xml:space="preserve">Monthly sales releases (exports); SIAM production</t>
  </si>
  <si>
    <t xml:space="preserve">Installed PV capacity</t>
  </si>
  <si>
    <t xml:space="preserve">FY10–FY21, FY23–FY25</t>
  </si>
  <si>
    <t xml:space="preserve">TML AR FY10–FY11 Schedule VI note; Form 20-F Item 4.D (FY10–FY23); investor days</t>
  </si>
  <si>
    <t xml:space="preserve">Plant-wise capacity (Pune, Ranjangaon/FIAPL, Sanand I/II)</t>
  </si>
  <si>
    <t xml:space="preserve">20-F Item 4.D; FIAPL disclosures; TPEML AR</t>
  </si>
  <si>
    <t xml:space="preserve">Installed CV capacity (company and plant-wise)</t>
  </si>
  <si>
    <t xml:space="preserve">TML AR FY10–FY11 Schedule VI note; 20-F Item 4.D; TMCV demerger information memorandum (2025)</t>
  </si>
  <si>
    <t xml:space="preserve">Installed capacity series</t>
  </si>
  <si>
    <t xml:space="preserve">FY12–FY26</t>
  </si>
  <si>
    <t xml:space="preserve">AL ARs (Directors' Report), investor presentations; FY10–FY11 Schedule VI note</t>
  </si>
  <si>
    <t xml:space="preserve">Plant-wise capacity (Ennore, Hosur, Alwar, Bhandara, Pantnagar)</t>
  </si>
  <si>
    <t xml:space="preserve">AR plant notes; credit-rating rationales (CRISIL/ICRA)</t>
  </si>
  <si>
    <t xml:space="preserve">FY10, FY13–FY14, FY16–FY20, FY22–FY25</t>
  </si>
  <si>
    <t xml:space="preserve">Bajaj AR Directors' Report ('capacity' paragraph appears most years)</t>
  </si>
  <si>
    <t xml:space="preserve">Bajaj AR 'Production' table</t>
  </si>
  <si>
    <t xml:space="preserve">Installed capacity (2W, 3W) by year</t>
  </si>
  <si>
    <t xml:space="preserve">FY10–FY22, FY24–FY25</t>
  </si>
  <si>
    <t xml:space="preserve">TVS AR Directors' Report; website snapshots</t>
  </si>
  <si>
    <t xml:space="preserve">Capacity by year</t>
  </si>
  <si>
    <t xml:space="preserve">FY10–FY17, FY20–FY25</t>
  </si>
  <si>
    <t xml:space="preserve">Eicher ARs, investor presentations, earnings calls</t>
  </si>
  <si>
    <t xml:space="preserve">FY10–FY11, FY13–FY14, FY16–FY19, FY21–FY26</t>
  </si>
  <si>
    <t xml:space="preserve">Hero AR Directors' Report ('installed capacity' line)</t>
  </si>
  <si>
    <t xml:space="preserve">SOP dates for Gurugram, Haridwar, Halol</t>
  </si>
  <si>
    <t xml:space="preserve">Hero AR corporate information / history</t>
  </si>
  <si>
    <t xml:space="preserve">Low</t>
  </si>
  <si>
    <t xml:space="preserve">Vehicle capacity after Oct-2023; cell production</t>
  </si>
  <si>
    <t xml:space="preserve">FY25–FY26</t>
  </si>
  <si>
    <t xml:space="preserve">Ola AR FY25/FY26; quarterly shareholder letters</t>
  </si>
  <si>
    <t xml:space="preserve">RHP capacity/utilisation tables (vehicles, battery packs)</t>
  </si>
  <si>
    <t xml:space="preserve">FY22–FY25</t>
  </si>
  <si>
    <t xml:space="preserve">Ather RHP (Apr-2025) 'Our Business — capacity and utilisation'</t>
  </si>
  <si>
    <t xml:space="preserve">Company wholesale (not retail) volumes for EV pure-plays</t>
  </si>
  <si>
    <t xml:space="preserve">FY24–FY26</t>
  </si>
  <si>
    <t xml:space="preserve">Company quarterly results</t>
  </si>
  <si>
    <t xml:space="preserve">Source Log</t>
  </si>
  <si>
    <t xml:space="preserve">Tier: A = filing / annual report / offer document; B = company release; C = media citing company; D = secondary — verify. IDs are cited in each OEM sheet.</t>
  </si>
  <si>
    <t xml:space="preserve">ID</t>
  </si>
  <si>
    <t xml:space="preserve">What it supports</t>
  </si>
  <si>
    <t xml:space="preserve">Publisher / type</t>
  </si>
  <si>
    <t xml:space="preserve">URL</t>
  </si>
  <si>
    <t xml:space="preserve">MS01</t>
  </si>
  <si>
    <t xml:space="preserve">Q3 FY10 results; Board approves 250k Manesar expansion (Plant B); capability 1.0m (Gurgaon 0.7m, Manesar 0.3m)</t>
  </si>
  <si>
    <t xml:space="preserve">MSIL press release</t>
  </si>
  <si>
    <t xml:space="preserve">https://www.marutisuzuki.com/corporate/media/press-releases/2010/january/maruti-suzuki-financial-results</t>
  </si>
  <si>
    <t xml:space="preserve">MS02</t>
  </si>
  <si>
    <t xml:space="preserve">Maruti Suzuki manufactures 10 lakh units in FY10; Gurgaon 0.7m + Manesar 0.3m; Rs1,700cr Plant B</t>
  </si>
  <si>
    <t xml:space="preserve">23-Mar-2010</t>
  </si>
  <si>
    <t xml:space="preserve">https://www.marutisuzuki.com/corporate/media/press-releases/2010/march/maruti-suzuki-manufactures-10-lakh-units-in-2009-10</t>
  </si>
  <si>
    <t xml:space="preserve">AGM 2010: capacity Gurgaon 850k + Manesar 350k = 1.2m; Plant C (250k, Rs1,925cr); 1.75m by FY13</t>
  </si>
  <si>
    <t xml:space="preserve">https://www.marutisuzuki.com/corporate/media/press-releases/2010/september/maruti-suzuki-to-establish-new-plant-at-manesar</t>
  </si>
  <si>
    <t xml:space="preserve">MS04</t>
  </si>
  <si>
    <t xml:space="preserve">Annual Report 2009-10 company profile: FY10 sales 1,018,365 (domestic 870,790; exports 147,575); combined capacity &gt;1m</t>
  </si>
  <si>
    <t xml:space="preserve">MSIL Annual Report (third-party copy)</t>
  </si>
  <si>
    <t xml:space="preserve">https://www.scribd.com/doc/51372005/manish</t>
  </si>
  <si>
    <t xml:space="preserve">MSIL production reaches 10 million; combined capacity 1.2m; two new plants to take maximum capacity to c.1.7m in 2013</t>
  </si>
  <si>
    <t xml:space="preserve">Suzuki Global News</t>
  </si>
  <si>
    <t xml:space="preserve">15-Mar-2011</t>
  </si>
  <si>
    <t xml:space="preserve">https://www.globalsuzuki.com/globalnews/2011/0315.html</t>
  </si>
  <si>
    <t xml:space="preserve">MS06</t>
  </si>
  <si>
    <t xml:space="preserve">15 millionth vehicle; Gujarat plant (250k) takes India maximum capacity to 1.75m</t>
  </si>
  <si>
    <t xml:space="preserve">12-May-2015</t>
  </si>
  <si>
    <t xml:space="preserve">https://www.globalsuzuki.com/globalnews/2015/0512.html</t>
  </si>
  <si>
    <t xml:space="preserve">MS07</t>
  </si>
  <si>
    <t xml:space="preserve">FY15 production 1,308,128; Gurgaon 700k + Manesar 800k (two shifts); FY16 effective c.1.45m, FY17 c.1.55m</t>
  </si>
  <si>
    <t xml:space="preserve">Autocar Professional</t>
  </si>
  <si>
    <t xml:space="preserve">Feb-2016</t>
  </si>
  <si>
    <t xml:space="preserve">https://autocarpro.in/news-national/maruti-suzuki-looks-squeeze-production-existing-plants-10531</t>
  </si>
  <si>
    <t xml:space="preserve">MS08</t>
  </si>
  <si>
    <t xml:space="preserve">SMG approved by minority shareholders; SMG eventual 750k; MSIL existing 1.5m</t>
  </si>
  <si>
    <t xml:space="preserve">Rushlane</t>
  </si>
  <si>
    <t xml:space="preserve">18-Dec-2015</t>
  </si>
  <si>
    <t xml:space="preserve">https://www.rushlane.com/amp/suzuki-motor-gujarat-plant-approved-by-msil-12177864.html</t>
  </si>
  <si>
    <t xml:space="preserve">MS09</t>
  </si>
  <si>
    <t xml:space="preserve">SMG Plant B and powertrain plant operational (Jan-2019); SMG 500k + MSIL 1.5m = 2.0m</t>
  </si>
  <si>
    <t xml:space="preserve">https://www.rushlane.com/amp/maruti-swift-production-gets-a-boost-12294033.html</t>
  </si>
  <si>
    <t xml:space="preserve">Gujarat Plant C starts (Apr-2021): A/B/C 250k each = 750k; powertrain 500k engines / 500k transmissions; MSIL 1.5m; India 2.25m</t>
  </si>
  <si>
    <t xml:space="preserve">Suzuki Global News / NSE filing</t>
  </si>
  <si>
    <t xml:space="preserve">02-Apr-2021</t>
  </si>
  <si>
    <t xml:space="preserve">https://www.globalsuzuki.com/globalnews/2021/0402.html</t>
  </si>
  <si>
    <t xml:space="preserve">Gujarat plant 3m cumulative; capacity 750k; SMG became MSIL subsidiary; MSIL to secure c.4m capacity by FY2030</t>
  </si>
  <si>
    <t xml:space="preserve">06-Dec-2023</t>
  </si>
  <si>
    <t xml:space="preserve">https://www.globalsuzuki.com/globalnews/2023/1206a.html</t>
  </si>
  <si>
    <t xml:space="preserve">MS12</t>
  </si>
  <si>
    <t xml:space="preserve">Analyst call: Manesar + Gurugram 15 lakh, Gujarat 7.5 lakh (22.5 lakh total); +1 lakh Manesar by Apr-2024; Kharkhoda phase 1 2.5 lakh, Rs11,000cr</t>
  </si>
  <si>
    <t xml:space="preserve">Outlook Business / PTI</t>
  </si>
  <si>
    <t xml:space="preserve">06-Nov-2022</t>
  </si>
  <si>
    <t xml:space="preserve">https://www.outlookbusiness.com/news/maruti-suzuki-may-expand-manesar-plant-capacity-by-one-lakh-units-by-april-2024-news-235140</t>
  </si>
  <si>
    <t xml:space="preserve">New 100k assembly line at Manesar Plant A; Manesar 900k; Plant B 2011, Plant C 2013; models built</t>
  </si>
  <si>
    <t xml:space="preserve">MSIL press release (via Automotive World)</t>
  </si>
  <si>
    <t xml:space="preserve">https://www.automotiveworld.com/?p=417537</t>
  </si>
  <si>
    <t xml:space="preserve">MS14</t>
  </si>
  <si>
    <t xml:space="preserve">Commercial production begins at Kharkhoda (250k, Brezza); total capability 2.6m incl. SMG</t>
  </si>
  <si>
    <t xml:space="preserve">https://www.marutisuzuki.com/corporate/media/press-releases/2025/february/maruti-suzuki-begins-commercial-production-at-kharkhoda</t>
  </si>
  <si>
    <t xml:space="preserve">MS15</t>
  </si>
  <si>
    <t xml:space="preserve">Kharkhoda Plant starts; India capacity 2.35m -&gt; 2.6m; second Gujarat plant planned; 4m target</t>
  </si>
  <si>
    <t xml:space="preserve">https://www.globalsuzuki.com/globalnews/2025/0225.html</t>
  </si>
  <si>
    <t xml:space="preserve">MS16</t>
  </si>
  <si>
    <t xml:space="preserve">Board approves Khoraj (Gujarat) land for up to 1m capacity; Rs4,960cr; installed c.2.4m (ability c.2.6m), fully utilised</t>
  </si>
  <si>
    <t xml:space="preserve">MotorBeam</t>
  </si>
  <si>
    <t xml:space="preserve">https://www.motorbeam.com/?p=322906</t>
  </si>
  <si>
    <t xml:space="preserve">MS17</t>
  </si>
  <si>
    <t xml:space="preserve">FY2025-26 results: sales 2,422,713 (domestic 1,974,939; exports 447,774); FY25 2,234,266; c.190k pending orders, capacity-limited</t>
  </si>
  <si>
    <t xml:space="preserve">MSIL press release (NSE filing)</t>
  </si>
  <si>
    <t xml:space="preserve">28-Apr-2026</t>
  </si>
  <si>
    <t xml:space="preserve">https://nsearchives.nseindia.com/corporate/MARUTI_28042026145344_StxIntimation_PressRelease_31Mar2026.pdf</t>
  </si>
  <si>
    <t xml:space="preserve">MS18</t>
  </si>
  <si>
    <t xml:space="preserve">Record FY26 production &gt;23.4 lakh; combined capacity 24 lakh; Khoraj fifth plant (10 lakh); 40 lakh ambition</t>
  </si>
  <si>
    <t xml:space="preserve">Emobility+ (citing MSIL)</t>
  </si>
  <si>
    <t xml:space="preserve">24-Apr-2026</t>
  </si>
  <si>
    <t xml:space="preserve">https://emobilityplus.com/2026/04/24/maruti-suzuki-hits-record-2-34-million-production-milestone-in-fy26-sets-sights-on-expansion/amp/</t>
  </si>
  <si>
    <t xml:space="preserve">MS19</t>
  </si>
  <si>
    <t xml:space="preserve">Production history: FY23 1.922m, FY24 1.984m, FY25 2.102m, FY26 2.34m</t>
  </si>
  <si>
    <t xml:space="preserve">MeroAuto (citing MSIL)</t>
  </si>
  <si>
    <t xml:space="preserve">2026</t>
  </si>
  <si>
    <t xml:space="preserve">https://www.en.meroauto.com/?p=12740</t>
  </si>
  <si>
    <t xml:space="preserve">Kharkhoda Plant 2 (250k) commercial production 18-May-2026; total 2.65m; Gurugram 0.5m, Manesar 0.9m, Hansalpur 0.75m, Kharkhoda 0.5m</t>
  </si>
  <si>
    <t xml:space="preserve">MSIL press release / exchange intimation (via CMOTS)</t>
  </si>
  <si>
    <t xml:space="preserve">https://www.marutisuzuki.com/corporate/media/press-releases/2026/may/maruti-suzuki-commences-commercial-production-at-2nd-plant-in-kharkhoda-haryana</t>
  </si>
  <si>
    <t xml:space="preserve">Hansalpur Plant D (250k, Rs3,900cr) from 30-Jul-2026; Hansalpur 1m; total 2.9m; plant start dates and model allocation</t>
  </si>
  <si>
    <t xml:space="preserve">MSIL exchange intimation (NSE)</t>
  </si>
  <si>
    <t xml:space="preserve">https://nsearchives.nseindia.com/corporate/MARUTIASHISH_30072026133341_STxIntimation_Hansalpur_ProductionCommencement_30July2026.pdf</t>
  </si>
  <si>
    <t xml:space="preserve">MS22</t>
  </si>
  <si>
    <t xml:space="preserve">March 2021 sales release: domestic sales FY16-FY21; FY20/FY21 exports and totals</t>
  </si>
  <si>
    <t xml:space="preserve">MSIL press release (BSE filing)</t>
  </si>
  <si>
    <t xml:space="preserve">01-Apr-2021</t>
  </si>
  <si>
    <t xml:space="preserve">https://bseindia.com/xml-data/corpfiling/AttachHis/3b4d6cb6-9777-4619-a255-e0b0cfc4a7e7.pdf</t>
  </si>
  <si>
    <t xml:space="preserve">MS23</t>
  </si>
  <si>
    <t xml:space="preserve">Kharkhoda Phase 1: Gurugram 7 lakh, Manesar 9 lakh, Gujarat 7.5 lakh; 4m by FY31 with c.Rs45,000cr</t>
  </si>
  <si>
    <t xml:space="preserve">Feb-2025</t>
  </si>
  <si>
    <t xml:space="preserve">https://www.motorbeam.com/?p=316344</t>
  </si>
  <si>
    <t xml:space="preserve">Gurgaon Plant 1 (c.160k) to be phased out; Gurgaon 700k, Manesar 300k</t>
  </si>
  <si>
    <t xml:space="preserve">MoneyWorks4Me (news digest)</t>
  </si>
  <si>
    <t xml:space="preserve">08-Sep-2009</t>
  </si>
  <si>
    <t xml:space="preserve">https://www.moneyworks4me.com/mobile/news/index/id/16840/fincode/</t>
  </si>
  <si>
    <t xml:space="preserve">MS25</t>
  </si>
  <si>
    <t xml:space="preserve">Kharkhoda: Rs11,000cr initial; four plants x 250k = 1m over c.8 years</t>
  </si>
  <si>
    <t xml:space="preserve">Machinist</t>
  </si>
  <si>
    <t xml:space="preserve">https://machinist.in/2025/02/maruti-suzuki-starts-commercial-production-at-haryana-plant/</t>
  </si>
  <si>
    <t xml:space="preserve">Haryana clears c.900 acres at Kharkhoda for three 250k plants, Rs18,000cr; Gurugram (300 acres) + Manesar (600 acres) = 15.5 lakh</t>
  </si>
  <si>
    <t xml:space="preserve">IndiaInfraHub</t>
  </si>
  <si>
    <t xml:space="preserve">https://indiainfrahub.com/news/maruti-to-shift-from-gurugram-but-remain-in-haryana-gets-nod-for-900-acre-land-in-kharkhoda-for-new-facility/</t>
  </si>
  <si>
    <t xml:space="preserve">MS27</t>
  </si>
  <si>
    <t xml:space="preserve">Manesar production milestones; Plant A line addition to 9 lakh</t>
  </si>
  <si>
    <t xml:space="preserve">Apr-2024</t>
  </si>
  <si>
    <t xml:space="preserve">https://www.rushlane.com/maruti-manesar-plant-capacity-increased-to-9-lakh-cars-per-annum-12492697.html</t>
  </si>
  <si>
    <t xml:space="preserve">MS28</t>
  </si>
  <si>
    <t xml:space="preserve">Manesar 1 crore cumulative; operations from Oct-2006; 600 acres; models</t>
  </si>
  <si>
    <t xml:space="preserve">Mobility Outlook</t>
  </si>
  <si>
    <t xml:space="preserve">17-Oct-2024</t>
  </si>
  <si>
    <t xml:space="preserve">https://mobilityoutlook.com/news/maruti-suzukis-manesar-facility-achieves-milestone-of-1-crore-units</t>
  </si>
  <si>
    <t xml:space="preserve">MS29</t>
  </si>
  <si>
    <t xml:space="preserve">Maruti searching land to shift Gurgaon plant (c.7 lakh); Gurgaon + Manesar 15.5 lakh</t>
  </si>
  <si>
    <t xml:space="preserve">24-Dec-2018</t>
  </si>
  <si>
    <t xml:space="preserve">https://www.rushlane.com/amp/maruti-gurgaon-plant-shift-12291611.html</t>
  </si>
  <si>
    <t xml:space="preserve">Plant B at Manesar to start Oct-2011, six months early</t>
  </si>
  <si>
    <t xml:space="preserve">CarTrade</t>
  </si>
  <si>
    <t xml:space="preserve">https://www.cartrade.com/news/maruti-suzuki-expansion-plans-for-india-112775.html</t>
  </si>
  <si>
    <t xml:space="preserve">HY01</t>
  </si>
  <si>
    <t xml:space="preserve">Hyundai Motor India</t>
  </si>
  <si>
    <t xml:space="preserve">HMIL commissions second Sriperumbudur plant (300k); capacity doubles to 600k</t>
  </si>
  <si>
    <t xml:space="preserve">HMIL release (via CarTrade)</t>
  </si>
  <si>
    <t xml:space="preserve">https://www.cartrade.com/news/hyundai-motor-india-inaugurates-new-plant-100053.html</t>
  </si>
  <si>
    <t xml:space="preserve">Installed capacity 300k reached in 2006; 327k produced in 2007</t>
  </si>
  <si>
    <t xml:space="preserve">Business Today</t>
  </si>
  <si>
    <t xml:space="preserve">Feb-2008</t>
  </si>
  <si>
    <t xml:space="preserve">https://businesstoday.in/magazine/current/story/getting-back-to-speed-129813-2008-02-05</t>
  </si>
  <si>
    <t xml:space="preserve">300k engine &amp; transmission plant inaugurated in 2008 (Kappa 1.2L)</t>
  </si>
  <si>
    <t xml:space="preserve">29-Jan-2009</t>
  </si>
  <si>
    <t xml:space="preserve">https://www.autocarpro.in/analysis-report/automotive-oscars-4663</t>
  </si>
  <si>
    <t xml:space="preserve">Chennai capacity 600k; c.12% increase to c.670k planned</t>
  </si>
  <si>
    <t xml:space="preserve">Segment Y (Business Standard)</t>
  </si>
  <si>
    <t xml:space="preserve">09-Aug-2010</t>
  </si>
  <si>
    <t xml:space="preserve">https://www.segmenty.com/GenerateNewsStaticJsps/Hyundai_to_ramp_up_production_capacity_by_12_.html</t>
  </si>
  <si>
    <t xml:space="preserve">Total capacity 680k fully utilised; third plant (1m, Rs4,500cr) under evaluation</t>
  </si>
  <si>
    <t xml:space="preserve">WardsAuto</t>
  </si>
  <si>
    <t xml:space="preserve">19-May-2016</t>
  </si>
  <si>
    <t xml:space="preserve">https://wardsauto.com/industry/hyundai-adding-capacity-build-success-india</t>
  </si>
  <si>
    <t xml:space="preserve">HY06</t>
  </si>
  <si>
    <t xml:space="preserve">Plant at almost 100% utilisation; capacity 700k to 750k via value engineering</t>
  </si>
  <si>
    <t xml:space="preserve">27-Jul-2018</t>
  </si>
  <si>
    <t xml:space="preserve">https://www.autocarpro.in/news-national/hyundai-motor-indiaexpands-production-capacity-plans-8-new-models-over-next-2-years-40275</t>
  </si>
  <si>
    <t xml:space="preserve">+50k from Jan-2019: 7.5 lakh capacity (from 7 lakh)</t>
  </si>
  <si>
    <t xml:space="preserve">EQ Mag Pro (citing HMIL MD)</t>
  </si>
  <si>
    <t xml:space="preserve">https://www.eqmagpro.com/hyundai-plans-to-roll-out-electric-vehicles-from-chennai-plant/</t>
  </si>
  <si>
    <t xml:space="preserve">HY08</t>
  </si>
  <si>
    <t xml:space="preserve">DRHP: Chennai installed capacity 758k (FY22) and 770k (FY23); utilisation 79.96% and 94.45%</t>
  </si>
  <si>
    <t xml:space="preserve">DRHP (via IPO Central)</t>
  </si>
  <si>
    <t xml:space="preserve">https://ipocentral.in/hyundai-motor-india-ipo-10-key-points/</t>
  </si>
  <si>
    <t xml:space="preserve">APA for GM Talegaon (1.3 lakh p.a.); HMIL capacity raised 7.5 lakh -&gt; 8.2 lakh in H1 2023</t>
  </si>
  <si>
    <t xml:space="preserve">https://www.outlookbusiness.com/news/hyundai-inks-asset-purchase-agreement-to-acquire-gm-s-talegaon-plant-news-311013</t>
  </si>
  <si>
    <t xml:space="preserve">HY10</t>
  </si>
  <si>
    <t xml:space="preserve">DRHP: 824k at Mar-2024; 994k when Talegaon partly operational; 1,074k when fully operational</t>
  </si>
  <si>
    <t xml:space="preserve">Entrepreneur India (citing DRHP)</t>
  </si>
  <si>
    <t xml:space="preserve">18-Jun-2024</t>
  </si>
  <si>
    <t xml:space="preserve">https://india.entrepreneur.com/news-and-trends/hyundai-india-eyes-yearly-output-of-1-million-units/475766</t>
  </si>
  <si>
    <t xml:space="preserve">Annual Report FY2025-26 Board's Report: plant-wise production FY22-FY26, sales FY22-FY26, Chennai 824k + Pune 170k</t>
  </si>
  <si>
    <t xml:space="preserve">HMIL Annual Report</t>
  </si>
  <si>
    <t xml:space="preserve">https://www.hyundai.com/content/dam/hyundai/in/en/images/investor-relations/annual-reports/Boards-Report.pdf</t>
  </si>
  <si>
    <t xml:space="preserve">HY12</t>
  </si>
  <si>
    <t xml:space="preserve">Talegaon investment raised Rs7,000cr -&gt; Rs11,000cr; vehicles from 1-Oct-2025 (170k -&gt; 250k by 2028); engines 150k</t>
  </si>
  <si>
    <t xml:space="preserve">https://machinist.in/2025/10/hyundai-motor-india-expands-talegaon-plant-for-passenger-vehicle-production/</t>
  </si>
  <si>
    <t xml:space="preserve">HY13</t>
  </si>
  <si>
    <t xml:space="preserve">Talegaon engine production from 16-Jun-2025; GM-era capacity 130k vehicles / 160k engines</t>
  </si>
  <si>
    <t xml:space="preserve">https://machinist.in/?p=4247</t>
  </si>
  <si>
    <t xml:space="preserve">HY14</t>
  </si>
  <si>
    <t xml:space="preserve">Second-gen Venue to be the first model from Talegaon</t>
  </si>
  <si>
    <t xml:space="preserve">https://autocarpro.in/news-national/next-gen-hyundai-venue-to-roll-out-from-newly-acquired-talegaon-plant-116383</t>
  </si>
  <si>
    <t xml:space="preserve">HY15</t>
  </si>
  <si>
    <t xml:space="preserve">Aggregate installed capacity 994k in FY26; FY27 volume growth guide 8-10%; exports 190,125 in FY26</t>
  </si>
  <si>
    <t xml:space="preserve">DSIJ</t>
  </si>
  <si>
    <t xml:space="preserve">Oct-2026</t>
  </si>
  <si>
    <t xml:space="preserve">https://insights.dsij.in/dsijarticledetail/hyundai-motor-india-posts-record-september-sales-as-domestic-demand-and-exports-accelerate</t>
  </si>
  <si>
    <t xml:space="preserve">Rs1,500cr Chennai upgrade; combined capacity c.1.1m once both plants operational</t>
  </si>
  <si>
    <t xml:space="preserve">May-2025</t>
  </si>
  <si>
    <t xml:space="preserve">https://machinist.in/?p=3559</t>
  </si>
  <si>
    <t xml:space="preserve">HY17</t>
  </si>
  <si>
    <t xml:space="preserve">Second plant c.US$1bn; construction began Nov-2005</t>
  </si>
  <si>
    <t xml:space="preserve">IndustryWeek</t>
  </si>
  <si>
    <t xml:space="preserve">05-Feb-2008</t>
  </si>
  <si>
    <t xml:space="preserve">https://www.industryweek.com/companies-amp-executives/hyundai-makes-india-its-biggest-foreign-manufacturing-site</t>
  </si>
  <si>
    <t xml:space="preserve">HY18</t>
  </si>
  <si>
    <t xml:space="preserve">+50k via debottlenecking; CY2017 production 6.78 lakh vs 6.65 lakh in CY2016</t>
  </si>
  <si>
    <t xml:space="preserve">Sarkaritel / IANS</t>
  </si>
  <si>
    <t xml:space="preserve">16-Mar-2018</t>
  </si>
  <si>
    <t xml:space="preserve">https://www.sarkaritel.com/?p=219485</t>
  </si>
  <si>
    <t xml:space="preserve">Proposal to raise Sriperumbudur from 700k to 800k (50k CKD + 50k CBU)</t>
  </si>
  <si>
    <t xml:space="preserve">IndBiz (GoI)</t>
  </si>
  <si>
    <t xml:space="preserve">12-Nov-2018</t>
  </si>
  <si>
    <t xml:space="preserve">https://indbiz.gov.in/hyundai-to-expand-chennai-plant</t>
  </si>
  <si>
    <t xml:space="preserve">Mahindra &amp; Mahindra</t>
  </si>
  <si>
    <t xml:space="preserve">Chakan inaugurated 13-Mar-2010: 300k p.a. incl. 50k trucks; engines 120k UV + 40k truck</t>
  </si>
  <si>
    <t xml:space="preserve">Mahindra Truck &amp; Bus (company)</t>
  </si>
  <si>
    <t xml:space="preserve">15-Mar-2010</t>
  </si>
  <si>
    <t xml:space="preserve">https://www.mahindratruckandbus.com/english/blog/new-mahindra-mahindra-plant-inaugurated.aspx</t>
  </si>
  <si>
    <t xml:space="preserve">Chakan, Zaheerabad, Haridwar roll out millionth vehicle; Chakan 320k p.a.; Haridwar since Dec-2005</t>
  </si>
  <si>
    <t xml:space="preserve">https://autocarpro.in/news-national/mahindras-chakan-zaheerabad-and-haridwar-plants-roll-out-their-millionth-vehicle-43483</t>
  </si>
  <si>
    <t xml:space="preserve">Q2FY23: SUV capacity 29k -&gt; 39k/month (Q4FY23) -&gt; 49k (Q4FY24); model-wise plan</t>
  </si>
  <si>
    <t xml:space="preserve">The Telegraph</t>
  </si>
  <si>
    <t xml:space="preserve">https://obeta.ttef.in/business/mahindra-suv-expansion-plan/cid/1897912</t>
  </si>
  <si>
    <t xml:space="preserve">SUV capacity raised 29k -&gt; 39k/month in FY23; 49k/month planned for FY24</t>
  </si>
  <si>
    <t xml:space="preserve">Business Standard / PTI</t>
  </si>
  <si>
    <t xml:space="preserve">04-Jun-2023</t>
  </si>
  <si>
    <t xml:space="preserve">https://www.business-standard.com/amp/companies/news/aiming-to-maintain-leadership-position-in-suv-segment-mahindra-group-cfo-123060400220_1.html</t>
  </si>
  <si>
    <t xml:space="preserve">Capacity 19k/month (FY20) -&gt; 39k (FY23) -&gt; 49k (FY24); plan 64k (FY25), 72k (FY26)</t>
  </si>
  <si>
    <t xml:space="preserve">https://autocarpro.in/analysis-sales/rapid-ramp-up-in-production-sees-mahindras-suv-backlog-reduce-to-220000-units-120561</t>
  </si>
  <si>
    <t xml:space="preserve">10k/month EV capacity by Mar-2025; Thar/Thar Roxx fungible 9.5k/month</t>
  </si>
  <si>
    <t xml:space="preserve">https://autocarpro.in/news/mm-readies-itself-with-10000-units-per-month-capacity-for-evs-123428</t>
  </si>
  <si>
    <t xml:space="preserve">MM07</t>
  </si>
  <si>
    <t xml:space="preserve">Q4FY25: SUV capacity 54k/month at &gt;90% utilisation; 67k by FY27; Rs27,000cr auto capex FY25-27</t>
  </si>
  <si>
    <t xml:space="preserve">Business Standard</t>
  </si>
  <si>
    <t xml:space="preserve">https://www.business-standard.com/amp/companies/quarterly-results/mahindra-mahindra-q4-profit-rises-on-suv-tractor-demand-125050500650_1.html</t>
  </si>
  <si>
    <t xml:space="preserve">Capacity roadmap: 59k (FY25) -&gt; 64.5k (FY26) -&gt; 68k (H1FY27) -&gt; 82k (H2FY27); Nagpur +20k/month H1FY30 and H1FY31</t>
  </si>
  <si>
    <t xml:space="preserve">Autocar Professional (Q1FY27 presentation)</t>
  </si>
  <si>
    <t xml:space="preserve">https://www.autocarpro.in/news/mahindra-maps-2x-capacity-expansion-by-fy31-targets-92000-units-in-2-years-133820</t>
  </si>
  <si>
    <t xml:space="preserve">82k/month by H2FY27 (70k ICE + 12k BEV); Chakan +10k -&gt; 92k by FY28-end; double capacity FY26-FY31</t>
  </si>
  <si>
    <t xml:space="preserve">https://www.autocarpro.in/news/mahindra-plans-production-capacity-ramp-up-to-double-by-fy31-133811?amp=1</t>
  </si>
  <si>
    <t xml:space="preserve">Nagpur integrated plant: Rs15,000cr over a decade; &gt;5 lakh vehicles + 1 lakh tractors; SOP 2028; 1,500 acres</t>
  </si>
  <si>
    <t xml:space="preserve">Autocar India</t>
  </si>
  <si>
    <t xml:space="preserve">https://www.autocarindia.com/car-news/mahindra-to-set-up-rs-15000-crore-manufacturing-plant-in-maharashtra-439001</t>
  </si>
  <si>
    <t xml:space="preserve">MM11</t>
  </si>
  <si>
    <t xml:space="preserve">New Aspiration 2031: 64.5k/month at FY26-end; 82k by FY27-end; c.10 lakh by 2030</t>
  </si>
  <si>
    <t xml:space="preserve">https://www.rushlane.com/mahindra-to-launch-10-new-ice-suvs-6-bevs-produce-82k-suvs-12545847.html</t>
  </si>
  <si>
    <t xml:space="preserve">MM12</t>
  </si>
  <si>
    <t xml:space="preserve">Record FY26 SUV volume 660,276</t>
  </si>
  <si>
    <t xml:space="preserve">01-Apr-2026</t>
  </si>
  <si>
    <t xml:space="preserve">https://www.autocarpro.in/news/mahindra-mahindra-reports-25-domestic-suv-growth-to-60272-units-in-march-2026-achieves-record-fy26-annual-volume-of-660276-131896?amp=1</t>
  </si>
  <si>
    <t xml:space="preserve">FY26 domestic PV ranking: M&amp;M 660,276 (FY25 551,487); Tata PV 631,387 (553,585); Hyundai 584,906</t>
  </si>
  <si>
    <t xml:space="preserve">https://www.autocarpro.in/news/hyundai-slips-to-no-4-as-mahindra-and-tata-motors-both-overtake-it-in-fy26-domestic-pv-sales-131913?amp=1</t>
  </si>
  <si>
    <t xml:space="preserve">MM14</t>
  </si>
  <si>
    <t xml:space="preserve">Chakan: 700 acres, 300k, Scorpio-N and trucks 0.75-49t</t>
  </si>
  <si>
    <t xml:space="preserve">25-Aug-2022</t>
  </si>
  <si>
    <t xml:space="preserve">https://www.rushlane.com/mahindra-scorpio-n-deliveries-start-production-plant-12447400.html</t>
  </si>
  <si>
    <t xml:space="preserve">MM15</t>
  </si>
  <si>
    <t xml:space="preserve">Newspaper clipping: UV installed capacity 56,500/month; EV utilisation 93%, CV 86%</t>
  </si>
  <si>
    <t xml:space="preserve">Business Standard (in NSE filing)</t>
  </si>
  <si>
    <t xml:space="preserve">07-Feb-2026</t>
  </si>
  <si>
    <t xml:space="preserve">https://nsearchives.nseindia.com/corporate/GREAVESCOT_07022026162856_Greavescot_07022026_signed.pdf</t>
  </si>
  <si>
    <t xml:space="preserve">MM16</t>
  </si>
  <si>
    <t xml:space="preserve">Chakan plan: up to Rs40bn, 330k units, operations in two years</t>
  </si>
  <si>
    <t xml:space="preserve">Just Auto / Reuters</t>
  </si>
  <si>
    <t xml:space="preserve">2007</t>
  </si>
  <si>
    <t xml:space="preserve">https://www.just-auto.com/?p=29481</t>
  </si>
  <si>
    <t xml:space="preserve">Nashik capacity 80k -&gt; 150k; Igatpuri engines 450 -&gt; 800/day</t>
  </si>
  <si>
    <t xml:space="preserve">https://www.wardsauto.com/node/353</t>
  </si>
  <si>
    <t xml:space="preserve">Plant database: Haridwar/Zaheerabad (MLMML); Bolero 9.5k/month, Scorpio Classic 5.5k/month; Igatpuri 1,100/day</t>
  </si>
  <si>
    <t xml:space="preserve">MarkLines</t>
  </si>
  <si>
    <t xml:space="preserve">https://www.marklines.com/en/search/0?q=Scorpio</t>
  </si>
  <si>
    <t xml:space="preserve">MM19</t>
  </si>
  <si>
    <t xml:space="preserve">FY26 results: c.68k/month operational capacity by H1FY27; SUV revenue share 25.3%</t>
  </si>
  <si>
    <t xml:space="preserve">https://www.autocarpro.in/NEWS/mahindra-expects-mid-teens-growth-for-its-suvs-in-fy-27-tractor-market-growth-in-mid-single-digits-132421</t>
  </si>
  <si>
    <t xml:space="preserve">Tata Motors PV / CV</t>
  </si>
  <si>
    <t xml:space="preserve">Form 20-F FY2012: six Indian plants; FIAPL Ranjangaon (Apr-2008); JLR CKD Pune (May-2011); Ace (May-2005); Prima; FY10-FY12 volumes by category</t>
  </si>
  <si>
    <t xml:space="preserve">Tata Motors Form 20-F (SEC)</t>
  </si>
  <si>
    <t xml:space="preserve">31-Jul-2012</t>
  </si>
  <si>
    <t xml:space="preserve">https://pages.stern.nyu.edu/~adamodar/pdfiles/acf4E/data/Tata%20Motors/20F2011.pdf</t>
  </si>
  <si>
    <t xml:space="preserve">TP02</t>
  </si>
  <si>
    <t xml:space="preserve">Tata Motors PV</t>
  </si>
  <si>
    <t xml:space="preserve">Nano installed capacity 250k p.a.; output &lt;50%</t>
  </si>
  <si>
    <t xml:space="preserve">Automotive World</t>
  </si>
  <si>
    <t xml:space="preserve">https://www.automotiveworld.com/?p=138222</t>
  </si>
  <si>
    <t xml:space="preserve">Nano interim production at Pantnagar (5,000/month); Sanand ramp plan</t>
  </si>
  <si>
    <t xml:space="preserve">https://www.moneyworks4me.com/company/news/index/id/16534</t>
  </si>
  <si>
    <t xml:space="preserve">Sanand capacity 154k p.a. at 100% utilisation; operating since Jun-2010; Tigor EV from Dec-2017</t>
  </si>
  <si>
    <t xml:space="preserve">07-Aug-2018</t>
  </si>
  <si>
    <t xml:space="preserve">https://www.autocarpro.in/news-national/tata-motors-to-ramp-up-capacity-at-sanand-plant-40376?amp=1</t>
  </si>
  <si>
    <t xml:space="preserve">PV capacity 480k across plants; Ford Sanand +240k to 720k; plant-model allocation</t>
  </si>
  <si>
    <t xml:space="preserve">https://autocarpro.in/news-national/tata-motors-boosting-capacity-to-sell-half-a-million-cars-annually-81399</t>
  </si>
  <si>
    <t xml:space="preserve">MoU to acquire Ford Sanand: 300k p.a. scalable to &gt;400k</t>
  </si>
  <si>
    <t xml:space="preserve">TML/TPEML release (via Automotive World)</t>
  </si>
  <si>
    <t xml:space="preserve">https://www.automotiveworld.com/?p=370646</t>
  </si>
  <si>
    <t xml:space="preserve">Investor Day 2024: Sanand 2 = 300k expandable to 420k, capacity '1mn+'; CV '5 plants', capex 2-4% of revenue; PV capex 6-8%</t>
  </si>
  <si>
    <t xml:space="preserve">Tata Motors Investor Day presentation</t>
  </si>
  <si>
    <t xml:space="preserve">https://www.tatamotors.com/wp-content/uploads/2024/06/tata-motors-group-investor-day-presentation.pdf</t>
  </si>
  <si>
    <t xml:space="preserve">TP08</t>
  </si>
  <si>
    <t xml:space="preserve">Panapakkam (US$994m) to assemble Evoque; Tata PV combined capacity c.900k</t>
  </si>
  <si>
    <t xml:space="preserve">https://www.automotiveworld.com/news/jlr-to-assemble-evoque-in-india-as-production-moves-east/</t>
  </si>
  <si>
    <t xml:space="preserve">TP09</t>
  </si>
  <si>
    <t xml:space="preserve">Panapakkam operations from 9-Feb-2026; 250k design capacity over 5-7 years; Rs9,000cr</t>
  </si>
  <si>
    <t xml:space="preserve">Autocar Professional (via Segment Y)</t>
  </si>
  <si>
    <t xml:space="preserve">10-Feb-2026</t>
  </si>
  <si>
    <t xml:space="preserve">https://segmenty.com/GenerateNewsStaticJsps/Tata_Motors__JLR_begin_operations_at_new_Tamil_Nadu_manufacturing_plant.html</t>
  </si>
  <si>
    <t xml:space="preserve">TP10</t>
  </si>
  <si>
    <t xml:space="preserve">Ranipet phase 1 CKD c.30k p.a.; phase 2 to 250k incl. EVs; 470 acres</t>
  </si>
  <si>
    <t xml:space="preserve">https://machinist.in/?p=6445</t>
  </si>
  <si>
    <t xml:space="preserve">TMPV plan to 1.3m capacity; Sanand +300k; FY26 sales 642k; 9 -&gt; 15 nameplates by FY31</t>
  </si>
  <si>
    <t xml:space="preserve">https://www.autocarpro.in/news/tata-motors-targets-13-million-annual-capacity-as-demand-outpaces-production-133296</t>
  </si>
  <si>
    <t xml:space="preserve">TP12</t>
  </si>
  <si>
    <t xml:space="preserve">c.0.9m installed PV capacity; +400k in 2-3 years; five plants in Pune, two in Sanand, Ranjangaon JV</t>
  </si>
  <si>
    <t xml:space="preserve">https://www.autocarpro.in/news/tata-motors-readies-flexible-manufacturing-network-for-next-phase-of-pv-growth-133238?amp=1</t>
  </si>
  <si>
    <t xml:space="preserve">TC02</t>
  </si>
  <si>
    <t xml:space="preserve">Tata Motors CV</t>
  </si>
  <si>
    <t xml:space="preserve">Pantnagar plant: 2.25 lakh vehicles p.a.; Rs1,000cr; SOP Apr-2007 targeted</t>
  </si>
  <si>
    <t xml:space="preserve">08-Dec-2006</t>
  </si>
  <si>
    <t xml:space="preserve">https://www.business-standard.com/article/companies/tata-motors-pant-nagar-plant-to-start-by-april-106120801011_1.html</t>
  </si>
  <si>
    <t xml:space="preserve">Lucknow plant (est. 1992) reaches 10 lakh cumulative; rated &gt;100,000 vehicles p.a.; 600 acres</t>
  </si>
  <si>
    <t xml:space="preserve">Tata Motors CV news</t>
  </si>
  <si>
    <t xml:space="preserve">https://cv.tatamotors.com/news/tata-motors-achieves-10-lakh-commercial-vehicles-production-milestone-at-its-lucknow-plant</t>
  </si>
  <si>
    <t xml:space="preserve">FY26 CV sales 428,329 (domestic 400,113; exports 28,216); FY25 376,903</t>
  </si>
  <si>
    <t xml:space="preserve">Tata Motors release (via Tata World)</t>
  </si>
  <si>
    <t xml:space="preserve">https://www.tataworld.com/news/openinside/tata-motors-q4-fy26-sales-growth-132465-units</t>
  </si>
  <si>
    <t xml:space="preserve">Demerger effective 1-Oct-2025; TML Commercial Vehicles renamed Tata Motors Ltd</t>
  </si>
  <si>
    <t xml:space="preserve">Wikipedia</t>
  </si>
  <si>
    <t xml:space="preserve">https://en.wikipedia.org/wiki/Tata_Motors</t>
  </si>
  <si>
    <t xml:space="preserve">Iveco tender: Consob approval 3-Sep-2026; offer 7-Sep to 26-Oct-2026; settlement 30-Oct-2026</t>
  </si>
  <si>
    <t xml:space="preserve">04-Sep-2026</t>
  </si>
  <si>
    <t xml:space="preserve">https://www.businesstoday.in/auto/story/green-light-tata-motorss-eu3-8-billion-iveco-takeover-gets-italian-regulators-nod-553314-2026-09-04</t>
  </si>
  <si>
    <t xml:space="preserve">Iveco acquisition EUR3.8bn; combined 540k+ units; no plant closures for two years</t>
  </si>
  <si>
    <t xml:space="preserve">Fleet World</t>
  </si>
  <si>
    <t xml:space="preserve">Jul-2025</t>
  </si>
  <si>
    <t xml:space="preserve">https://fleetworld.co.uk/tata-motors-to-acquire-iveco-group-for-3-3bn/</t>
  </si>
  <si>
    <t xml:space="preserve">Tata Motors to raise MHCV production at Pantnagar (trucks made there for c.1 year)</t>
  </si>
  <si>
    <t xml:space="preserve">CardekhoTrucks</t>
  </si>
  <si>
    <t xml:space="preserve">Jul-2020</t>
  </si>
  <si>
    <t xml:space="preserve">https://trucks.cardekho.com/en/news/detail/tata-motors-to-enhance-capacity-at-pantnagar-plant-for-cv-production-337.html</t>
  </si>
  <si>
    <t xml:space="preserve">TC10</t>
  </si>
  <si>
    <t xml:space="preserve">ICRA: TML plants in six locations - Pune, Lucknow, Jamshedpur, Pantnagar, Dharwad, Sanand</t>
  </si>
  <si>
    <t xml:space="preserve">ICRA rating rationale</t>
  </si>
  <si>
    <t xml:space="preserve">13-Mar-2024</t>
  </si>
  <si>
    <t xml:space="preserve">https://www.icra.in/Rating/ShowRationalReportFilePdfViewer/126168</t>
  </si>
  <si>
    <t xml:space="preserve">Six plants, 100k installed; Pantnagar 50k planned (Rs1,300cr); Alwar ULE buses 200 -&gt; 300/month</t>
  </si>
  <si>
    <t xml:space="preserve">03-Oct-2009</t>
  </si>
  <si>
    <t xml:space="preserve">https://www.business-standard.com/article/companies/ashok-leyland-s-pantnagar-plant-to-go-onstream-soon-109100300068_1.html</t>
  </si>
  <si>
    <t xml:space="preserve">AL02</t>
  </si>
  <si>
    <t xml:space="preserve">MD interview: Pantnagar installed 75k p.a. for &lt;Rs1,500cr; U-Truck platform</t>
  </si>
  <si>
    <t xml:space="preserve">https://www.autocarpro.in/interview/seshasayee-4306</t>
  </si>
  <si>
    <t xml:space="preserve">Installed capacity 1.5 lakh across seven plants incl. Pantnagar; FY10 sales c.64k</t>
  </si>
  <si>
    <t xml:space="preserve">https://www.business-standard.com/article/companies/to-raise-up-to-rs-600-cr-debt-this-fiscal-ashok-leyland-110090700203_1.html</t>
  </si>
  <si>
    <t xml:space="preserve">Dost LCV capacity 55k p.a. at Hosur; Pillaipakkam greenfield proposed</t>
  </si>
  <si>
    <t xml:space="preserve">Equipment India</t>
  </si>
  <si>
    <t xml:space="preserve">c.2012 (n.d.)</t>
  </si>
  <si>
    <t xml:space="preserve">https://equipmentindia.com/construction-machinery-news/top-equipment-news/webexclusive/Ashok-Leyland-capacity-utilisation/31724</t>
  </si>
  <si>
    <t xml:space="preserve">Vijayawada (Malavalli) bus plant: 4,800 buses p.a.; 75 acres; diesel and Switch EV</t>
  </si>
  <si>
    <t xml:space="preserve">Ashok Leyland press release</t>
  </si>
  <si>
    <t xml:space="preserve">https://ashokleyland.com/ae/pressrelease/ashok-leyland-inaugurates-new-bus-manufacturing-plant-near-vijayawada-andhra-pradesh</t>
  </si>
  <si>
    <t xml:space="preserve">Lucknow EV plant opened 9-Jan-2026: 2,500 p.a. rising to 5,000; 70 acres</t>
  </si>
  <si>
    <t xml:space="preserve">https://www.autocarpro.in/news/ashok-leyland-opens-ev-plant-in-lucknow-130495</t>
  </si>
  <si>
    <t xml:space="preserve">AL07</t>
  </si>
  <si>
    <t xml:space="preserve">FY26 deliveries 220,437 (record); exports 18,082; nine final assembly plants (eight in India)</t>
  </si>
  <si>
    <t xml:space="preserve">https://www.automotiveworld.com/data/oem-production/ashok-leyland-performance-and-production-forecast-to-2031/</t>
  </si>
  <si>
    <t xml:space="preserve">Company history: Ennore 1949; Hosur 1980; Bhandara Mar-1982; Alwar Aug-1982; Hosur II 1996; Pantnagar Mar-2010</t>
  </si>
  <si>
    <t xml:space="preserve">IIFL company summary</t>
  </si>
  <si>
    <t xml:space="preserve">https://www.indiainfoline.com/company/ashok-leyland-ltd/summary</t>
  </si>
  <si>
    <t xml:space="preserve">AL09</t>
  </si>
  <si>
    <t xml:space="preserve">Hosur plant 1 engines/spares, plant 2 vehicles; Sriperumbudur foundry; Lucknow &gt;Rs1,000cr</t>
  </si>
  <si>
    <t xml:space="preserve">The Machine Maker</t>
  </si>
  <si>
    <t xml:space="preserve">https://themachinemaker.com/news/ashok-leyland-aims-for-45-market-share-in-south-india/</t>
  </si>
  <si>
    <t xml:space="preserve">AL10</t>
  </si>
  <si>
    <t xml:space="preserve">Lucknow: e-buses, e-travellers, e-cargo; phase 1 2,500 p.a.</t>
  </si>
  <si>
    <t xml:space="preserve">Angel One</t>
  </si>
  <si>
    <t xml:space="preserve">https://oga-prod.angelone.in/news/stocks/ashok-leyland-expands-into-uttar-pradesh-with-landmark-1-000-crore-electric-bus-plant</t>
  </si>
  <si>
    <t xml:space="preserve">Plant list; AVTR (Jun-2020); Phoenix LCV platform / Bada Dost (Sep-2020); Garud 15m bus (Jul-2024)</t>
  </si>
  <si>
    <t xml:space="preserve">https://en.wikipedia.org/wiki/Ashok_Leyland</t>
  </si>
  <si>
    <t xml:space="preserve">Pantnagar 600k -&gt; 1.2m (2009) -&gt; 1.8m (Oct-2010, Rs75cr); 66 acres; Rs230cr initial; models</t>
  </si>
  <si>
    <t xml:space="preserve">BikeAdvice</t>
  </si>
  <si>
    <t xml:space="preserve">25-Sep-2010</t>
  </si>
  <si>
    <t xml:space="preserve">https://bikeadvice.in/?p=6202</t>
  </si>
  <si>
    <t xml:space="preserve">BA02</t>
  </si>
  <si>
    <t xml:space="preserve">Three plants 46 lakh; 50 lakh by FY11-end; Pantnagar Plant II; Chakan 12 lakh</t>
  </si>
  <si>
    <t xml:space="preserve">https://www.motorbeam.com/?p=21440</t>
  </si>
  <si>
    <t xml:space="preserve">Company summary quoting ARs: maintain 5,040,000 during FY12; 6.33m at 31-Mar-2021; current 7.2m; plant dates; Akurdi assembly shut 3-Sep-2007</t>
  </si>
  <si>
    <t xml:space="preserve">Arihant Capital (CMOTS)</t>
  </si>
  <si>
    <t xml:space="preserve">https://www.arihantcapital.com/company-information/about-company/28074</t>
  </si>
  <si>
    <t xml:space="preserve">Capacity 5.0m (4.5m 2W + 0.5m 3W) -&gt; 6.3m (5.7m + 0.6m) next year</t>
  </si>
  <si>
    <t xml:space="preserve">27-May-2012</t>
  </si>
  <si>
    <t xml:space="preserve">https://bikeadvice.in/?p=20788</t>
  </si>
  <si>
    <t xml:space="preserve">Directors' Report: installed capacity 6.06m; to rise to c.6.12m by Mar-2016</t>
  </si>
  <si>
    <t xml:space="preserve">Bajaj Auto Annual Report FY15 (third-party copy)</t>
  </si>
  <si>
    <t xml:space="preserve">2015</t>
  </si>
  <si>
    <t xml:space="preserve">https://www.scribd.com/document/870311235/chapter</t>
  </si>
  <si>
    <t xml:space="preserve">Five plants (2 Chakan, Waluj, Akurdi, Pantnagar), 7.1m installed; Brazil 20k/month from Jun-2024</t>
  </si>
  <si>
    <t xml:space="preserve">TradingView (user note)</t>
  </si>
  <si>
    <t xml:space="preserve">https://in.tradingview.com/chart/BAJAJ_AUTO/SgEZNJon-After-falling-25-Nifty50-stock-is-giving-good-entry-to-go-long/</t>
  </si>
  <si>
    <t xml:space="preserve">Installed c.600k/month; +20% in two phases; Chetak 50k -&gt; 60k/month at Akurdi</t>
  </si>
  <si>
    <t xml:space="preserve">https://www.businesstoday.in/auto/story/bajaj-auto-to-ramp-up-capacity-of-chetak-to-60000-units-per-month-544296-2026-07-21</t>
  </si>
  <si>
    <t xml:space="preserve">BA08</t>
  </si>
  <si>
    <t xml:space="preserve">FY26 total 5,117,667 (domestic 2,867,484; exports 2,250,183); FY25 4,650,966</t>
  </si>
  <si>
    <t xml:space="preserve">Finology Ticker</t>
  </si>
  <si>
    <t xml:space="preserve">https://ticker.finology.in/discover/market-update/bajaj-auto-march-2026-sales-analysis</t>
  </si>
  <si>
    <t xml:space="preserve">Triumph Speed 400 / Scrambler 400X produced at new Chakan 2 plant (2024)</t>
  </si>
  <si>
    <t xml:space="preserve">InCred Money (CMOTS)</t>
  </si>
  <si>
    <t xml:space="preserve">https://www.incredmoney.com/stocks/bajaj-auto-ltd</t>
  </si>
  <si>
    <t xml:space="preserve">Company summary: 4m 2W + 120k 3W; Nalagarh 400k scalable 600k (FY07); Karawang 300k</t>
  </si>
  <si>
    <t xml:space="preserve">https://indiainfoline.com/company/tvs-motor-company-ltd/summary</t>
  </si>
  <si>
    <t xml:space="preserve">Hosur 2.5m p.a.; Mysuru 1.7m p.a.; FY20 volumes</t>
  </si>
  <si>
    <t xml:space="preserve">07-May-2020</t>
  </si>
  <si>
    <t xml:space="preserve">https://www.autocarpro.in/news-national/tvsresumes-production-at-hosur-mysore-and-nalagarh-plants-56315</t>
  </si>
  <si>
    <t xml:space="preserve">Company website: 2W capacity 4.95m; 3W capacity 240k (FY23 context)</t>
  </si>
  <si>
    <t xml:space="preserve">TVS Motor website</t>
  </si>
  <si>
    <t xml:space="preserve">https://www.tvsmotor.com/en/ke/about-us/overview</t>
  </si>
  <si>
    <t xml:space="preserve">TV04</t>
  </si>
  <si>
    <t xml:space="preserve">Company website: 2W capacity 5.5m; 3W 250k (date not stated)</t>
  </si>
  <si>
    <t xml:space="preserve">https://kuwait.tvsmotor.com/overview</t>
  </si>
  <si>
    <t xml:space="preserve">Capacity 6.8m; +1.5m in 12 months -&gt; c.8.3m; EV to 50k/month; Rs1,000cr Norton mfg infra</t>
  </si>
  <si>
    <t xml:space="preserve">15-May-2026</t>
  </si>
  <si>
    <t xml:space="preserve">https://bikeadvice.in/?p=92063</t>
  </si>
  <si>
    <t xml:space="preserve">FY26 sales 58.89 lakh (2W 56.70; 3W 2.19; exports 15.85); FY25 47.44 lakh</t>
  </si>
  <si>
    <t xml:space="preserve">TVS Motor press release</t>
  </si>
  <si>
    <t xml:space="preserve">https://www.tvsmotor.com/media/press-release/tvs-motor-company-highest-ever-sales-fy-2025-26</t>
  </si>
  <si>
    <t xml:space="preserve">TV07</t>
  </si>
  <si>
    <t xml:space="preserve">AR FY26 MD&amp;A: India EV sales 0.37m; iQube &gt;800k cumulative; 200,000th BMW at Hosur (Dec-2025)</t>
  </si>
  <si>
    <t xml:space="preserve">TVS Motor Annual Report FY26</t>
  </si>
  <si>
    <t xml:space="preserve">https://www.tvsmotor.com/ar-25-26/pdf/6.%20Statutory%20Reports/04.%20Management%20Discussion%20and%20Analysis.pdf</t>
  </si>
  <si>
    <t xml:space="preserve">RE01</t>
  </si>
  <si>
    <t xml:space="preserve">Oragadam plant (Rs150cr) to start; combined capacity 150k in 2013</t>
  </si>
  <si>
    <t xml:space="preserve">Economic Times (via Segment Y)</t>
  </si>
  <si>
    <t xml:space="preserve">14-Feb-2013</t>
  </si>
  <si>
    <t xml:space="preserve">https://www.segmenty.com/GenerateNewsStaticJsps/Royal_Enfield_to_hike_annual_capacity_in_2014.html</t>
  </si>
  <si>
    <t xml:space="preserve">Oragadam phase 1 1.5 lakh; phase 2 to 2.5 lakh; FY13 produced 1.13 lakh</t>
  </si>
  <si>
    <t xml:space="preserve">Bike India</t>
  </si>
  <si>
    <t xml:space="preserve">https://bikeindia.in/?p=13474</t>
  </si>
  <si>
    <t xml:space="preserve">Vallam Vadagal phase 1 (300k) SOP 28-Aug-2017; FY18 combined 825k; FY17 produced and sold 667,135</t>
  </si>
  <si>
    <t xml:space="preserve">Autocar Professional (company release)</t>
  </si>
  <si>
    <t xml:space="preserve">https://autocarpro.in/news-national/royalenfieldexpandscapacitybeginsproductionplant-25942</t>
  </si>
  <si>
    <t xml:space="preserve">Vallam Vadagal phase 2; capacity c.950k in FY19; FY18 sales 8.2 lakh; Rs800cr capex</t>
  </si>
  <si>
    <t xml:space="preserve">11-Apr-2018</t>
  </si>
  <si>
    <t xml:space="preserve">https://www.rushlane.com/royal-enfield-production-capacity-12267755.html</t>
  </si>
  <si>
    <t xml:space="preserve">Cheyyar (fourth plant) opened Jun-2025; capacity not disclosed; Oragadam + Vallam Vadagal &gt;1m</t>
  </si>
  <si>
    <t xml:space="preserve">https://machinist.in/2025/06/royal-enfield-opens-new-manufacturing-facility-in-cheyyar-tamil-nadu/</t>
  </si>
  <si>
    <t xml:space="preserve">RE06</t>
  </si>
  <si>
    <t xml:space="preserve">Capacity c.14.6 lakh; Rs958cr Cheyyar expansion to 20 lakh; FY26 &gt;1.2m; seven overseas CKD units</t>
  </si>
  <si>
    <t xml:space="preserve">Eicher Motors press release (NSE)</t>
  </si>
  <si>
    <t xml:space="preserve">https://nsearchives.nseindia.com/corporate/EICHERMOT_18052026163025_EMLPressReleaseCapacityexpansionMay182026Signed.pdf</t>
  </si>
  <si>
    <t xml:space="preserve">RE07</t>
  </si>
  <si>
    <t xml:space="preserve">14.6 -&gt; 20 lakh at Cheyyar; phased from Q1FY27, complete FY28; CY2025 sales 1,071,809</t>
  </si>
  <si>
    <t xml:space="preserve">https://www.motorbeam.com/royal-enfield-capacity-expansion-20-lakh/amp</t>
  </si>
  <si>
    <t xml:space="preserve">FY26 sales 1,238,659 (domestic 1,107,343; exports 131,316); FY25 1,009,900</t>
  </si>
  <si>
    <t xml:space="preserve">https://bikeadvice.in/?p=91466</t>
  </si>
  <si>
    <t xml:space="preserve">Installed 6.15m (3 plants); 7.0m by Mar-2012; Haridwar 8,000 -&gt; 9,500/day; 4th plant +1.5m</t>
  </si>
  <si>
    <t xml:space="preserve">19-Oct-2011</t>
  </si>
  <si>
    <t xml:space="preserve">https://bikeadvice.in/hero-motocorp-expand-annual-capacity-7-million-units/</t>
  </si>
  <si>
    <t xml:space="preserve">Neemrana opens: 750k p.a., Rs1,050cr; combined 7.65m</t>
  </si>
  <si>
    <t xml:space="preserve">20-Oct-2014</t>
  </si>
  <si>
    <t xml:space="preserve">https://www.autocarindia.com/bike-news-amp/hero-motocorp-391181</t>
  </si>
  <si>
    <t xml:space="preserve">Chittoor SOP 19-Mar-2020 (1.8m in 3 phases); plant-wise: Haridwar 2.7m, Dharuhera 2.1m, Gurgaon 2.1m, Neemrana 1.1m, Vadodara 1.8m, Chittoor 1.8m = 11.6m</t>
  </si>
  <si>
    <t xml:space="preserve">https://autocarpro.in/news-national/hero-motocorps-chittoor-plant-begins-production-55925</t>
  </si>
  <si>
    <t xml:space="preserve">Haridwar 25m cumulative; 9,500/day; combined installed c.9m</t>
  </si>
  <si>
    <t xml:space="preserve">c.2018</t>
  </si>
  <si>
    <t xml:space="preserve">https://autocarpro.in/news-national/hero-motocorp-haridwar-plant-crosses-25-million-cumulative-production-milestone-44511</t>
  </si>
  <si>
    <t xml:space="preserve">HE05</t>
  </si>
  <si>
    <t xml:space="preserve">Annual capacity 9.1m as of 31-Mar-2020 (eight facilities); CY2018 production 7,587,130</t>
  </si>
  <si>
    <t xml:space="preserve">https://en.wikipedia.com/wiki/Hero_Honda</t>
  </si>
  <si>
    <t xml:space="preserve">FY26 dispatches 6,468,834 (domestic 6,066,048; exports 402,786); FY25 5,899,187</t>
  </si>
  <si>
    <t xml:space="preserve">https://bikeadvice.in/?p=91491</t>
  </si>
  <si>
    <t xml:space="preserve">EV capacity 15k -&gt; 25k/month; &gt;50k/month target; Rs1,500cr FY27 capex; Sri City</t>
  </si>
  <si>
    <t xml:space="preserve">06-May-2026</t>
  </si>
  <si>
    <t xml:space="preserve">https://www.autocarpro.in/news/hero-motocorp-lines-up-%e2%82%b91500-cr-capex-for-fy27-to-double-ev-capacity-132442</t>
  </si>
  <si>
    <t xml:space="preserve">Futurefactory: 500 acres; phase 1 2m p.a.; 10m p.a. with 10 lines at full build</t>
  </si>
  <si>
    <t xml:space="preserve">Electrek</t>
  </si>
  <si>
    <t xml:space="preserve">10-Mar-2021</t>
  </si>
  <si>
    <t xml:space="preserve">https://electrek.co/2021/03/10/this-carbon-negative-massive-megafactory-will-produce-an-ev-every-2-seconds/</t>
  </si>
  <si>
    <t xml:space="preserve">One line; installed capacity 0.5m p.a.; approaching 1,000/day (end-Apr)</t>
  </si>
  <si>
    <t xml:space="preserve">https://www.autocarindia.com/auto-features-amp/inside-ola-electrics-futurefactory-424761</t>
  </si>
  <si>
    <t xml:space="preserve">DRHP: installed capacity 10 lakh p.a. as of Oct-2023; cells 1.5 GWh phase 1 -&gt; 6.4 GWh with IPO proceeds</t>
  </si>
  <si>
    <t xml:space="preserve">MoneyWorks4Me (DRHP review)</t>
  </si>
  <si>
    <t xml:space="preserve">https://www.moneyworks4me.com/blog/ola-electric-drhp-insights</t>
  </si>
  <si>
    <t xml:space="preserve">OL04</t>
  </si>
  <si>
    <t xml:space="preserve">Q1FY26: 68,192 deliveries; utilise 1.4 GWh by FY26-end; 5 GWh through FY27</t>
  </si>
  <si>
    <t xml:space="preserve">Ola Electric press release (NSE)</t>
  </si>
  <si>
    <t xml:space="preserve">https://nsearchives.nseindia.com/corporate/OLAELECTRIC_14072025104713_Press_Release_OEM.pdf</t>
  </si>
  <si>
    <t xml:space="preserve">OL05</t>
  </si>
  <si>
    <t xml:space="preserve">5 GWh ~ 1.2m vehicles p.a.; Rs2,800cr capex for 5 GWh (Rs1,500cr invested); FY26 guide 325-375k</t>
  </si>
  <si>
    <t xml:space="preserve">https://machinist.in/2025/07/ola-electric-targets-in-house-battery-and-motor-production-by-fy27/</t>
  </si>
  <si>
    <t xml:space="preserve">Q3FY26: 32,680 units; Gigafactory c.2.5 GWh installed, 6 GWh by Mar-2026 planned</t>
  </si>
  <si>
    <t xml:space="preserve">https://nsearchives.nseindia.com/corporate/OLAELECTRIC_13022026160923_Press_Release_Intimation_OEM.pdf</t>
  </si>
  <si>
    <t xml:space="preserve">PLI ACC allotment up to 20 GWh; 5 GWh phase I; 100 GWh at full build</t>
  </si>
  <si>
    <t xml:space="preserve">EVreporter</t>
  </si>
  <si>
    <t xml:space="preserve">https://evreporter.com/ola-electric-secures-inr-3200-crores/</t>
  </si>
  <si>
    <t xml:space="preserve">Rs2,400cr MoU with Tamil Nadu (Dec-2020); phase 1 2m p.a.</t>
  </si>
  <si>
    <t xml:space="preserve">ElectronicsB2B</t>
  </si>
  <si>
    <t xml:space="preserve">https://www.electronicsb2b.com/industry-buzz/ola-electric-2-wheeler-plant-to-begin-production-in-coming-months/</t>
  </si>
  <si>
    <t xml:space="preserve">AT01</t>
  </si>
  <si>
    <t xml:space="preserve">Second Hosur plant on stream 23-Nov-2022; capacity 120k -&gt; 420k p.a.</t>
  </si>
  <si>
    <t xml:space="preserve">https://autocarpro.in/news-national/ather-energys-second-plant-at-hosur-goes-on-stream-expands-capacity-to-400000-units-113428</t>
  </si>
  <si>
    <t xml:space="preserve">AT02</t>
  </si>
  <si>
    <t xml:space="preserve">New facility 300k sq ft: battery unit (5 lines) + vehicle assembly (2 lines); 420k installed</t>
  </si>
  <si>
    <t xml:space="preserve">IAmABiker</t>
  </si>
  <si>
    <t xml:space="preserve">https://iamabiker.com/avin/2022/ather-energy-opens-second-manufacturing-facility-in-hosur/</t>
  </si>
  <si>
    <t xml:space="preserve">AT03</t>
  </si>
  <si>
    <t xml:space="preserve">Third plant at AURIC Bidkin: up to 1m vehicles and battery packs p.a.; Hosur hub since 2021</t>
  </si>
  <si>
    <t xml:space="preserve">Deccan Herald</t>
  </si>
  <si>
    <t xml:space="preserve">https://deccanherald.com/business/ather-energy-to-set-up-third-manufacturing-plant-in-maharashtra-3082215</t>
  </si>
  <si>
    <t xml:space="preserve">AT04</t>
  </si>
  <si>
    <t xml:space="preserve">Rs2,000cr+ investment in Maharashtra plant</t>
  </si>
  <si>
    <t xml:space="preserve">https://themachinemaker.com/news/ather-energy-to-invest-over-rs-2000-crore-in-new-maharashtra-plant/</t>
  </si>
  <si>
    <t xml:space="preserve">Hosur 4.2 lakh p.a. (c.35k/month); AURIC phase 1 +5 lakh in Q3FY27 -&gt; 9.2 lakh; lost 13-15k sales/month; EL 60k/month</t>
  </si>
  <si>
    <t xml:space="preserve">03-Aug-2026</t>
  </si>
  <si>
    <t xml:space="preserve">https://www.autocarpro.in/news/ather-explores-accelerating-aurangabad-phase-2-expansion-if-ev-demand-surges-continue-133896</t>
  </si>
  <si>
    <t xml:space="preserve">Multiple (2W EV)</t>
  </si>
  <si>
    <t xml:space="preserve">FY26 e-2W retail: TVS 341,513; Bajaj 289,349; Ather 239,178; Ola 164,295; Hero Vida 144,230 (FY25 comparisons)</t>
  </si>
  <si>
    <t xml:space="preserve">https://bikeadvice.in/?p=91574</t>
  </si>
  <si>
    <t xml:space="preserve">Chart data — links to OEM sheets (capacity in millions of units p.a.). Do not edit; feeds Summary charts.</t>
  </si>
  <si>
    <t xml:space="preserve">FY26 utilisation (Summary section 2)</t>
  </si>
  <si>
    <t xml:space="preserve">Capacity (m)</t>
  </si>
</sst>
</file>

<file path=xl/styles.xml><?xml version="1.0" encoding="utf-8"?>
<styleSheet xmlns="http://schemas.openxmlformats.org/spreadsheetml/2006/main">
  <numFmts count="8">
    <numFmt numFmtId="164" formatCode="General"/>
    <numFmt numFmtId="165" formatCode="#,##0;\(#,##0\);\–"/>
    <numFmt numFmtId="166" formatCode="0"/>
    <numFmt numFmtId="167" formatCode="0.0%;\(0.0%\);\–"/>
    <numFmt numFmtId="168" formatCode="0.00\x"/>
    <numFmt numFmtId="169" formatCode="0%"/>
    <numFmt numFmtId="170" formatCode="0.0"/>
    <numFmt numFmtId="171" formatCode="0.00"/>
  </numFmts>
  <fonts count="22">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9"/>
      <color rgb="FF595959"/>
      <name val="Arial"/>
      <family val="0"/>
      <charset val="1"/>
    </font>
    <font>
      <b val="true"/>
      <sz val="10"/>
      <color rgb="FFFFFFFF"/>
      <name val="Arial"/>
      <family val="0"/>
      <charset val="1"/>
    </font>
    <font>
      <b val="true"/>
      <sz val="9"/>
      <name val="Arial"/>
      <family val="0"/>
      <charset val="1"/>
    </font>
    <font>
      <sz val="9"/>
      <name val="Arial"/>
      <family val="0"/>
      <charset val="1"/>
    </font>
    <font>
      <sz val="9"/>
      <color rgb="FF000000"/>
      <name val="Arial"/>
      <family val="0"/>
      <charset val="1"/>
    </font>
    <font>
      <b val="true"/>
      <sz val="9"/>
      <color rgb="FF000000"/>
      <name val="Arial"/>
      <family val="0"/>
      <charset val="1"/>
    </font>
    <font>
      <sz val="9"/>
      <color rgb="FF008000"/>
      <name val="Arial"/>
      <family val="0"/>
      <charset val="1"/>
    </font>
    <font>
      <sz val="8"/>
      <color rgb="FF404040"/>
      <name val="Arial"/>
      <family val="0"/>
      <charset val="1"/>
    </font>
    <font>
      <b val="true"/>
      <sz val="10"/>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000FF"/>
      <name val="Arial"/>
      <family val="0"/>
      <charset val="1"/>
    </font>
    <font>
      <b val="true"/>
      <sz val="10"/>
      <name val="Arial"/>
      <family val="0"/>
      <charset val="1"/>
    </font>
    <font>
      <sz val="10"/>
      <name val="Arial"/>
      <family val="0"/>
      <charset val="1"/>
    </font>
    <font>
      <sz val="9"/>
      <color rgb="FF0000FF"/>
      <name val="Arial"/>
      <family val="0"/>
      <charset val="1"/>
    </font>
    <font>
      <u val="single"/>
      <sz val="8"/>
      <color rgb="FF0563C1"/>
      <name val="Arial"/>
      <family val="0"/>
      <charset val="1"/>
    </font>
  </fonts>
  <fills count="7">
    <fill>
      <patternFill patternType="none"/>
    </fill>
    <fill>
      <patternFill patternType="gray125"/>
    </fill>
    <fill>
      <patternFill patternType="solid">
        <fgColor rgb="FF1F3864"/>
        <bgColor rgb="FF333399"/>
      </patternFill>
    </fill>
    <fill>
      <patternFill patternType="solid">
        <fgColor rgb="FFF2F2F2"/>
        <bgColor rgb="FFDDEBF7"/>
      </patternFill>
    </fill>
    <fill>
      <patternFill patternType="solid">
        <fgColor rgb="FFD9E1F2"/>
        <bgColor rgb="FFDDEBF7"/>
      </patternFill>
    </fill>
    <fill>
      <patternFill patternType="solid">
        <fgColor rgb="FFDDEBF7"/>
        <bgColor rgb="FFD9E1F2"/>
      </patternFill>
    </fill>
    <fill>
      <patternFill patternType="solid">
        <fgColor rgb="FFFCE4D6"/>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right" vertical="top" textRotation="0" wrapText="false" indent="0" shrinkToFit="false"/>
      <protection locked="true" hidden="false"/>
    </xf>
    <xf numFmtId="166" fontId="9" fillId="0" borderId="1" xfId="0" applyFont="true" applyBorder="true" applyAlignment="true" applyProtection="false">
      <alignment horizontal="right"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7" fontId="11" fillId="0" borderId="1" xfId="0" applyFont="true" applyBorder="true" applyAlignment="true" applyProtection="false">
      <alignment horizontal="right"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7" fontId="9" fillId="0" borderId="1" xfId="0" applyFont="true" applyBorder="true" applyAlignment="true" applyProtection="false">
      <alignment horizontal="right" vertical="top" textRotation="0" wrapText="false" indent="0" shrinkToFit="false"/>
      <protection locked="true" hidden="false"/>
    </xf>
    <xf numFmtId="165" fontId="9" fillId="0" borderId="1" xfId="0" applyFont="true" applyBorder="true" applyAlignment="true" applyProtection="false">
      <alignment horizontal="right" vertical="top" textRotation="0" wrapText="false" indent="0" shrinkToFit="false"/>
      <protection locked="true" hidden="false"/>
    </xf>
    <xf numFmtId="168" fontId="9" fillId="0" borderId="1" xfId="0" applyFont="true" applyBorder="true" applyAlignment="true" applyProtection="false">
      <alignment horizontal="right" vertical="top" textRotation="0" wrapText="false" indent="0" shrinkToFit="false"/>
      <protection locked="true" hidden="false"/>
    </xf>
    <xf numFmtId="165" fontId="13" fillId="3" borderId="1" xfId="0" applyFont="true" applyBorder="true" applyAlignment="true" applyProtection="false">
      <alignment horizontal="right" vertical="top" textRotation="0" wrapText="false" indent="0" shrinkToFit="false"/>
      <protection locked="true" hidden="false"/>
    </xf>
    <xf numFmtId="168" fontId="13" fillId="3" borderId="1" xfId="0" applyFont="true" applyBorder="true" applyAlignment="true" applyProtection="false">
      <alignment horizontal="right" vertical="top" textRotation="0" wrapText="fals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17" fillId="0" borderId="1" xfId="0" applyFont="true" applyBorder="true" applyAlignment="true" applyProtection="false">
      <alignment horizontal="right"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5" fontId="13" fillId="0" borderId="1" xfId="0" applyFont="true" applyBorder="true" applyAlignment="true" applyProtection="false">
      <alignment horizontal="right" vertical="top" textRotation="0" wrapText="false" indent="0" shrinkToFit="false"/>
      <protection locked="true" hidden="false"/>
    </xf>
    <xf numFmtId="167" fontId="13" fillId="0" borderId="1" xfId="0" applyFont="true" applyBorder="true" applyAlignment="true" applyProtection="false">
      <alignment horizontal="right" vertical="top"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5" fontId="20" fillId="0" borderId="1" xfId="0" applyFont="true" applyBorder="true" applyAlignment="true" applyProtection="false">
      <alignment horizontal="right" vertical="top" textRotation="0" wrapText="false" indent="0" shrinkToFit="false"/>
      <protection locked="true" hidden="false"/>
    </xf>
    <xf numFmtId="167" fontId="20" fillId="0" borderId="1" xfId="0" applyFont="true" applyBorder="true" applyAlignment="true" applyProtection="false">
      <alignment horizontal="right" vertical="top" textRotation="0" wrapText="false" indent="0" shrinkToFit="false"/>
      <protection locked="true" hidden="false"/>
    </xf>
    <xf numFmtId="165" fontId="8" fillId="0" borderId="1" xfId="0" applyFont="true" applyBorder="true" applyAlignment="true" applyProtection="false">
      <alignment horizontal="right" vertical="top" textRotation="0" wrapText="false" indent="0" shrinkToFit="false"/>
      <protection locked="true" hidden="false"/>
    </xf>
    <xf numFmtId="165" fontId="20" fillId="5" borderId="1" xfId="0" applyFont="true" applyBorder="true" applyAlignment="true" applyProtection="false">
      <alignment horizontal="right" vertical="top" textRotation="0" wrapText="false" indent="0" shrinkToFit="false"/>
      <protection locked="true" hidden="false"/>
    </xf>
    <xf numFmtId="165" fontId="20" fillId="6" borderId="1" xfId="0" applyFont="true" applyBorder="true" applyAlignment="true" applyProtection="false">
      <alignment horizontal="right" vertical="top" textRotation="0" wrapText="false" indent="0" shrinkToFit="false"/>
      <protection locked="true" hidden="false"/>
    </xf>
    <xf numFmtId="170" fontId="8" fillId="0" borderId="1" xfId="0" applyFont="true" applyBorder="true" applyAlignment="true" applyProtection="false">
      <alignment horizontal="right" vertical="top" textRotation="0" wrapText="false" indent="0" shrinkToFit="false"/>
      <protection locked="true" hidden="false"/>
    </xf>
    <xf numFmtId="170" fontId="20" fillId="0" borderId="1" xfId="0" applyFont="true" applyBorder="true" applyAlignment="true" applyProtection="false">
      <alignment horizontal="right" vertical="top" textRotation="0" wrapText="fals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2F2"/>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CE4D6"/>
      <rgbColor rgb="FF3366FF"/>
      <rgbColor rgb="FF33CCCC"/>
      <rgbColor rgb="FF99CC00"/>
      <rgbColor rgb="FFFFCC00"/>
      <rgbColor rgb="FFFF9900"/>
      <rgbColor rgb="FFED7D31"/>
      <rgbColor rgb="FF595959"/>
      <rgbColor rgb="FF878787"/>
      <rgbColor rgb="FF1F3864"/>
      <rgbColor rgb="FF2E8B57"/>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PV OEMs — installed capacity (disclosed points)</a:t>
            </a:r>
          </a:p>
        </c:rich>
      </c:tx>
      <c:overlay val="0"/>
      <c:spPr>
        <a:noFill/>
        <a:ln w="0">
          <a:noFill/>
        </a:ln>
      </c:spPr>
    </c:title>
    <c:autoTitleDeleted val="0"/>
    <c:plotArea>
      <c:scatterChart>
        <c:scatterStyle val="lineMarker"/>
        <c:varyColors val="0"/>
        <c:ser>
          <c:idx val="0"/>
          <c:order val="0"/>
          <c:tx>
            <c:strRef>
              <c:f>"Maruti Suzuki"</c:f>
              <c:strCache>
                <c:ptCount val="1"/>
                <c:pt idx="0">
                  <c:v>Maruti Suzuki</c:v>
                </c:pt>
              </c:strCache>
            </c:strRef>
          </c:tx>
          <c:spPr>
            <a:solidFill>
              <a:srgbClr val="1f3864"/>
            </a:solidFill>
            <a:ln w="21960">
              <a:solidFill>
                <a:srgbClr val="1f3864"/>
              </a:solidFill>
              <a:round/>
            </a:ln>
          </c:spPr>
          <c:marker>
            <c:symbol val="circle"/>
            <c:size val="7"/>
            <c:spPr>
              <a:solidFill>
                <a:srgbClr val="1f386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 Data'!$A$5:$A$18</c:f>
              <c:numCache>
                <c:formatCode>General</c:formatCode>
                <c:ptCount val="14"/>
                <c:pt idx="0">
                  <c:v>2010</c:v>
                </c:pt>
                <c:pt idx="1">
                  <c:v>2011</c:v>
                </c:pt>
                <c:pt idx="2">
                  <c:v>2015</c:v>
                </c:pt>
                <c:pt idx="3">
                  <c:v>2016</c:v>
                </c:pt>
                <c:pt idx="4">
                  <c:v>2017</c:v>
                </c:pt>
                <c:pt idx="5">
                  <c:v>2018</c:v>
                </c:pt>
                <c:pt idx="6">
                  <c:v>2019</c:v>
                </c:pt>
                <c:pt idx="7">
                  <c:v>2020</c:v>
                </c:pt>
                <c:pt idx="8">
                  <c:v>2021</c:v>
                </c:pt>
                <c:pt idx="9">
                  <c:v>2022</c:v>
                </c:pt>
                <c:pt idx="10">
                  <c:v>2023</c:v>
                </c:pt>
                <c:pt idx="11">
                  <c:v>2024</c:v>
                </c:pt>
                <c:pt idx="12">
                  <c:v>2025</c:v>
                </c:pt>
                <c:pt idx="13">
                  <c:v>2026</c:v>
                </c:pt>
              </c:numCache>
            </c:numRef>
          </c:xVal>
          <c:yVal>
            <c:numRef>
              <c:f>'Chart Data'!$B$5:$B$18</c:f>
              <c:numCache>
                <c:formatCode>0.00</c:formatCode>
                <c:ptCount val="14"/>
                <c:pt idx="0">
                  <c:v>1</c:v>
                </c:pt>
                <c:pt idx="1">
                  <c:v>1.2</c:v>
                </c:pt>
                <c:pt idx="2">
                  <c:v>1.5</c:v>
                </c:pt>
                <c:pt idx="3">
                  <c:v>1.5</c:v>
                </c:pt>
                <c:pt idx="4">
                  <c:v>1.75</c:v>
                </c:pt>
                <c:pt idx="5">
                  <c:v>1.75</c:v>
                </c:pt>
                <c:pt idx="6">
                  <c:v>2</c:v>
                </c:pt>
                <c:pt idx="7">
                  <c:v>2</c:v>
                </c:pt>
                <c:pt idx="8">
                  <c:v>2</c:v>
                </c:pt>
                <c:pt idx="9">
                  <c:v>2.25</c:v>
                </c:pt>
                <c:pt idx="10">
                  <c:v>2.25</c:v>
                </c:pt>
                <c:pt idx="11">
                  <c:v>2.25</c:v>
                </c:pt>
                <c:pt idx="12">
                  <c:v>2.6</c:v>
                </c:pt>
                <c:pt idx="13">
                  <c:v>2.4</c:v>
                </c:pt>
              </c:numCache>
            </c:numRef>
          </c:yVal>
          <c:smooth val="0"/>
        </c:ser>
        <c:ser>
          <c:idx val="1"/>
          <c:order val="1"/>
          <c:tx>
            <c:strRef>
              <c:f>"Hyundai India"</c:f>
              <c:strCache>
                <c:ptCount val="1"/>
                <c:pt idx="0">
                  <c:v>Hyundai India</c:v>
                </c:pt>
              </c:strCache>
            </c:strRef>
          </c:tx>
          <c:spPr>
            <a:solidFill>
              <a:srgbClr val="ed7d31"/>
            </a:solidFill>
            <a:ln w="21960">
              <a:solidFill>
                <a:srgbClr val="ed7d31"/>
              </a:solidFill>
              <a:round/>
            </a:ln>
          </c:spPr>
          <c:marker>
            <c:symbol val="circle"/>
            <c:size val="7"/>
            <c:spPr>
              <a:solidFill>
                <a:srgbClr val="ed7d3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 Data'!$D$5:$D$15</c:f>
              <c:numCache>
                <c:formatCode>General</c:formatCode>
                <c:ptCount val="11"/>
                <c:pt idx="0">
                  <c:v>2010</c:v>
                </c:pt>
                <c:pt idx="1">
                  <c:v>2016</c:v>
                </c:pt>
                <c:pt idx="2">
                  <c:v>2018</c:v>
                </c:pt>
                <c:pt idx="3">
                  <c:v>2019</c:v>
                </c:pt>
                <c:pt idx="4">
                  <c:v>2020</c:v>
                </c:pt>
                <c:pt idx="5">
                  <c:v>2021</c:v>
                </c:pt>
                <c:pt idx="6">
                  <c:v>2022</c:v>
                </c:pt>
                <c:pt idx="7">
                  <c:v>2023</c:v>
                </c:pt>
                <c:pt idx="8">
                  <c:v>2024</c:v>
                </c:pt>
                <c:pt idx="9">
                  <c:v>2025</c:v>
                </c:pt>
                <c:pt idx="10">
                  <c:v>2026</c:v>
                </c:pt>
              </c:numCache>
            </c:numRef>
          </c:xVal>
          <c:yVal>
            <c:numRef>
              <c:f>'Chart Data'!$E$5:$E$15</c:f>
              <c:numCache>
                <c:formatCode>0.00</c:formatCode>
                <c:ptCount val="11"/>
                <c:pt idx="0">
                  <c:v>0.6</c:v>
                </c:pt>
                <c:pt idx="1">
                  <c:v>0.68</c:v>
                </c:pt>
                <c:pt idx="2">
                  <c:v>0.7</c:v>
                </c:pt>
                <c:pt idx="3">
                  <c:v>0.75</c:v>
                </c:pt>
                <c:pt idx="4">
                  <c:v>0.75</c:v>
                </c:pt>
                <c:pt idx="5">
                  <c:v>0.75</c:v>
                </c:pt>
                <c:pt idx="6">
                  <c:v>0.758</c:v>
                </c:pt>
                <c:pt idx="7">
                  <c:v>0.77</c:v>
                </c:pt>
                <c:pt idx="8">
                  <c:v>0.824</c:v>
                </c:pt>
                <c:pt idx="9">
                  <c:v>0.824</c:v>
                </c:pt>
                <c:pt idx="10">
                  <c:v>0.994</c:v>
                </c:pt>
              </c:numCache>
            </c:numRef>
          </c:yVal>
          <c:smooth val="0"/>
        </c:ser>
        <c:ser>
          <c:idx val="2"/>
          <c:order val="2"/>
          <c:tx>
            <c:strRef>
              <c:f>"M&amp;M"</c:f>
              <c:strCache>
                <c:ptCount val="1"/>
                <c:pt idx="0">
                  <c:v>M&amp;M</c:v>
                </c:pt>
              </c:strCache>
            </c:strRef>
          </c:tx>
          <c:spPr>
            <a:solidFill>
              <a:srgbClr val="2e8b57"/>
            </a:solidFill>
            <a:ln w="21960">
              <a:solidFill>
                <a:srgbClr val="2e8b57"/>
              </a:solidFill>
              <a:round/>
            </a:ln>
          </c:spPr>
          <c:marker>
            <c:symbol val="circle"/>
            <c:size val="7"/>
            <c:spPr>
              <a:solidFill>
                <a:srgbClr val="2e8b5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 Data'!$G$5:$G$10</c:f>
              <c:numCache>
                <c:formatCode>General</c:formatCode>
                <c:ptCount val="6"/>
                <c:pt idx="0">
                  <c:v>2020</c:v>
                </c:pt>
                <c:pt idx="1">
                  <c:v>2022</c:v>
                </c:pt>
                <c:pt idx="2">
                  <c:v>2023</c:v>
                </c:pt>
                <c:pt idx="3">
                  <c:v>2024</c:v>
                </c:pt>
                <c:pt idx="4">
                  <c:v>2025</c:v>
                </c:pt>
                <c:pt idx="5">
                  <c:v>2026</c:v>
                </c:pt>
              </c:numCache>
            </c:numRef>
          </c:xVal>
          <c:yVal>
            <c:numRef>
              <c:f>'Chart Data'!$H$5:$H$10</c:f>
              <c:numCache>
                <c:formatCode>0.00</c:formatCode>
                <c:ptCount val="6"/>
                <c:pt idx="0">
                  <c:v>0.228</c:v>
                </c:pt>
                <c:pt idx="1">
                  <c:v>0.348</c:v>
                </c:pt>
                <c:pt idx="2">
                  <c:v>0.468</c:v>
                </c:pt>
                <c:pt idx="3">
                  <c:v>0.588</c:v>
                </c:pt>
                <c:pt idx="4">
                  <c:v>0.708</c:v>
                </c:pt>
                <c:pt idx="5">
                  <c:v>0.774</c:v>
                </c:pt>
              </c:numCache>
            </c:numRef>
          </c:yVal>
          <c:smooth val="0"/>
        </c:ser>
        <c:ser>
          <c:idx val="3"/>
          <c:order val="3"/>
          <c:tx>
            <c:strRef>
              <c:f>"Tata PV"</c:f>
              <c:strCache>
                <c:ptCount val="1"/>
                <c:pt idx="0">
                  <c:v>Tata PV</c:v>
                </c:pt>
              </c:strCache>
            </c:strRef>
          </c:tx>
          <c:spPr>
            <a:solidFill>
              <a:srgbClr val="c00000"/>
            </a:solidFill>
            <a:ln w="21960">
              <a:solidFill>
                <a:srgbClr val="c00000"/>
              </a:solidFill>
              <a:round/>
            </a:ln>
          </c:spPr>
          <c:marker>
            <c:symbol val="circle"/>
            <c:size val="7"/>
            <c:spPr>
              <a:solidFill>
                <a:srgbClr val="c000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 Data'!$J$5:$J$6</c:f>
              <c:numCache>
                <c:formatCode>General</c:formatCode>
                <c:ptCount val="2"/>
                <c:pt idx="0">
                  <c:v>2022</c:v>
                </c:pt>
                <c:pt idx="1">
                  <c:v>2026</c:v>
                </c:pt>
              </c:numCache>
            </c:numRef>
          </c:xVal>
          <c:yVal>
            <c:numRef>
              <c:f>'Chart Data'!$K$5:$K$6</c:f>
              <c:numCache>
                <c:formatCode>0.00</c:formatCode>
                <c:ptCount val="2"/>
                <c:pt idx="0">
                  <c:v>0.48</c:v>
                </c:pt>
                <c:pt idx="1">
                  <c:v>0.9</c:v>
                </c:pt>
              </c:numCache>
            </c:numRef>
          </c:yVal>
          <c:smooth val="0"/>
        </c:ser>
        <c:axId val="1512606"/>
        <c:axId val="20608114"/>
      </c:scatterChart>
      <c:valAx>
        <c:axId val="1512606"/>
        <c:scaling>
          <c:orientation val="minMax"/>
          <c:max val="2026"/>
          <c:min val="201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 ending March</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608114"/>
        <c:crosses val="autoZero"/>
        <c:crossBetween val="midCat"/>
        <c:majorUnit val="2"/>
      </c:valAx>
      <c:valAx>
        <c:axId val="20608114"/>
        <c:scaling>
          <c:orientation val="minMax"/>
          <c:max val="3"/>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Capacity (m units p.a.)</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12606"/>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2W OEMs — installed capacity (disclosed points)</a:t>
            </a:r>
          </a:p>
        </c:rich>
      </c:tx>
      <c:overlay val="0"/>
      <c:spPr>
        <a:noFill/>
        <a:ln w="0">
          <a:noFill/>
        </a:ln>
      </c:spPr>
    </c:title>
    <c:autoTitleDeleted val="0"/>
    <c:plotArea>
      <c:scatterChart>
        <c:scatterStyle val="lineMarker"/>
        <c:varyColors val="0"/>
        <c:ser>
          <c:idx val="0"/>
          <c:order val="0"/>
          <c:tx>
            <c:strRef>
              <c:f>"Bajaj Auto"</c:f>
              <c:strCache>
                <c:ptCount val="1"/>
                <c:pt idx="0">
                  <c:v>Bajaj Auto</c:v>
                </c:pt>
              </c:strCache>
            </c:strRef>
          </c:tx>
          <c:spPr>
            <a:solidFill>
              <a:srgbClr val="1f3864"/>
            </a:solidFill>
            <a:ln w="21960">
              <a:solidFill>
                <a:srgbClr val="1f3864"/>
              </a:solidFill>
              <a:round/>
            </a:ln>
          </c:spPr>
          <c:marker>
            <c:symbol val="circle"/>
            <c:size val="7"/>
            <c:spPr>
              <a:solidFill>
                <a:srgbClr val="1f386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 Data'!$M$5:$M$10</c:f>
              <c:numCache>
                <c:formatCode>General</c:formatCode>
                <c:ptCount val="6"/>
                <c:pt idx="0">
                  <c:v>2011</c:v>
                </c:pt>
                <c:pt idx="1">
                  <c:v>2012</c:v>
                </c:pt>
                <c:pt idx="2">
                  <c:v>2015</c:v>
                </c:pt>
                <c:pt idx="3">
                  <c:v>2021</c:v>
                </c:pt>
                <c:pt idx="4">
                  <c:v>2024</c:v>
                </c:pt>
                <c:pt idx="5">
                  <c:v>2026</c:v>
                </c:pt>
              </c:numCache>
            </c:numRef>
          </c:xVal>
          <c:yVal>
            <c:numRef>
              <c:f>'Chart Data'!$N$5:$N$10</c:f>
              <c:numCache>
                <c:formatCode>0.00</c:formatCode>
                <c:ptCount val="6"/>
                <c:pt idx="0">
                  <c:v>5.04</c:v>
                </c:pt>
                <c:pt idx="1">
                  <c:v>5.04</c:v>
                </c:pt>
                <c:pt idx="2">
                  <c:v>6.06</c:v>
                </c:pt>
                <c:pt idx="3">
                  <c:v>6.33</c:v>
                </c:pt>
                <c:pt idx="4">
                  <c:v>7.1</c:v>
                </c:pt>
                <c:pt idx="5">
                  <c:v>7.2</c:v>
                </c:pt>
              </c:numCache>
            </c:numRef>
          </c:yVal>
          <c:smooth val="0"/>
        </c:ser>
        <c:ser>
          <c:idx val="1"/>
          <c:order val="1"/>
          <c:tx>
            <c:strRef>
              <c:f>"TVS Motor"</c:f>
              <c:strCache>
                <c:ptCount val="1"/>
                <c:pt idx="0">
                  <c:v>TVS Motor</c:v>
                </c:pt>
              </c:strCache>
            </c:strRef>
          </c:tx>
          <c:spPr>
            <a:solidFill>
              <a:srgbClr val="ed7d31"/>
            </a:solidFill>
            <a:ln w="21960">
              <a:solidFill>
                <a:srgbClr val="ed7d31"/>
              </a:solidFill>
              <a:round/>
            </a:ln>
          </c:spPr>
          <c:marker>
            <c:symbol val="circle"/>
            <c:size val="7"/>
            <c:spPr>
              <a:solidFill>
                <a:srgbClr val="ed7d3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 Data'!$P$5:$P$6</c:f>
              <c:numCache>
                <c:formatCode>General</c:formatCode>
                <c:ptCount val="2"/>
                <c:pt idx="0">
                  <c:v>2023</c:v>
                </c:pt>
                <c:pt idx="1">
                  <c:v>2026</c:v>
                </c:pt>
              </c:numCache>
            </c:numRef>
          </c:xVal>
          <c:yVal>
            <c:numRef>
              <c:f>'Chart Data'!$Q$5:$Q$6</c:f>
              <c:numCache>
                <c:formatCode>0.00</c:formatCode>
                <c:ptCount val="2"/>
                <c:pt idx="0">
                  <c:v>5.19</c:v>
                </c:pt>
                <c:pt idx="1">
                  <c:v>6.8</c:v>
                </c:pt>
              </c:numCache>
            </c:numRef>
          </c:yVal>
          <c:smooth val="0"/>
        </c:ser>
        <c:ser>
          <c:idx val="2"/>
          <c:order val="2"/>
          <c:tx>
            <c:strRef>
              <c:f>"Royal Enfield"</c:f>
              <c:strCache>
                <c:ptCount val="1"/>
                <c:pt idx="0">
                  <c:v>Royal Enfield</c:v>
                </c:pt>
              </c:strCache>
            </c:strRef>
          </c:tx>
          <c:spPr>
            <a:solidFill>
              <a:srgbClr val="2e8b57"/>
            </a:solidFill>
            <a:ln w="21960">
              <a:solidFill>
                <a:srgbClr val="2e8b57"/>
              </a:solidFill>
              <a:round/>
            </a:ln>
          </c:spPr>
          <c:marker>
            <c:symbol val="circle"/>
            <c:size val="7"/>
            <c:spPr>
              <a:solidFill>
                <a:srgbClr val="2e8b5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 Data'!$S$5:$S$7</c:f>
              <c:numCache>
                <c:formatCode>General</c:formatCode>
                <c:ptCount val="3"/>
                <c:pt idx="0">
                  <c:v>2018</c:v>
                </c:pt>
                <c:pt idx="1">
                  <c:v>2019</c:v>
                </c:pt>
                <c:pt idx="2">
                  <c:v>2026</c:v>
                </c:pt>
              </c:numCache>
            </c:numRef>
          </c:xVal>
          <c:yVal>
            <c:numRef>
              <c:f>'Chart Data'!$T$5:$T$7</c:f>
              <c:numCache>
                <c:formatCode>0.00</c:formatCode>
                <c:ptCount val="3"/>
                <c:pt idx="0">
                  <c:v>0.825</c:v>
                </c:pt>
                <c:pt idx="1">
                  <c:v>0.95</c:v>
                </c:pt>
                <c:pt idx="2">
                  <c:v>1.46</c:v>
                </c:pt>
              </c:numCache>
            </c:numRef>
          </c:yVal>
          <c:smooth val="0"/>
        </c:ser>
        <c:ser>
          <c:idx val="3"/>
          <c:order val="3"/>
          <c:tx>
            <c:strRef>
              <c:f>"Hero MotoCorp"</c:f>
              <c:strCache>
                <c:ptCount val="1"/>
                <c:pt idx="0">
                  <c:v>Hero MotoCorp</c:v>
                </c:pt>
              </c:strCache>
            </c:strRef>
          </c:tx>
          <c:spPr>
            <a:solidFill>
              <a:srgbClr val="c00000"/>
            </a:solidFill>
            <a:ln w="21960">
              <a:solidFill>
                <a:srgbClr val="c00000"/>
              </a:solidFill>
              <a:round/>
            </a:ln>
          </c:spPr>
          <c:marker>
            <c:symbol val="circle"/>
            <c:size val="7"/>
            <c:spPr>
              <a:solidFill>
                <a:srgbClr val="c000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 Data'!$V$5:$V$6</c:f>
              <c:numCache>
                <c:formatCode>General</c:formatCode>
                <c:ptCount val="2"/>
                <c:pt idx="0">
                  <c:v>2015</c:v>
                </c:pt>
                <c:pt idx="1">
                  <c:v>2020</c:v>
                </c:pt>
              </c:numCache>
            </c:numRef>
          </c:xVal>
          <c:yVal>
            <c:numRef>
              <c:f>'Chart Data'!$W$5:$W$6</c:f>
              <c:numCache>
                <c:formatCode>0.00</c:formatCode>
                <c:ptCount val="2"/>
                <c:pt idx="0">
                  <c:v>7.65</c:v>
                </c:pt>
                <c:pt idx="1">
                  <c:v>9.1</c:v>
                </c:pt>
              </c:numCache>
            </c:numRef>
          </c:yVal>
          <c:smooth val="0"/>
        </c:ser>
        <c:ser>
          <c:idx val="4"/>
          <c:order val="4"/>
          <c:tx>
            <c:strRef>
              <c:f>"Ola Electric"</c:f>
              <c:strCache>
                <c:ptCount val="1"/>
                <c:pt idx="0">
                  <c:v>Ola Electric</c:v>
                </c:pt>
              </c:strCache>
            </c:strRef>
          </c:tx>
          <c:spPr>
            <a:solidFill>
              <a:srgbClr val="7030a0"/>
            </a:solidFill>
            <a:ln w="21960">
              <a:solidFill>
                <a:srgbClr val="7030a0"/>
              </a:solidFill>
              <a:round/>
            </a:ln>
          </c:spPr>
          <c:marker>
            <c:symbol val="circle"/>
            <c:size val="7"/>
            <c:spPr>
              <a:solidFill>
                <a:srgbClr val="7030a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 Data'!$Y$5:$Y$6</c:f>
              <c:numCache>
                <c:formatCode>General</c:formatCode>
                <c:ptCount val="2"/>
                <c:pt idx="0">
                  <c:v>2022</c:v>
                </c:pt>
                <c:pt idx="1">
                  <c:v>2024</c:v>
                </c:pt>
              </c:numCache>
            </c:numRef>
          </c:xVal>
          <c:yVal>
            <c:numRef>
              <c:f>'Chart Data'!$Z$5:$Z$6</c:f>
              <c:numCache>
                <c:formatCode>0.00</c:formatCode>
                <c:ptCount val="2"/>
                <c:pt idx="0">
                  <c:v>0.5</c:v>
                </c:pt>
                <c:pt idx="1">
                  <c:v>1</c:v>
                </c:pt>
              </c:numCache>
            </c:numRef>
          </c:yVal>
          <c:smooth val="0"/>
        </c:ser>
        <c:ser>
          <c:idx val="5"/>
          <c:order val="5"/>
          <c:tx>
            <c:strRef>
              <c:f>"Ather Energy"</c:f>
              <c:strCache>
                <c:ptCount val="1"/>
                <c:pt idx="0">
                  <c:v>Ather Energy</c:v>
                </c:pt>
              </c:strCache>
            </c:strRef>
          </c:tx>
          <c:spPr>
            <a:solidFill>
              <a:srgbClr val="808080"/>
            </a:solidFill>
            <a:ln w="21960">
              <a:solidFill>
                <a:srgbClr val="808080"/>
              </a:solidFill>
              <a:round/>
            </a:ln>
          </c:spPr>
          <c:marker>
            <c:symbol val="circle"/>
            <c:size val="7"/>
            <c:spPr>
              <a:solidFill>
                <a:srgbClr val="80808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 Data'!$AB$5:$AB$9</c:f>
              <c:numCache>
                <c:formatCode>General</c:formatCode>
                <c:ptCount val="5"/>
                <c:pt idx="0">
                  <c:v>2022</c:v>
                </c:pt>
                <c:pt idx="1">
                  <c:v>2023</c:v>
                </c:pt>
                <c:pt idx="2">
                  <c:v>2024</c:v>
                </c:pt>
                <c:pt idx="3">
                  <c:v>2025</c:v>
                </c:pt>
                <c:pt idx="4">
                  <c:v>2026</c:v>
                </c:pt>
              </c:numCache>
            </c:numRef>
          </c:xVal>
          <c:yVal>
            <c:numRef>
              <c:f>'Chart Data'!$AC$5:$AC$9</c:f>
              <c:numCache>
                <c:formatCode>0.00</c:formatCode>
                <c:ptCount val="5"/>
                <c:pt idx="0">
                  <c:v>0.12</c:v>
                </c:pt>
                <c:pt idx="1">
                  <c:v>0.42</c:v>
                </c:pt>
                <c:pt idx="2">
                  <c:v>0.42</c:v>
                </c:pt>
                <c:pt idx="3">
                  <c:v>0.42</c:v>
                </c:pt>
                <c:pt idx="4">
                  <c:v>0.42</c:v>
                </c:pt>
              </c:numCache>
            </c:numRef>
          </c:yVal>
          <c:smooth val="0"/>
        </c:ser>
        <c:axId val="51274704"/>
        <c:axId val="97777726"/>
      </c:scatterChart>
      <c:valAx>
        <c:axId val="51274704"/>
        <c:scaling>
          <c:orientation val="minMax"/>
          <c:max val="2026"/>
          <c:min val="201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 ending March</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777726"/>
        <c:crosses val="autoZero"/>
        <c:crossBetween val="midCat"/>
        <c:majorUnit val="2"/>
      </c:valAx>
      <c:valAx>
        <c:axId val="97777726"/>
        <c:scaling>
          <c:orientation val="minMax"/>
          <c:max val="12"/>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Capacity (m units p.a.)</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27470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FY26 utilisation (volume ÷ capacity; basis per Summary section 2)</a:t>
            </a:r>
          </a:p>
        </c:rich>
      </c:tx>
      <c:overlay val="0"/>
      <c:spPr>
        <a:noFill/>
        <a:ln w="0">
          <a:noFill/>
        </a:ln>
      </c:spPr>
    </c:title>
    <c:autoTitleDeleted val="0"/>
    <c:plotArea>
      <c:barChart>
        <c:barDir val="bar"/>
        <c:grouping val="clustered"/>
        <c:varyColors val="0"/>
        <c:ser>
          <c:idx val="0"/>
          <c:order val="0"/>
          <c:spPr>
            <a:solidFill>
              <a:srgbClr val="1f3864"/>
            </a:solidFill>
            <a:ln w="9360">
              <a:solidFill>
                <a:srgbClr val="1f3864"/>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 Data'!$AF$5:$AF$13</c:f>
              <c:strCache>
                <c:ptCount val="9"/>
                <c:pt idx="0">
                  <c:v>Maruti Suzuki</c:v>
                </c:pt>
                <c:pt idx="1">
                  <c:v>Hyundai India</c:v>
                </c:pt>
                <c:pt idx="2">
                  <c:v>M&amp;M</c:v>
                </c:pt>
                <c:pt idx="3">
                  <c:v>Tata PV</c:v>
                </c:pt>
                <c:pt idx="4">
                  <c:v>Bajaj Auto</c:v>
                </c:pt>
                <c:pt idx="5">
                  <c:v>TVS Motor</c:v>
                </c:pt>
                <c:pt idx="6">
                  <c:v>Royal Enfield</c:v>
                </c:pt>
                <c:pt idx="7">
                  <c:v>Ola Electric</c:v>
                </c:pt>
                <c:pt idx="8">
                  <c:v>Ather Energy</c:v>
                </c:pt>
              </c:strCache>
            </c:strRef>
          </c:cat>
          <c:val>
            <c:numRef>
              <c:f>'Chart Data'!$AG$5:$AG$13</c:f>
              <c:numCache>
                <c:formatCode>0%</c:formatCode>
                <c:ptCount val="9"/>
                <c:pt idx="0">
                  <c:v>0.975</c:v>
                </c:pt>
                <c:pt idx="1">
                  <c:v>0.773923541247485</c:v>
                </c:pt>
                <c:pt idx="2">
                  <c:v>0.853069767441861</c:v>
                </c:pt>
                <c:pt idx="3">
                  <c:v>0.713333333333333</c:v>
                </c:pt>
                <c:pt idx="4">
                  <c:v>0.710787083333333</c:v>
                </c:pt>
                <c:pt idx="5">
                  <c:v>0.866029411764706</c:v>
                </c:pt>
                <c:pt idx="6">
                  <c:v>0.848396575342466</c:v>
                </c:pt>
                <c:pt idx="7">
                  <c:v>0.164295</c:v>
                </c:pt>
                <c:pt idx="8">
                  <c:v>0.569471428571429</c:v>
                </c:pt>
              </c:numCache>
            </c:numRef>
          </c:val>
        </c:ser>
        <c:gapWidth val="150"/>
        <c:overlap val="0"/>
        <c:axId val="75095225"/>
        <c:axId val="24316795"/>
      </c:barChart>
      <c:catAx>
        <c:axId val="750952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316795"/>
        <c:crosses val="autoZero"/>
        <c:auto val="1"/>
        <c:lblAlgn val="ctr"/>
        <c:lblOffset val="100"/>
        <c:noMultiLvlLbl val="0"/>
      </c:catAx>
      <c:valAx>
        <c:axId val="24316795"/>
        <c:scaling>
          <c:orientation val="minMax"/>
          <c:max val="1.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0952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57</xdr:row>
      <xdr:rowOff>183600</xdr:rowOff>
    </xdr:from>
    <xdr:to>
      <xdr:col>7</xdr:col>
      <xdr:colOff>91440</xdr:colOff>
      <xdr:row>74</xdr:row>
      <xdr:rowOff>146520</xdr:rowOff>
    </xdr:to>
    <xdr:graphicFrame>
      <xdr:nvGraphicFramePr>
        <xdr:cNvPr id="0" name="Chart 1"/>
        <xdr:cNvGraphicFramePr/>
      </xdr:nvGraphicFramePr>
      <xdr:xfrm>
        <a:off x="0" y="2119320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57</xdr:row>
      <xdr:rowOff>183600</xdr:rowOff>
    </xdr:from>
    <xdr:to>
      <xdr:col>19</xdr:col>
      <xdr:colOff>196200</xdr:colOff>
      <xdr:row>74</xdr:row>
      <xdr:rowOff>146520</xdr:rowOff>
    </xdr:to>
    <xdr:graphicFrame>
      <xdr:nvGraphicFramePr>
        <xdr:cNvPr id="1" name="Chart 2"/>
        <xdr:cNvGraphicFramePr/>
      </xdr:nvGraphicFramePr>
      <xdr:xfrm>
        <a:off x="8989560" y="21193200"/>
        <a:ext cx="61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77</xdr:row>
      <xdr:rowOff>145440</xdr:rowOff>
    </xdr:from>
    <xdr:to>
      <xdr:col>7</xdr:col>
      <xdr:colOff>91440</xdr:colOff>
      <xdr:row>94</xdr:row>
      <xdr:rowOff>146520</xdr:rowOff>
    </xdr:to>
    <xdr:graphicFrame>
      <xdr:nvGraphicFramePr>
        <xdr:cNvPr id="2" name="Chart 3"/>
        <xdr:cNvGraphicFramePr/>
      </xdr:nvGraphicFramePr>
      <xdr:xfrm>
        <a:off x="0" y="25003080"/>
        <a:ext cx="611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16.xml.rels><?xml version="1.0" encoding="UTF-8"?>
<Relationships xmlns="http://schemas.openxmlformats.org/package/2006/relationships"><Relationship Id="rId1" Type="http://schemas.openxmlformats.org/officeDocument/2006/relationships/hyperlink" Target="https://www.marutisuzuki.com/corporate/media/press-releases/2010/january/maruti-suzuki-financial-results" TargetMode="External"/><Relationship Id="rId2" Type="http://schemas.openxmlformats.org/officeDocument/2006/relationships/hyperlink" Target="https://www.marutisuzuki.com/corporate/media/press-releases/2010/march/maruti-suzuki-manufactures-10-lakh-units-in-2009-10" TargetMode="External"/><Relationship Id="rId3" Type="http://schemas.openxmlformats.org/officeDocument/2006/relationships/hyperlink" Target="https://www.marutisuzuki.com/corporate/media/press-releases/2010/september/maruti-suzuki-to-establish-new-plant-at-manesar" TargetMode="External"/><Relationship Id="rId4" Type="http://schemas.openxmlformats.org/officeDocument/2006/relationships/hyperlink" Target="https://www.scribd.com/doc/51372005/manish" TargetMode="External"/><Relationship Id="rId5" Type="http://schemas.openxmlformats.org/officeDocument/2006/relationships/hyperlink" Target="https://www.globalsuzuki.com/globalnews/2011/0315.html" TargetMode="External"/><Relationship Id="rId6" Type="http://schemas.openxmlformats.org/officeDocument/2006/relationships/hyperlink" Target="https://www.globalsuzuki.com/globalnews/2015/0512.html" TargetMode="External"/><Relationship Id="rId7" Type="http://schemas.openxmlformats.org/officeDocument/2006/relationships/hyperlink" Target="https://autocarpro.in/news-national/maruti-suzuki-looks-squeeze-production-existing-plants-10531" TargetMode="External"/><Relationship Id="rId8" Type="http://schemas.openxmlformats.org/officeDocument/2006/relationships/hyperlink" Target="https://www.rushlane.com/amp/suzuki-motor-gujarat-plant-approved-by-msil-12177864.html" TargetMode="External"/><Relationship Id="rId9" Type="http://schemas.openxmlformats.org/officeDocument/2006/relationships/hyperlink" Target="https://www.rushlane.com/amp/maruti-swift-production-gets-a-boost-12294033.html" TargetMode="External"/><Relationship Id="rId10" Type="http://schemas.openxmlformats.org/officeDocument/2006/relationships/hyperlink" Target="https://www.globalsuzuki.com/globalnews/2021/0402.html" TargetMode="External"/><Relationship Id="rId11" Type="http://schemas.openxmlformats.org/officeDocument/2006/relationships/hyperlink" Target="https://www.globalsuzuki.com/globalnews/2023/1206a.html" TargetMode="External"/><Relationship Id="rId12" Type="http://schemas.openxmlformats.org/officeDocument/2006/relationships/hyperlink" Target="https://www.outlookbusiness.com/news/maruti-suzuki-may-expand-manesar-plant-capacity-by-one-lakh-units-by-april-2024-news-235140" TargetMode="External"/><Relationship Id="rId13" Type="http://schemas.openxmlformats.org/officeDocument/2006/relationships/hyperlink" Target="https://www.automotiveworld.com/?p=417537" TargetMode="External"/><Relationship Id="rId14" Type="http://schemas.openxmlformats.org/officeDocument/2006/relationships/hyperlink" Target="https://www.marutisuzuki.com/corporate/media/press-releases/2025/february/maruti-suzuki-begins-commercial-production-at-kharkhoda" TargetMode="External"/><Relationship Id="rId15" Type="http://schemas.openxmlformats.org/officeDocument/2006/relationships/hyperlink" Target="https://www.globalsuzuki.com/globalnews/2025/0225.html" TargetMode="External"/><Relationship Id="rId16" Type="http://schemas.openxmlformats.org/officeDocument/2006/relationships/hyperlink" Target="https://www.motorbeam.com/?p=322906" TargetMode="External"/><Relationship Id="rId17" Type="http://schemas.openxmlformats.org/officeDocument/2006/relationships/hyperlink" Target="https://nsearchives.nseindia.com/corporate/MARUTI_28042026145344_StxIntimation_PressRelease_31Mar2026.pdf" TargetMode="External"/><Relationship Id="rId18" Type="http://schemas.openxmlformats.org/officeDocument/2006/relationships/hyperlink" Target="https://emobilityplus.com/2026/04/24/maruti-suzuki-hits-record-2-34-million-production-milestone-in-fy26-sets-sights-on-expansion/amp/" TargetMode="External"/><Relationship Id="rId19" Type="http://schemas.openxmlformats.org/officeDocument/2006/relationships/hyperlink" Target="https://www.en.meroauto.com/?p=12740" TargetMode="External"/><Relationship Id="rId20" Type="http://schemas.openxmlformats.org/officeDocument/2006/relationships/hyperlink" Target="https://www.marutisuzuki.com/corporate/media/press-releases/2026/may/maruti-suzuki-commences-commercial-production-at-2nd-plant-in-kharkhoda-haryana" TargetMode="External"/><Relationship Id="rId21" Type="http://schemas.openxmlformats.org/officeDocument/2006/relationships/hyperlink" Target="https://nsearchives.nseindia.com/corporate/MARUTIASHISH_30072026133341_STxIntimation_Hansalpur_ProductionCommencement_30July2026.pdf" TargetMode="External"/><Relationship Id="rId22" Type="http://schemas.openxmlformats.org/officeDocument/2006/relationships/hyperlink" Target="https://bseindia.com/xml-data/corpfiling/AttachHis/3b4d6cb6-9777-4619-a255-e0b0cfc4a7e7.pdf" TargetMode="External"/><Relationship Id="rId23" Type="http://schemas.openxmlformats.org/officeDocument/2006/relationships/hyperlink" Target="https://www.motorbeam.com/?p=316344" TargetMode="External"/><Relationship Id="rId24" Type="http://schemas.openxmlformats.org/officeDocument/2006/relationships/hyperlink" Target="https://www.moneyworks4me.com/mobile/news/index/id/16840/fincode/" TargetMode="External"/><Relationship Id="rId25" Type="http://schemas.openxmlformats.org/officeDocument/2006/relationships/hyperlink" Target="https://machinist.in/2025/02/maruti-suzuki-starts-commercial-production-at-haryana-plant/" TargetMode="External"/><Relationship Id="rId26" Type="http://schemas.openxmlformats.org/officeDocument/2006/relationships/hyperlink" Target="https://indiainfrahub.com/news/maruti-to-shift-from-gurugram-but-remain-in-haryana-gets-nod-for-900-acre-land-in-kharkhoda-for-new-facility/" TargetMode="External"/><Relationship Id="rId27" Type="http://schemas.openxmlformats.org/officeDocument/2006/relationships/hyperlink" Target="https://www.rushlane.com/maruti-manesar-plant-capacity-increased-to-9-lakh-cars-per-annum-12492697.html" TargetMode="External"/><Relationship Id="rId28" Type="http://schemas.openxmlformats.org/officeDocument/2006/relationships/hyperlink" Target="https://mobilityoutlook.com/news/maruti-suzukis-manesar-facility-achieves-milestone-of-1-crore-units" TargetMode="External"/><Relationship Id="rId29" Type="http://schemas.openxmlformats.org/officeDocument/2006/relationships/hyperlink" Target="https://www.rushlane.com/amp/maruti-gurgaon-plant-shift-12291611.html" TargetMode="External"/><Relationship Id="rId30" Type="http://schemas.openxmlformats.org/officeDocument/2006/relationships/hyperlink" Target="https://www.cartrade.com/news/maruti-suzuki-expansion-plans-for-india-112775.html" TargetMode="External"/><Relationship Id="rId31" Type="http://schemas.openxmlformats.org/officeDocument/2006/relationships/hyperlink" Target="https://www.cartrade.com/news/hyundai-motor-india-inaugurates-new-plant-100053.html" TargetMode="External"/><Relationship Id="rId32" Type="http://schemas.openxmlformats.org/officeDocument/2006/relationships/hyperlink" Target="https://businesstoday.in/magazine/current/story/getting-back-to-speed-129813-2008-02-05" TargetMode="External"/><Relationship Id="rId33" Type="http://schemas.openxmlformats.org/officeDocument/2006/relationships/hyperlink" Target="https://www.autocarpro.in/analysis-report/automotive-oscars-4663" TargetMode="External"/><Relationship Id="rId34" Type="http://schemas.openxmlformats.org/officeDocument/2006/relationships/hyperlink" Target="https://www.segmenty.com/GenerateNewsStaticJsps/Hyundai_to_ramp_up_production_capacity_by_12_.html" TargetMode="External"/><Relationship Id="rId35" Type="http://schemas.openxmlformats.org/officeDocument/2006/relationships/hyperlink" Target="https://wardsauto.com/industry/hyundai-adding-capacity-build-success-india" TargetMode="External"/><Relationship Id="rId36" Type="http://schemas.openxmlformats.org/officeDocument/2006/relationships/hyperlink" Target="https://www.autocarpro.in/news-national/hyundai-motor-indiaexpands-production-capacity-plans-8-new-models-over-next-2-years-40275" TargetMode="External"/><Relationship Id="rId37" Type="http://schemas.openxmlformats.org/officeDocument/2006/relationships/hyperlink" Target="https://www.eqmagpro.com/hyundai-plans-to-roll-out-electric-vehicles-from-chennai-plant/" TargetMode="External"/><Relationship Id="rId38" Type="http://schemas.openxmlformats.org/officeDocument/2006/relationships/hyperlink" Target="https://ipocentral.in/hyundai-motor-india-ipo-10-key-points/" TargetMode="External"/><Relationship Id="rId39" Type="http://schemas.openxmlformats.org/officeDocument/2006/relationships/hyperlink" Target="https://www.outlookbusiness.com/news/hyundai-inks-asset-purchase-agreement-to-acquire-gm-s-talegaon-plant-news-311013" TargetMode="External"/><Relationship Id="rId40" Type="http://schemas.openxmlformats.org/officeDocument/2006/relationships/hyperlink" Target="https://india.entrepreneur.com/news-and-trends/hyundai-india-eyes-yearly-output-of-1-million-units/475766" TargetMode="External"/><Relationship Id="rId41" Type="http://schemas.openxmlformats.org/officeDocument/2006/relationships/hyperlink" Target="https://www.hyundai.com/content/dam/hyundai/in/en/images/investor-relations/annual-reports/Boards-Report.pdf" TargetMode="External"/><Relationship Id="rId42" Type="http://schemas.openxmlformats.org/officeDocument/2006/relationships/hyperlink" Target="https://machinist.in/2025/10/hyundai-motor-india-expands-talegaon-plant-for-passenger-vehicle-production/" TargetMode="External"/><Relationship Id="rId43" Type="http://schemas.openxmlformats.org/officeDocument/2006/relationships/hyperlink" Target="https://machinist.in/?p=4247" TargetMode="External"/><Relationship Id="rId44" Type="http://schemas.openxmlformats.org/officeDocument/2006/relationships/hyperlink" Target="https://autocarpro.in/news-national/next-gen-hyundai-venue-to-roll-out-from-newly-acquired-talegaon-plant-116383" TargetMode="External"/><Relationship Id="rId45" Type="http://schemas.openxmlformats.org/officeDocument/2006/relationships/hyperlink" Target="https://insights.dsij.in/dsijarticledetail/hyundai-motor-india-posts-record-september-sales-as-domestic-demand-and-exports-accelerate" TargetMode="External"/><Relationship Id="rId46" Type="http://schemas.openxmlformats.org/officeDocument/2006/relationships/hyperlink" Target="https://machinist.in/?p=3559" TargetMode="External"/><Relationship Id="rId47" Type="http://schemas.openxmlformats.org/officeDocument/2006/relationships/hyperlink" Target="https://www.industryweek.com/companies-amp-executives/hyundai-makes-india-its-biggest-foreign-manufacturing-site" TargetMode="External"/><Relationship Id="rId48" Type="http://schemas.openxmlformats.org/officeDocument/2006/relationships/hyperlink" Target="https://www.sarkaritel.com/?p=219485" TargetMode="External"/><Relationship Id="rId49" Type="http://schemas.openxmlformats.org/officeDocument/2006/relationships/hyperlink" Target="https://indbiz.gov.in/hyundai-to-expand-chennai-plant" TargetMode="External"/><Relationship Id="rId50" Type="http://schemas.openxmlformats.org/officeDocument/2006/relationships/hyperlink" Target="https://www.mahindratruckandbus.com/english/blog/new-mahindra-mahindra-plant-inaugurated.aspx" TargetMode="External"/><Relationship Id="rId51" Type="http://schemas.openxmlformats.org/officeDocument/2006/relationships/hyperlink" Target="https://autocarpro.in/news-national/mahindras-chakan-zaheerabad-and-haridwar-plants-roll-out-their-millionth-vehicle-43483" TargetMode="External"/><Relationship Id="rId52" Type="http://schemas.openxmlformats.org/officeDocument/2006/relationships/hyperlink" Target="https://obeta.ttef.in/business/mahindra-suv-expansion-plan/cid/1897912" TargetMode="External"/><Relationship Id="rId53" Type="http://schemas.openxmlformats.org/officeDocument/2006/relationships/hyperlink" Target="https://www.business-standard.com/amp/companies/news/aiming-to-maintain-leadership-position-in-suv-segment-mahindra-group-cfo-123060400220_1.html" TargetMode="External"/><Relationship Id="rId54" Type="http://schemas.openxmlformats.org/officeDocument/2006/relationships/hyperlink" Target="https://autocarpro.in/analysis-sales/rapid-ramp-up-in-production-sees-mahindras-suv-backlog-reduce-to-220000-units-120561" TargetMode="External"/><Relationship Id="rId55" Type="http://schemas.openxmlformats.org/officeDocument/2006/relationships/hyperlink" Target="https://autocarpro.in/news/mm-readies-itself-with-10000-units-per-month-capacity-for-evs-123428" TargetMode="External"/><Relationship Id="rId56" Type="http://schemas.openxmlformats.org/officeDocument/2006/relationships/hyperlink" Target="https://www.business-standard.com/amp/companies/quarterly-results/mahindra-mahindra-q4-profit-rises-on-suv-tractor-demand-125050500650_1.html" TargetMode="External"/><Relationship Id="rId57" Type="http://schemas.openxmlformats.org/officeDocument/2006/relationships/hyperlink" Target="https://www.autocarpro.in/news/mahindra-maps-2x-capacity-expansion-by-fy31-targets-92000-units-in-2-years-133820" TargetMode="External"/><Relationship Id="rId58" Type="http://schemas.openxmlformats.org/officeDocument/2006/relationships/hyperlink" Target="https://www.autocarpro.in/news/mahindra-plans-production-capacity-ramp-up-to-double-by-fy31-133811?amp=1" TargetMode="External"/><Relationship Id="rId59" Type="http://schemas.openxmlformats.org/officeDocument/2006/relationships/hyperlink" Target="https://www.autocarindia.com/car-news/mahindra-to-set-up-rs-15000-crore-manufacturing-plant-in-maharashtra-439001" TargetMode="External"/><Relationship Id="rId60" Type="http://schemas.openxmlformats.org/officeDocument/2006/relationships/hyperlink" Target="https://www.rushlane.com/mahindra-to-launch-10-new-ice-suvs-6-bevs-produce-82k-suvs-12545847.html" TargetMode="External"/><Relationship Id="rId61" Type="http://schemas.openxmlformats.org/officeDocument/2006/relationships/hyperlink" Target="https://www.autocarpro.in/news/mahindra-mahindra-reports-25-domestic-suv-growth-to-60272-units-in-march-2026-achieves-record-fy26-annual-volume-of-660276-131896?amp=1" TargetMode="External"/><Relationship Id="rId62" Type="http://schemas.openxmlformats.org/officeDocument/2006/relationships/hyperlink" Target="https://www.autocarpro.in/news/hyundai-slips-to-no-4-as-mahindra-and-tata-motors-both-overtake-it-in-fy26-domestic-pv-sales-131913?amp=1" TargetMode="External"/><Relationship Id="rId63" Type="http://schemas.openxmlformats.org/officeDocument/2006/relationships/hyperlink" Target="https://www.rushlane.com/mahindra-scorpio-n-deliveries-start-production-plant-12447400.html" TargetMode="External"/><Relationship Id="rId64" Type="http://schemas.openxmlformats.org/officeDocument/2006/relationships/hyperlink" Target="https://nsearchives.nseindia.com/corporate/GREAVESCOT_07022026162856_Greavescot_07022026_signed.pdf" TargetMode="External"/><Relationship Id="rId65" Type="http://schemas.openxmlformats.org/officeDocument/2006/relationships/hyperlink" Target="https://www.just-auto.com/?p=29481" TargetMode="External"/><Relationship Id="rId66" Type="http://schemas.openxmlformats.org/officeDocument/2006/relationships/hyperlink" Target="https://www.wardsauto.com/node/353" TargetMode="External"/><Relationship Id="rId67" Type="http://schemas.openxmlformats.org/officeDocument/2006/relationships/hyperlink" Target="https://www.marklines.com/en/search/0?q=Scorpio" TargetMode="External"/><Relationship Id="rId68" Type="http://schemas.openxmlformats.org/officeDocument/2006/relationships/hyperlink" Target="https://www.autocarpro.in/NEWS/mahindra-expects-mid-teens-growth-for-its-suvs-in-fy-27-tractor-market-growth-in-mid-single-digits-132421" TargetMode="External"/><Relationship Id="rId69" Type="http://schemas.openxmlformats.org/officeDocument/2006/relationships/hyperlink" Target="https://pages.stern.nyu.edu/~adamodar/pdfiles/acf4E/data/Tata%20Motors/20F2011.pdf" TargetMode="External"/><Relationship Id="rId70" Type="http://schemas.openxmlformats.org/officeDocument/2006/relationships/hyperlink" Target="https://www.automotiveworld.com/?p=138222" TargetMode="External"/><Relationship Id="rId71" Type="http://schemas.openxmlformats.org/officeDocument/2006/relationships/hyperlink" Target="https://www.moneyworks4me.com/company/news/index/id/16534" TargetMode="External"/><Relationship Id="rId72" Type="http://schemas.openxmlformats.org/officeDocument/2006/relationships/hyperlink" Target="https://www.autocarpro.in/news-national/tata-motors-to-ramp-up-capacity-at-sanand-plant-40376?amp=1" TargetMode="External"/><Relationship Id="rId73" Type="http://schemas.openxmlformats.org/officeDocument/2006/relationships/hyperlink" Target="https://autocarpro.in/news-national/tata-motors-boosting-capacity-to-sell-half-a-million-cars-annually-81399" TargetMode="External"/><Relationship Id="rId74" Type="http://schemas.openxmlformats.org/officeDocument/2006/relationships/hyperlink" Target="https://www.automotiveworld.com/?p=370646" TargetMode="External"/><Relationship Id="rId75" Type="http://schemas.openxmlformats.org/officeDocument/2006/relationships/hyperlink" Target="https://www.tatamotors.com/wp-content/uploads/2024/06/tata-motors-group-investor-day-presentation.pdf" TargetMode="External"/><Relationship Id="rId76" Type="http://schemas.openxmlformats.org/officeDocument/2006/relationships/hyperlink" Target="https://www.automotiveworld.com/news/jlr-to-assemble-evoque-in-india-as-production-moves-east/" TargetMode="External"/><Relationship Id="rId77" Type="http://schemas.openxmlformats.org/officeDocument/2006/relationships/hyperlink" Target="https://segmenty.com/GenerateNewsStaticJsps/Tata_Motors__JLR_begin_operations_at_new_Tamil_Nadu_manufacturing_plant.html" TargetMode="External"/><Relationship Id="rId78" Type="http://schemas.openxmlformats.org/officeDocument/2006/relationships/hyperlink" Target="https://machinist.in/?p=6445" TargetMode="External"/><Relationship Id="rId79" Type="http://schemas.openxmlformats.org/officeDocument/2006/relationships/hyperlink" Target="https://www.autocarpro.in/news/tata-motors-targets-13-million-annual-capacity-as-demand-outpaces-production-133296" TargetMode="External"/><Relationship Id="rId80" Type="http://schemas.openxmlformats.org/officeDocument/2006/relationships/hyperlink" Target="https://www.autocarpro.in/news/tata-motors-readies-flexible-manufacturing-network-for-next-phase-of-pv-growth-133238?amp=1" TargetMode="External"/><Relationship Id="rId81" Type="http://schemas.openxmlformats.org/officeDocument/2006/relationships/hyperlink" Target="https://www.business-standard.com/article/companies/tata-motors-pant-nagar-plant-to-start-by-april-106120801011_1.html" TargetMode="External"/><Relationship Id="rId82" Type="http://schemas.openxmlformats.org/officeDocument/2006/relationships/hyperlink" Target="https://cv.tatamotors.com/news/tata-motors-achieves-10-lakh-commercial-vehicles-production-milestone-at-its-lucknow-plant" TargetMode="External"/><Relationship Id="rId83" Type="http://schemas.openxmlformats.org/officeDocument/2006/relationships/hyperlink" Target="https://www.tataworld.com/news/openinside/tata-motors-q4-fy26-sales-growth-132465-units" TargetMode="External"/><Relationship Id="rId84" Type="http://schemas.openxmlformats.org/officeDocument/2006/relationships/hyperlink" Target="https://en.wikipedia.org/wiki/Tata_Motors" TargetMode="External"/><Relationship Id="rId85" Type="http://schemas.openxmlformats.org/officeDocument/2006/relationships/hyperlink" Target="https://www.businesstoday.in/auto/story/green-light-tata-motorss-eu3-8-billion-iveco-takeover-gets-italian-regulators-nod-553314-2026-09-04" TargetMode="External"/><Relationship Id="rId86" Type="http://schemas.openxmlformats.org/officeDocument/2006/relationships/hyperlink" Target="https://fleetworld.co.uk/tata-motors-to-acquire-iveco-group-for-3-3bn/" TargetMode="External"/><Relationship Id="rId87" Type="http://schemas.openxmlformats.org/officeDocument/2006/relationships/hyperlink" Target="https://trucks.cardekho.com/en/news/detail/tata-motors-to-enhance-capacity-at-pantnagar-plant-for-cv-production-337.html" TargetMode="External"/><Relationship Id="rId88" Type="http://schemas.openxmlformats.org/officeDocument/2006/relationships/hyperlink" Target="https://www.icra.in/Rating/ShowRationalReportFilePdfViewer/126168" TargetMode="External"/><Relationship Id="rId89" Type="http://schemas.openxmlformats.org/officeDocument/2006/relationships/hyperlink" Target="https://www.business-standard.com/article/companies/ashok-leyland-s-pantnagar-plant-to-go-onstream-soon-109100300068_1.html" TargetMode="External"/><Relationship Id="rId90" Type="http://schemas.openxmlformats.org/officeDocument/2006/relationships/hyperlink" Target="https://www.autocarpro.in/interview/seshasayee-4306" TargetMode="External"/><Relationship Id="rId91" Type="http://schemas.openxmlformats.org/officeDocument/2006/relationships/hyperlink" Target="https://www.business-standard.com/article/companies/to-raise-up-to-rs-600-cr-debt-this-fiscal-ashok-leyland-110090700203_1.html" TargetMode="External"/><Relationship Id="rId92" Type="http://schemas.openxmlformats.org/officeDocument/2006/relationships/hyperlink" Target="https://equipmentindia.com/construction-machinery-news/top-equipment-news/webexclusive/Ashok-Leyland-capacity-utilisation/31724" TargetMode="External"/><Relationship Id="rId93" Type="http://schemas.openxmlformats.org/officeDocument/2006/relationships/hyperlink" Target="https://ashokleyland.com/ae/pressrelease/ashok-leyland-inaugurates-new-bus-manufacturing-plant-near-vijayawada-andhra-pradesh" TargetMode="External"/><Relationship Id="rId94" Type="http://schemas.openxmlformats.org/officeDocument/2006/relationships/hyperlink" Target="https://www.autocarpro.in/news/ashok-leyland-opens-ev-plant-in-lucknow-130495" TargetMode="External"/><Relationship Id="rId95" Type="http://schemas.openxmlformats.org/officeDocument/2006/relationships/hyperlink" Target="https://www.automotiveworld.com/data/oem-production/ashok-leyland-performance-and-production-forecast-to-2031/" TargetMode="External"/><Relationship Id="rId96" Type="http://schemas.openxmlformats.org/officeDocument/2006/relationships/hyperlink" Target="https://www.indiainfoline.com/company/ashok-leyland-ltd/summary" TargetMode="External"/><Relationship Id="rId97" Type="http://schemas.openxmlformats.org/officeDocument/2006/relationships/hyperlink" Target="https://themachinemaker.com/news/ashok-leyland-aims-for-45-market-share-in-south-india/" TargetMode="External"/><Relationship Id="rId98" Type="http://schemas.openxmlformats.org/officeDocument/2006/relationships/hyperlink" Target="https://oga-prod.angelone.in/news/stocks/ashok-leyland-expands-into-uttar-pradesh-with-landmark-1-000-crore-electric-bus-plant" TargetMode="External"/><Relationship Id="rId99" Type="http://schemas.openxmlformats.org/officeDocument/2006/relationships/hyperlink" Target="https://en.wikipedia.org/wiki/Ashok_Leyland" TargetMode="External"/><Relationship Id="rId100" Type="http://schemas.openxmlformats.org/officeDocument/2006/relationships/hyperlink" Target="https://bikeadvice.in/?p=6202" TargetMode="External"/><Relationship Id="rId101" Type="http://schemas.openxmlformats.org/officeDocument/2006/relationships/hyperlink" Target="https://www.motorbeam.com/?p=21440" TargetMode="External"/><Relationship Id="rId102" Type="http://schemas.openxmlformats.org/officeDocument/2006/relationships/hyperlink" Target="https://www.arihantcapital.com/company-information/about-company/28074" TargetMode="External"/><Relationship Id="rId103" Type="http://schemas.openxmlformats.org/officeDocument/2006/relationships/hyperlink" Target="https://bikeadvice.in/?p=20788" TargetMode="External"/><Relationship Id="rId104" Type="http://schemas.openxmlformats.org/officeDocument/2006/relationships/hyperlink" Target="https://www.scribd.com/document/870311235/chapter" TargetMode="External"/><Relationship Id="rId105" Type="http://schemas.openxmlformats.org/officeDocument/2006/relationships/hyperlink" Target="https://in.tradingview.com/chart/BAJAJ_AUTO/SgEZNJon-After-falling-25-Nifty50-stock-is-giving-good-entry-to-go-long/" TargetMode="External"/><Relationship Id="rId106" Type="http://schemas.openxmlformats.org/officeDocument/2006/relationships/hyperlink" Target="https://www.businesstoday.in/auto/story/bajaj-auto-to-ramp-up-capacity-of-chetak-to-60000-units-per-month-544296-2026-07-21" TargetMode="External"/><Relationship Id="rId107" Type="http://schemas.openxmlformats.org/officeDocument/2006/relationships/hyperlink" Target="https://ticker.finology.in/discover/market-update/bajaj-auto-march-2026-sales-analysis" TargetMode="External"/><Relationship Id="rId108" Type="http://schemas.openxmlformats.org/officeDocument/2006/relationships/hyperlink" Target="https://www.incredmoney.com/stocks/bajaj-auto-ltd" TargetMode="External"/><Relationship Id="rId109" Type="http://schemas.openxmlformats.org/officeDocument/2006/relationships/hyperlink" Target="https://indiainfoline.com/company/tvs-motor-company-ltd/summary" TargetMode="External"/><Relationship Id="rId110" Type="http://schemas.openxmlformats.org/officeDocument/2006/relationships/hyperlink" Target="https://www.autocarpro.in/news-national/tvsresumes-production-at-hosur-mysore-and-nalagarh-plants-56315" TargetMode="External"/><Relationship Id="rId111" Type="http://schemas.openxmlformats.org/officeDocument/2006/relationships/hyperlink" Target="https://www.tvsmotor.com/en/ke/about-us/overview" TargetMode="External"/><Relationship Id="rId112" Type="http://schemas.openxmlformats.org/officeDocument/2006/relationships/hyperlink" Target="https://kuwait.tvsmotor.com/overview" TargetMode="External"/><Relationship Id="rId113" Type="http://schemas.openxmlformats.org/officeDocument/2006/relationships/hyperlink" Target="https://bikeadvice.in/?p=92063" TargetMode="External"/><Relationship Id="rId114" Type="http://schemas.openxmlformats.org/officeDocument/2006/relationships/hyperlink" Target="https://www.tvsmotor.com/media/press-release/tvs-motor-company-highest-ever-sales-fy-2025-26" TargetMode="External"/><Relationship Id="rId115" Type="http://schemas.openxmlformats.org/officeDocument/2006/relationships/hyperlink" Target="https://www.tvsmotor.com/ar-25-26/pdf/6.%20Statutory%20Reports/04.%20Management%20Discussion%20and%20Analysis.pdf" TargetMode="External"/><Relationship Id="rId116" Type="http://schemas.openxmlformats.org/officeDocument/2006/relationships/hyperlink" Target="https://www.segmenty.com/GenerateNewsStaticJsps/Royal_Enfield_to_hike_annual_capacity_in_2014.html" TargetMode="External"/><Relationship Id="rId117" Type="http://schemas.openxmlformats.org/officeDocument/2006/relationships/hyperlink" Target="https://bikeindia.in/?p=13474" TargetMode="External"/><Relationship Id="rId118" Type="http://schemas.openxmlformats.org/officeDocument/2006/relationships/hyperlink" Target="https://autocarpro.in/news-national/royalenfieldexpandscapacitybeginsproductionplant-25942" TargetMode="External"/><Relationship Id="rId119" Type="http://schemas.openxmlformats.org/officeDocument/2006/relationships/hyperlink" Target="https://www.rushlane.com/royal-enfield-production-capacity-12267755.html" TargetMode="External"/><Relationship Id="rId120" Type="http://schemas.openxmlformats.org/officeDocument/2006/relationships/hyperlink" Target="https://machinist.in/2025/06/royal-enfield-opens-new-manufacturing-facility-in-cheyyar-tamil-nadu/" TargetMode="External"/><Relationship Id="rId121" Type="http://schemas.openxmlformats.org/officeDocument/2006/relationships/hyperlink" Target="https://nsearchives.nseindia.com/corporate/EICHERMOT_18052026163025_EMLPressReleaseCapacityexpansionMay182026Signed.pdf" TargetMode="External"/><Relationship Id="rId122" Type="http://schemas.openxmlformats.org/officeDocument/2006/relationships/hyperlink" Target="https://www.motorbeam.com/royal-enfield-capacity-expansion-20-lakh/amp" TargetMode="External"/><Relationship Id="rId123" Type="http://schemas.openxmlformats.org/officeDocument/2006/relationships/hyperlink" Target="https://bikeadvice.in/?p=91466" TargetMode="External"/><Relationship Id="rId124" Type="http://schemas.openxmlformats.org/officeDocument/2006/relationships/hyperlink" Target="https://bikeadvice.in/hero-motocorp-expand-annual-capacity-7-million-units/" TargetMode="External"/><Relationship Id="rId125" Type="http://schemas.openxmlformats.org/officeDocument/2006/relationships/hyperlink" Target="https://www.autocarindia.com/bike-news-amp/hero-motocorp-391181" TargetMode="External"/><Relationship Id="rId126" Type="http://schemas.openxmlformats.org/officeDocument/2006/relationships/hyperlink" Target="https://autocarpro.in/news-national/hero-motocorps-chittoor-plant-begins-production-55925" TargetMode="External"/><Relationship Id="rId127" Type="http://schemas.openxmlformats.org/officeDocument/2006/relationships/hyperlink" Target="https://autocarpro.in/news-national/hero-motocorp-haridwar-plant-crosses-25-million-cumulative-production-milestone-44511" TargetMode="External"/><Relationship Id="rId128" Type="http://schemas.openxmlformats.org/officeDocument/2006/relationships/hyperlink" Target="https://en.wikipedia.com/wiki/Hero_Honda" TargetMode="External"/><Relationship Id="rId129" Type="http://schemas.openxmlformats.org/officeDocument/2006/relationships/hyperlink" Target="https://bikeadvice.in/?p=91491" TargetMode="External"/><Relationship Id="rId130" Type="http://schemas.openxmlformats.org/officeDocument/2006/relationships/hyperlink" Target="https://www.autocarpro.in/news/hero-motocorp-lines-up-&#8377;1500-cr-capex-for-fy27-to-double-ev-capacity-132442" TargetMode="External"/><Relationship Id="rId131" Type="http://schemas.openxmlformats.org/officeDocument/2006/relationships/hyperlink" Target="https://electrek.co/2021/03/10/this-carbon-negative-massive-megafactory-will-produce-an-ev-every-2-seconds/" TargetMode="External"/><Relationship Id="rId132" Type="http://schemas.openxmlformats.org/officeDocument/2006/relationships/hyperlink" Target="https://www.autocarindia.com/auto-features-amp/inside-ola-electrics-futurefactory-424761" TargetMode="External"/><Relationship Id="rId133" Type="http://schemas.openxmlformats.org/officeDocument/2006/relationships/hyperlink" Target="https://www.moneyworks4me.com/blog/ola-electric-drhp-insights" TargetMode="External"/><Relationship Id="rId134" Type="http://schemas.openxmlformats.org/officeDocument/2006/relationships/hyperlink" Target="https://nsearchives.nseindia.com/corporate/OLAELECTRIC_14072025104713_Press_Release_OEM.pdf" TargetMode="External"/><Relationship Id="rId135" Type="http://schemas.openxmlformats.org/officeDocument/2006/relationships/hyperlink" Target="https://machinist.in/2025/07/ola-electric-targets-in-house-battery-and-motor-production-by-fy27/" TargetMode="External"/><Relationship Id="rId136" Type="http://schemas.openxmlformats.org/officeDocument/2006/relationships/hyperlink" Target="https://nsearchives.nseindia.com/corporate/OLAELECTRIC_13022026160923_Press_Release_Intimation_OEM.pdf" TargetMode="External"/><Relationship Id="rId137" Type="http://schemas.openxmlformats.org/officeDocument/2006/relationships/hyperlink" Target="https://evreporter.com/ola-electric-secures-inr-3200-crores/" TargetMode="External"/><Relationship Id="rId138" Type="http://schemas.openxmlformats.org/officeDocument/2006/relationships/hyperlink" Target="https://www.electronicsb2b.com/industry-buzz/ola-electric-2-wheeler-plant-to-begin-production-in-coming-months/" TargetMode="External"/><Relationship Id="rId139" Type="http://schemas.openxmlformats.org/officeDocument/2006/relationships/hyperlink" Target="https://autocarpro.in/news-national/ather-energys-second-plant-at-hosur-goes-on-stream-expands-capacity-to-400000-units-113428" TargetMode="External"/><Relationship Id="rId140" Type="http://schemas.openxmlformats.org/officeDocument/2006/relationships/hyperlink" Target="https://iamabiker.com/avin/2022/ather-energy-opens-second-manufacturing-facility-in-hosur/" TargetMode="External"/><Relationship Id="rId141" Type="http://schemas.openxmlformats.org/officeDocument/2006/relationships/hyperlink" Target="https://deccanherald.com/business/ather-energy-to-set-up-third-manufacturing-plant-in-maharashtra-3082215" TargetMode="External"/><Relationship Id="rId142" Type="http://schemas.openxmlformats.org/officeDocument/2006/relationships/hyperlink" Target="https://themachinemaker.com/news/ather-energy-to-invest-over-rs-2000-crore-in-new-maharashtra-plant/" TargetMode="External"/><Relationship Id="rId143" Type="http://schemas.openxmlformats.org/officeDocument/2006/relationships/hyperlink" Target="https://www.autocarpro.in/news/ather-explores-accelerating-aurangabad-phase-2-expansion-if-ev-demand-surges-continue-133896" TargetMode="External"/><Relationship Id="rId144" Type="http://schemas.openxmlformats.org/officeDocument/2006/relationships/hyperlink" Target="https://bikeadvice.in/?p=9157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row>
    <row r="5" customFormat="false" ht="27.75" hidden="false" customHeight="true" outlineLevel="0" collapsed="false">
      <c r="A5" s="4" t="s">
        <v>3</v>
      </c>
      <c r="B5" s="5" t="s">
        <v>4</v>
      </c>
    </row>
    <row r="6" customFormat="false" ht="27.75" hidden="false" customHeight="true" outlineLevel="0" collapsed="false">
      <c r="A6" s="4" t="s">
        <v>5</v>
      </c>
      <c r="B6" s="5" t="s">
        <v>6</v>
      </c>
    </row>
    <row r="7" customFormat="false" ht="27.75" hidden="false" customHeight="true" outlineLevel="0" collapsed="false">
      <c r="A7" s="4" t="s">
        <v>7</v>
      </c>
      <c r="B7" s="5" t="s">
        <v>8</v>
      </c>
    </row>
    <row r="9" customFormat="false" ht="15" hidden="false" customHeight="false" outlineLevel="0" collapsed="false">
      <c r="A9" s="3" t="s">
        <v>9</v>
      </c>
      <c r="B9" s="3"/>
    </row>
    <row r="10" customFormat="false" ht="15" hidden="false" customHeight="true" outlineLevel="0" collapsed="false">
      <c r="A10" s="4" t="s">
        <v>10</v>
      </c>
      <c r="B10" s="5" t="s">
        <v>11</v>
      </c>
    </row>
    <row r="11" customFormat="false" ht="27.75" hidden="false" customHeight="true" outlineLevel="0" collapsed="false">
      <c r="A11" s="4" t="s">
        <v>12</v>
      </c>
      <c r="B11" s="5" t="s">
        <v>13</v>
      </c>
    </row>
    <row r="12" customFormat="false" ht="15" hidden="false" customHeight="true" outlineLevel="0" collapsed="false">
      <c r="A12" s="4" t="s">
        <v>14</v>
      </c>
      <c r="B12" s="5" t="s">
        <v>15</v>
      </c>
    </row>
    <row r="13" customFormat="false" ht="27.75" hidden="false" customHeight="true" outlineLevel="0" collapsed="false">
      <c r="A13" s="4" t="s">
        <v>16</v>
      </c>
      <c r="B13" s="5" t="s">
        <v>17</v>
      </c>
    </row>
    <row r="14" customFormat="false" ht="15" hidden="false" customHeight="true" outlineLevel="0" collapsed="false">
      <c r="A14" s="4" t="s">
        <v>18</v>
      </c>
      <c r="B14" s="5" t="s">
        <v>19</v>
      </c>
    </row>
    <row r="16" customFormat="false" ht="15" hidden="false" customHeight="false" outlineLevel="0" collapsed="false">
      <c r="A16" s="3" t="s">
        <v>20</v>
      </c>
      <c r="B16" s="3"/>
    </row>
    <row r="17" customFormat="false" ht="15" hidden="false" customHeight="true" outlineLevel="0" collapsed="false">
      <c r="A17" s="4" t="s">
        <v>21</v>
      </c>
      <c r="B17" s="5" t="s">
        <v>22</v>
      </c>
    </row>
    <row r="18" customFormat="false" ht="40.5" hidden="false" customHeight="true" outlineLevel="0" collapsed="false">
      <c r="A18" s="4" t="s">
        <v>23</v>
      </c>
      <c r="B18" s="5" t="s">
        <v>24</v>
      </c>
    </row>
    <row r="19" customFormat="false" ht="27.75" hidden="false" customHeight="true" outlineLevel="0" collapsed="false">
      <c r="A19" s="4" t="s">
        <v>25</v>
      </c>
      <c r="B19" s="5" t="s">
        <v>26</v>
      </c>
    </row>
    <row r="20" customFormat="false" ht="27.75" hidden="false" customHeight="true" outlineLevel="0" collapsed="false">
      <c r="A20" s="4" t="s">
        <v>27</v>
      </c>
      <c r="B20" s="5" t="s">
        <v>28</v>
      </c>
    </row>
    <row r="21" customFormat="false" ht="27.75" hidden="false" customHeight="true" outlineLevel="0" collapsed="false">
      <c r="A21" s="4" t="s">
        <v>29</v>
      </c>
      <c r="B21" s="5" t="s">
        <v>30</v>
      </c>
    </row>
    <row r="22" customFormat="false" ht="27.75" hidden="false" customHeight="true" outlineLevel="0" collapsed="false">
      <c r="A22" s="4" t="s">
        <v>31</v>
      </c>
      <c r="B22" s="5" t="s">
        <v>32</v>
      </c>
    </row>
    <row r="24" customFormat="false" ht="15" hidden="false" customHeight="false" outlineLevel="0" collapsed="false">
      <c r="A24" s="3" t="s">
        <v>33</v>
      </c>
      <c r="B24" s="3"/>
    </row>
    <row r="25" customFormat="false" ht="15" hidden="false" customHeight="true" outlineLevel="0" collapsed="false">
      <c r="A25" s="4" t="s">
        <v>34</v>
      </c>
      <c r="B25" s="5" t="s">
        <v>35</v>
      </c>
    </row>
    <row r="26" customFormat="false" ht="15" hidden="false" customHeight="true" outlineLevel="0" collapsed="false">
      <c r="A26" s="4" t="s">
        <v>36</v>
      </c>
      <c r="B26" s="5" t="s">
        <v>37</v>
      </c>
    </row>
    <row r="27" customFormat="false" ht="15" hidden="false" customHeight="true" outlineLevel="0" collapsed="false">
      <c r="A27" s="4" t="s">
        <v>38</v>
      </c>
      <c r="B27" s="5" t="s">
        <v>39</v>
      </c>
    </row>
    <row r="28" customFormat="false" ht="15" hidden="false" customHeight="true" outlineLevel="0" collapsed="false">
      <c r="A28" s="4" t="s">
        <v>40</v>
      </c>
      <c r="B28" s="5" t="s">
        <v>41</v>
      </c>
    </row>
    <row r="29" customFormat="false" ht="15" hidden="false" customHeight="true" outlineLevel="0" collapsed="false">
      <c r="A29" s="4" t="s">
        <v>42</v>
      </c>
      <c r="B29" s="5" t="s">
        <v>43</v>
      </c>
    </row>
    <row r="31" customFormat="false" ht="15" hidden="false" customHeight="false" outlineLevel="0" collapsed="false">
      <c r="A31" s="3" t="s">
        <v>44</v>
      </c>
      <c r="B31" s="3"/>
    </row>
    <row r="32" customFormat="false" ht="15" hidden="false" customHeight="true" outlineLevel="0" collapsed="false">
      <c r="A32" s="4" t="s">
        <v>45</v>
      </c>
      <c r="B32" s="5" t="s">
        <v>46</v>
      </c>
    </row>
    <row r="33" customFormat="false" ht="15" hidden="false" customHeight="true" outlineLevel="0" collapsed="false">
      <c r="A33" s="4" t="s">
        <v>47</v>
      </c>
      <c r="B33" s="5" t="s">
        <v>48</v>
      </c>
    </row>
    <row r="34" customFormat="false" ht="15" hidden="false" customHeight="true" outlineLevel="0" collapsed="false">
      <c r="A34" s="4" t="s">
        <v>49</v>
      </c>
      <c r="B34" s="5" t="s">
        <v>50</v>
      </c>
    </row>
    <row r="35" customFormat="false" ht="15" hidden="false" customHeight="true" outlineLevel="0" collapsed="false">
      <c r="A35" s="4" t="s">
        <v>51</v>
      </c>
      <c r="B35" s="5" t="s">
        <v>52</v>
      </c>
    </row>
    <row r="37" customFormat="false" ht="15" hidden="false" customHeight="false" outlineLevel="0" collapsed="false">
      <c r="A37" s="3" t="s">
        <v>53</v>
      </c>
      <c r="B37" s="3"/>
    </row>
    <row r="38" customFormat="false" ht="40.5" hidden="false" customHeight="true" outlineLevel="0" collapsed="false">
      <c r="A38" s="4" t="s">
        <v>54</v>
      </c>
      <c r="B38" s="5" t="s">
        <v>55</v>
      </c>
    </row>
    <row r="39" customFormat="false" ht="27.75" hidden="false" customHeight="true" outlineLevel="0" collapsed="false">
      <c r="A39" s="4" t="s">
        <v>56</v>
      </c>
      <c r="B39" s="5" t="s">
        <v>57</v>
      </c>
    </row>
    <row r="40" customFormat="false" ht="27.75" hidden="false" customHeight="true" outlineLevel="0" collapsed="false">
      <c r="A40" s="4" t="s">
        <v>58</v>
      </c>
      <c r="B40" s="5" t="s">
        <v>59</v>
      </c>
    </row>
  </sheetData>
  <mergeCells count="6">
    <mergeCell ref="A4:B4"/>
    <mergeCell ref="A9:B9"/>
    <mergeCell ref="A16:B16"/>
    <mergeCell ref="A24:B24"/>
    <mergeCell ref="A31:B31"/>
    <mergeCell ref="A37:B37"/>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
    <col collapsed="false" customWidth="true" hidden="false" outlineLevel="0" max="20" min="3" style="0" width="10.51"/>
    <col collapsed="false" customWidth="true" hidden="false" outlineLevel="0" max="21" min="21" style="0" width="14"/>
    <col collapsed="false" customWidth="true" hidden="false" outlineLevel="0" max="22" min="22" style="0" width="34"/>
  </cols>
  <sheetData>
    <row r="1" customFormat="false" ht="18.55" hidden="false" customHeight="false" outlineLevel="0" collapsed="false">
      <c r="A1" s="1" t="s">
        <v>60</v>
      </c>
    </row>
    <row r="2" customFormat="false" ht="15" hidden="false" customHeight="false" outlineLevel="0" collapsed="false">
      <c r="A2" s="2" t="s">
        <v>61</v>
      </c>
    </row>
    <row r="4" customFormat="false" ht="18" hidden="false" customHeight="true" outlineLevel="0" collapsed="false">
      <c r="A4" s="6" t="s">
        <v>62</v>
      </c>
      <c r="B4" s="6"/>
      <c r="C4" s="6"/>
      <c r="D4" s="6"/>
      <c r="E4" s="6"/>
      <c r="F4" s="6"/>
      <c r="G4" s="6"/>
      <c r="H4" s="6"/>
      <c r="I4" s="6"/>
      <c r="J4" s="6"/>
      <c r="K4" s="6"/>
      <c r="L4" s="6"/>
      <c r="M4" s="6"/>
      <c r="N4" s="6"/>
      <c r="O4" s="6"/>
      <c r="P4" s="6"/>
      <c r="Q4" s="6"/>
      <c r="R4" s="6"/>
      <c r="S4" s="6"/>
      <c r="T4" s="6"/>
      <c r="U4" s="6"/>
      <c r="V4" s="6"/>
    </row>
    <row r="5" customFormat="false" ht="27.75" hidden="false" customHeight="true" outlineLevel="0" collapsed="false">
      <c r="A5" s="4" t="s">
        <v>63</v>
      </c>
      <c r="B5" s="4"/>
      <c r="C5" s="7" t="str">
        <f aca="false">"Maruti, Hyundai, M&amp;M and Tata PV exit FY26 with "&amp;TEXT(C56/1000000,"0.0")&amp;"m units of capacity; Tier 1 + Tier 2 projects take this to "&amp;TEXT(H56/1000000,"0.0")&amp;"m (+"&amp;TEXT(H56/C56-1,"0%")&amp;"), led by Maruti and M&amp;M."</f>
        <v>Maruti, Hyundai, M&amp;M and Tata PV exit FY26 with 5.1m units of capacity; Tier 1 + Tier 2 projects take this to 7.8m (+53%), led by Maruti and M&amp;M.</v>
      </c>
      <c r="D5" s="7"/>
      <c r="E5" s="7"/>
      <c r="F5" s="7"/>
      <c r="G5" s="7"/>
      <c r="H5" s="7"/>
      <c r="I5" s="7"/>
      <c r="J5" s="7"/>
      <c r="K5" s="7"/>
      <c r="L5" s="7"/>
      <c r="M5" s="7"/>
      <c r="N5" s="7"/>
      <c r="O5" s="7"/>
      <c r="P5" s="7"/>
      <c r="Q5" s="7"/>
      <c r="R5" s="7"/>
      <c r="S5" s="7"/>
      <c r="T5" s="7"/>
      <c r="U5" s="7"/>
      <c r="V5" s="7"/>
    </row>
    <row r="6" customFormat="false" ht="27.75" hidden="false" customHeight="true" outlineLevel="0" collapsed="false">
      <c r="A6" s="4" t="s">
        <v>64</v>
      </c>
      <c r="B6" s="4"/>
      <c r="C6" s="7" t="str">
        <f aca="false">"FY26 utilisation is tight at Maruti ("&amp;TEXT(L29,"0%")&amp;"), TVS ("&amp;TEXT(L36,"0%")&amp;"), M&amp;M ("&amp;TEXT(L31,"0%")&amp;") and Royal Enfield ("&amp;TEXT(L37,"0%")&amp;"); loose at Ola ("&amp;TEXT(L39,"0%")&amp;"), Ather ("&amp;TEXT(L40,"0%")&amp;"), Bajaj ("&amp;TEXT(L35,"0%")&amp;"), Tata PV ("&amp;TEXT(L32,"0%")&amp;") and Hyundai ("&amp;TEXT(L30,"0%")&amp;", diluted by Talegaon)."</f>
        <v>FY26 utilisation is tight at Maruti (98%), TVS (87%), M&amp;M (85%) and Royal Enfield (85%); loose at Ola (16%), Ather (57%), Bajaj (71%), Tata PV (71%) and Hyundai (77%, diluted by Talegaon).</v>
      </c>
      <c r="D6" s="7"/>
      <c r="E6" s="7"/>
      <c r="F6" s="7"/>
      <c r="G6" s="7"/>
      <c r="H6" s="7"/>
      <c r="I6" s="7"/>
      <c r="J6" s="7"/>
      <c r="K6" s="7"/>
      <c r="L6" s="7"/>
      <c r="M6" s="7"/>
      <c r="N6" s="7"/>
      <c r="O6" s="7"/>
      <c r="P6" s="7"/>
      <c r="Q6" s="7"/>
      <c r="R6" s="7"/>
      <c r="S6" s="7"/>
      <c r="T6" s="7"/>
      <c r="U6" s="7"/>
      <c r="V6" s="7"/>
    </row>
    <row r="7" customFormat="false" ht="27.75" hidden="false" customHeight="true" outlineLevel="0" collapsed="false">
      <c r="A7" s="4" t="s">
        <v>65</v>
      </c>
      <c r="B7" s="4"/>
      <c r="C7" s="7" t="str">
        <f aca="false">"Since Revised Schedule VI (FY12) capacity disclosure is voluntary: Tata CV, Ashok Leyland and Hero have no current company total in sources reviewed; see Gap Register for the documents that fill each series."</f>
        <v>Since Revised Schedule VI (FY12) capacity disclosure is voluntary: Tata CV, Ashok Leyland and Hero have no current company total in sources reviewed; see Gap Register for the documents that fill each series.</v>
      </c>
      <c r="D7" s="7"/>
      <c r="E7" s="7"/>
      <c r="F7" s="7"/>
      <c r="G7" s="7"/>
      <c r="H7" s="7"/>
      <c r="I7" s="7"/>
      <c r="J7" s="7"/>
      <c r="K7" s="7"/>
      <c r="L7" s="7"/>
      <c r="M7" s="7"/>
      <c r="N7" s="7"/>
      <c r="O7" s="7"/>
      <c r="P7" s="7"/>
      <c r="Q7" s="7"/>
      <c r="R7" s="7"/>
      <c r="S7" s="7"/>
      <c r="T7" s="7"/>
      <c r="U7" s="7"/>
      <c r="V7" s="7"/>
    </row>
    <row r="8" customFormat="false" ht="27.75" hidden="false" customHeight="true" outlineLevel="0" collapsed="false">
      <c r="A8" s="4" t="s">
        <v>66</v>
      </c>
      <c r="B8" s="4"/>
      <c r="C8" s="7" t="str">
        <f aca="false">"Ola runs at "&amp;TEXT(L39,"0%")&amp;" of its 1.0m line while others add EV capacity: Bajaj Chetak 50k -&gt; 60k/month, TVS EV to 50k/month, Hero Vida 25k -&gt; 50k+/month, Ather +500k at AURIC (Q3FY27)."</f>
        <v>Ola runs at 16% of its 1.0m line while others add EV capacity: Bajaj Chetak 50k -&gt; 60k/month, TVS EV to 50k/month, Hero Vida 25k -&gt; 50k+/month, Ather +500k at AURIC (Q3FY27).</v>
      </c>
      <c r="D8" s="7"/>
      <c r="E8" s="7"/>
      <c r="F8" s="7"/>
      <c r="G8" s="7"/>
      <c r="H8" s="7"/>
      <c r="I8" s="7"/>
      <c r="J8" s="7"/>
      <c r="K8" s="7"/>
      <c r="L8" s="7"/>
      <c r="M8" s="7"/>
      <c r="N8" s="7"/>
      <c r="O8" s="7"/>
      <c r="P8" s="7"/>
      <c r="Q8" s="7"/>
      <c r="R8" s="7"/>
      <c r="S8" s="7"/>
      <c r="T8" s="7"/>
      <c r="U8" s="7"/>
      <c r="V8" s="7"/>
    </row>
    <row r="9" customFormat="false" ht="27.75" hidden="false" customHeight="true" outlineLevel="0" collapsed="false">
      <c r="A9" s="4" t="s">
        <v>67</v>
      </c>
      <c r="B9" s="4"/>
      <c r="C9" s="7" t="str">
        <f aca="false">"Maruti's gap to 4.0m is "&amp;TEXT(M44/1000000,"0.0")&amp;"m; Tata PV's gap to 1.3m is "&amp;TEXT(M47/1000,"0")&amp;"k (debottlenecking not yet quantified); M&amp;M's visible pipeline exceeds its 2x target by "&amp;TEXT(-M46/1000,"0")&amp;"k."</f>
        <v>Maruti's gap to 4.0m is 0.1m; Tata PV's gap to 1.3m is 100k (debottlenecking not yet quantified); M&amp;M's visible pipeline exceeds its 2x target by 36k.</v>
      </c>
      <c r="D9" s="7"/>
      <c r="E9" s="7"/>
      <c r="F9" s="7"/>
      <c r="G9" s="7"/>
      <c r="H9" s="7"/>
      <c r="I9" s="7"/>
      <c r="J9" s="7"/>
      <c r="K9" s="7"/>
      <c r="L9" s="7"/>
      <c r="M9" s="7"/>
      <c r="N9" s="7"/>
      <c r="O9" s="7"/>
      <c r="P9" s="7"/>
      <c r="Q9" s="7"/>
      <c r="R9" s="7"/>
      <c r="S9" s="7"/>
      <c r="T9" s="7"/>
      <c r="U9" s="7"/>
      <c r="V9" s="7"/>
    </row>
    <row r="11" customFormat="false" ht="18" hidden="false" customHeight="true" outlineLevel="0" collapsed="false">
      <c r="A11" s="6" t="s">
        <v>68</v>
      </c>
      <c r="B11" s="6"/>
      <c r="C11" s="6"/>
      <c r="D11" s="6"/>
      <c r="E11" s="6"/>
      <c r="F11" s="6"/>
      <c r="G11" s="6"/>
      <c r="H11" s="6"/>
      <c r="I11" s="6"/>
      <c r="J11" s="6"/>
      <c r="K11" s="6"/>
      <c r="L11" s="6"/>
      <c r="M11" s="6"/>
      <c r="N11" s="6"/>
      <c r="O11" s="6"/>
      <c r="P11" s="6"/>
      <c r="Q11" s="6"/>
      <c r="R11" s="6"/>
      <c r="S11" s="6"/>
      <c r="T11" s="6"/>
      <c r="U11" s="6"/>
      <c r="V11" s="6"/>
    </row>
    <row r="12" customFormat="false" ht="27.75" hidden="false" customHeight="true" outlineLevel="0" collapsed="false">
      <c r="A12" s="8" t="s">
        <v>69</v>
      </c>
      <c r="B12" s="8" t="s">
        <v>70</v>
      </c>
      <c r="C12" s="9" t="s">
        <v>71</v>
      </c>
      <c r="D12" s="9" t="s">
        <v>72</v>
      </c>
      <c r="E12" s="9" t="s">
        <v>73</v>
      </c>
      <c r="F12" s="9" t="s">
        <v>74</v>
      </c>
      <c r="G12" s="9" t="s">
        <v>75</v>
      </c>
      <c r="H12" s="9" t="s">
        <v>76</v>
      </c>
      <c r="I12" s="9" t="s">
        <v>77</v>
      </c>
      <c r="J12" s="9" t="s">
        <v>78</v>
      </c>
      <c r="K12" s="9" t="s">
        <v>79</v>
      </c>
      <c r="L12" s="9" t="s">
        <v>80</v>
      </c>
      <c r="M12" s="9" t="s">
        <v>81</v>
      </c>
      <c r="N12" s="9" t="s">
        <v>82</v>
      </c>
      <c r="O12" s="9" t="s">
        <v>83</v>
      </c>
      <c r="P12" s="9" t="s">
        <v>84</v>
      </c>
      <c r="Q12" s="9" t="s">
        <v>85</v>
      </c>
      <c r="R12" s="9" t="s">
        <v>86</v>
      </c>
      <c r="S12" s="9" t="s">
        <v>87</v>
      </c>
      <c r="T12" s="9" t="s">
        <v>88</v>
      </c>
      <c r="U12" s="8" t="s">
        <v>89</v>
      </c>
      <c r="V12" s="8"/>
    </row>
    <row r="13" customFormat="false" ht="27.75" hidden="false" customHeight="true" outlineLevel="0" collapsed="false">
      <c r="A13" s="10" t="s">
        <v>90</v>
      </c>
      <c r="B13" s="5" t="s">
        <v>91</v>
      </c>
      <c r="C13" s="11" t="n">
        <f aca="false">IF(ISNUMBER('Maruti Suzuki'!C19),'Maruti Suzuki'!C19,"")</f>
        <v>1000000</v>
      </c>
      <c r="D13" s="11" t="n">
        <f aca="false">IF(ISNUMBER('Maruti Suzuki'!D19),'Maruti Suzuki'!D19,"")</f>
        <v>1200000</v>
      </c>
      <c r="E13" s="11" t="str">
        <f aca="false">IF(ISNUMBER('Maruti Suzuki'!E19),'Maruti Suzuki'!E19,"")</f>
        <v/>
      </c>
      <c r="F13" s="11" t="str">
        <f aca="false">IF(ISNUMBER('Maruti Suzuki'!F19),'Maruti Suzuki'!F19,"")</f>
        <v/>
      </c>
      <c r="G13" s="11" t="str">
        <f aca="false">IF(ISNUMBER('Maruti Suzuki'!G19),'Maruti Suzuki'!G19,"")</f>
        <v/>
      </c>
      <c r="H13" s="11" t="n">
        <f aca="false">IF(ISNUMBER('Maruti Suzuki'!H19),'Maruti Suzuki'!H19,"")</f>
        <v>1500000</v>
      </c>
      <c r="I13" s="11" t="n">
        <f aca="false">IF(ISNUMBER('Maruti Suzuki'!I19),'Maruti Suzuki'!I19,"")</f>
        <v>1500000</v>
      </c>
      <c r="J13" s="11" t="n">
        <f aca="false">IF(ISNUMBER('Maruti Suzuki'!J19),'Maruti Suzuki'!J19,"")</f>
        <v>1750000</v>
      </c>
      <c r="K13" s="11" t="n">
        <f aca="false">IF(ISNUMBER('Maruti Suzuki'!K19),'Maruti Suzuki'!K19,"")</f>
        <v>1750000</v>
      </c>
      <c r="L13" s="11" t="n">
        <f aca="false">IF(ISNUMBER('Maruti Suzuki'!L19),'Maruti Suzuki'!L19,"")</f>
        <v>2000000</v>
      </c>
      <c r="M13" s="11" t="n">
        <f aca="false">IF(ISNUMBER('Maruti Suzuki'!M19),'Maruti Suzuki'!M19,"")</f>
        <v>2000000</v>
      </c>
      <c r="N13" s="11" t="n">
        <f aca="false">IF(ISNUMBER('Maruti Suzuki'!N19),'Maruti Suzuki'!N19,"")</f>
        <v>2000000</v>
      </c>
      <c r="O13" s="11" t="n">
        <f aca="false">IF(ISNUMBER('Maruti Suzuki'!O19),'Maruti Suzuki'!O19,"")</f>
        <v>2250000</v>
      </c>
      <c r="P13" s="11" t="n">
        <f aca="false">IF(ISNUMBER('Maruti Suzuki'!P19),'Maruti Suzuki'!P19,"")</f>
        <v>2250000</v>
      </c>
      <c r="Q13" s="11" t="n">
        <f aca="false">IF(ISNUMBER('Maruti Suzuki'!Q19),'Maruti Suzuki'!Q19,"")</f>
        <v>2250000</v>
      </c>
      <c r="R13" s="11" t="n">
        <f aca="false">IF(ISNUMBER('Maruti Suzuki'!R19),'Maruti Suzuki'!R19,"")</f>
        <v>2600000</v>
      </c>
      <c r="S13" s="11" t="n">
        <f aca="false">IF(ISNUMBER('Maruti Suzuki'!S19),'Maruti Suzuki'!S19,"")</f>
        <v>2400000</v>
      </c>
      <c r="T13" s="12" t="n">
        <f aca="false">COUNT(C13:S13)</f>
        <v>14</v>
      </c>
      <c r="U13" s="13" t="str">
        <f aca="false">'Maruti Suzuki'!C7</f>
        <v>Annual vehicle production capacity as stated by MSIL/Suzuki (two-shift basis), all four sites</v>
      </c>
      <c r="V13" s="13"/>
    </row>
    <row r="14" customFormat="false" ht="27.75" hidden="false" customHeight="true" outlineLevel="0" collapsed="false">
      <c r="A14" s="10" t="s">
        <v>92</v>
      </c>
      <c r="B14" s="5" t="s">
        <v>91</v>
      </c>
      <c r="C14" s="11" t="n">
        <f aca="false">IF(ISNUMBER('Hyundai India'!C19),'Hyundai India'!C19,"")</f>
        <v>600000</v>
      </c>
      <c r="D14" s="11" t="str">
        <f aca="false">IF(ISNUMBER('Hyundai India'!D19),'Hyundai India'!D19,"")</f>
        <v/>
      </c>
      <c r="E14" s="11" t="str">
        <f aca="false">IF(ISNUMBER('Hyundai India'!E19),'Hyundai India'!E19,"")</f>
        <v/>
      </c>
      <c r="F14" s="11" t="str">
        <f aca="false">IF(ISNUMBER('Hyundai India'!F19),'Hyundai India'!F19,"")</f>
        <v/>
      </c>
      <c r="G14" s="11" t="str">
        <f aca="false">IF(ISNUMBER('Hyundai India'!G19),'Hyundai India'!G19,"")</f>
        <v/>
      </c>
      <c r="H14" s="11" t="str">
        <f aca="false">IF(ISNUMBER('Hyundai India'!H19),'Hyundai India'!H19,"")</f>
        <v/>
      </c>
      <c r="I14" s="11" t="n">
        <f aca="false">IF(ISNUMBER('Hyundai India'!I19),'Hyundai India'!I19,"")</f>
        <v>680000</v>
      </c>
      <c r="J14" s="11" t="str">
        <f aca="false">IF(ISNUMBER('Hyundai India'!J19),'Hyundai India'!J19,"")</f>
        <v/>
      </c>
      <c r="K14" s="11" t="n">
        <f aca="false">IF(ISNUMBER('Hyundai India'!K19),'Hyundai India'!K19,"")</f>
        <v>700000</v>
      </c>
      <c r="L14" s="11" t="n">
        <f aca="false">IF(ISNUMBER('Hyundai India'!L19),'Hyundai India'!L19,"")</f>
        <v>750000</v>
      </c>
      <c r="M14" s="11" t="n">
        <f aca="false">IF(ISNUMBER('Hyundai India'!M19),'Hyundai India'!M19,"")</f>
        <v>750000</v>
      </c>
      <c r="N14" s="11" t="n">
        <f aca="false">IF(ISNUMBER('Hyundai India'!N19),'Hyundai India'!N19,"")</f>
        <v>750000</v>
      </c>
      <c r="O14" s="11" t="n">
        <f aca="false">IF(ISNUMBER('Hyundai India'!O19),'Hyundai India'!O19,"")</f>
        <v>758000</v>
      </c>
      <c r="P14" s="11" t="n">
        <f aca="false">IF(ISNUMBER('Hyundai India'!P19),'Hyundai India'!P19,"")</f>
        <v>770000</v>
      </c>
      <c r="Q14" s="11" t="n">
        <f aca="false">IF(ISNUMBER('Hyundai India'!Q19),'Hyundai India'!Q19,"")</f>
        <v>824000</v>
      </c>
      <c r="R14" s="11" t="n">
        <f aca="false">IF(ISNUMBER('Hyundai India'!R19),'Hyundai India'!R19,"")</f>
        <v>824000</v>
      </c>
      <c r="S14" s="11" t="n">
        <f aca="false">IF(ISNUMBER('Hyundai India'!S19),'Hyundai India'!S19,"")</f>
        <v>994000</v>
      </c>
      <c r="T14" s="12" t="n">
        <f aca="false">COUNT(C14:S14)</f>
        <v>11</v>
      </c>
      <c r="U14" s="13" t="str">
        <f aca="false">'Hyundai India'!C7</f>
        <v>Installed annual vehicle capacity per HMIL (DRHP/AR basis)</v>
      </c>
      <c r="V14" s="13"/>
    </row>
    <row r="15" customFormat="false" ht="27.75" hidden="false" customHeight="true" outlineLevel="0" collapsed="false">
      <c r="A15" s="10" t="s">
        <v>93</v>
      </c>
      <c r="B15" s="5" t="s">
        <v>91</v>
      </c>
      <c r="C15" s="11" t="str">
        <f aca="false">IF(ISNUMBER('M&amp;M'!C19),'M&amp;M'!C19,"")</f>
        <v/>
      </c>
      <c r="D15" s="11" t="str">
        <f aca="false">IF(ISNUMBER('M&amp;M'!D19),'M&amp;M'!D19,"")</f>
        <v/>
      </c>
      <c r="E15" s="11" t="str">
        <f aca="false">IF(ISNUMBER('M&amp;M'!E19),'M&amp;M'!E19,"")</f>
        <v/>
      </c>
      <c r="F15" s="11" t="str">
        <f aca="false">IF(ISNUMBER('M&amp;M'!F19),'M&amp;M'!F19,"")</f>
        <v/>
      </c>
      <c r="G15" s="11" t="str">
        <f aca="false">IF(ISNUMBER('M&amp;M'!G19),'M&amp;M'!G19,"")</f>
        <v/>
      </c>
      <c r="H15" s="11" t="str">
        <f aca="false">IF(ISNUMBER('M&amp;M'!H19),'M&amp;M'!H19,"")</f>
        <v/>
      </c>
      <c r="I15" s="11" t="str">
        <f aca="false">IF(ISNUMBER('M&amp;M'!I19),'M&amp;M'!I19,"")</f>
        <v/>
      </c>
      <c r="J15" s="11" t="str">
        <f aca="false">IF(ISNUMBER('M&amp;M'!J19),'M&amp;M'!J19,"")</f>
        <v/>
      </c>
      <c r="K15" s="11" t="str">
        <f aca="false">IF(ISNUMBER('M&amp;M'!K19),'M&amp;M'!K19,"")</f>
        <v/>
      </c>
      <c r="L15" s="11" t="str">
        <f aca="false">IF(ISNUMBER('M&amp;M'!L19),'M&amp;M'!L19,"")</f>
        <v/>
      </c>
      <c r="M15" s="11" t="n">
        <f aca="false">IF(ISNUMBER('M&amp;M'!M19),'M&amp;M'!M19,"")</f>
        <v>228000</v>
      </c>
      <c r="N15" s="11" t="str">
        <f aca="false">IF(ISNUMBER('M&amp;M'!N19),'M&amp;M'!N19,"")</f>
        <v/>
      </c>
      <c r="O15" s="11" t="n">
        <f aca="false">IF(ISNUMBER('M&amp;M'!O19),'M&amp;M'!O19,"")</f>
        <v>348000</v>
      </c>
      <c r="P15" s="11" t="n">
        <f aca="false">IF(ISNUMBER('M&amp;M'!P19),'M&amp;M'!P19,"")</f>
        <v>468000</v>
      </c>
      <c r="Q15" s="11" t="n">
        <f aca="false">IF(ISNUMBER('M&amp;M'!Q19),'M&amp;M'!Q19,"")</f>
        <v>588000</v>
      </c>
      <c r="R15" s="11" t="n">
        <f aca="false">IF(ISNUMBER('M&amp;M'!R19),'M&amp;M'!R19,"")</f>
        <v>708000</v>
      </c>
      <c r="S15" s="11" t="n">
        <f aca="false">IF(ISNUMBER('M&amp;M'!S19),'M&amp;M'!S19,"")</f>
        <v>774000</v>
      </c>
      <c r="T15" s="12" t="n">
        <f aca="false">COUNT(C15:S15)</f>
        <v>6</v>
      </c>
      <c r="U15" s="13" t="str">
        <f aca="false">'M&amp;M'!C7</f>
        <v>Operational SUV capacity, units/month x 12 (ICE 56.5k + BEV 8k at FY26 exit)</v>
      </c>
      <c r="V15" s="13"/>
    </row>
    <row r="16" customFormat="false" ht="40.5" hidden="false" customHeight="true" outlineLevel="0" collapsed="false">
      <c r="A16" s="10" t="s">
        <v>94</v>
      </c>
      <c r="B16" s="5" t="s">
        <v>91</v>
      </c>
      <c r="C16" s="11" t="str">
        <f aca="false">IF(ISNUMBER('Tata PV'!C19),'Tata PV'!C19,"")</f>
        <v/>
      </c>
      <c r="D16" s="11" t="str">
        <f aca="false">IF(ISNUMBER('Tata PV'!D19),'Tata PV'!D19,"")</f>
        <v/>
      </c>
      <c r="E16" s="11" t="str">
        <f aca="false">IF(ISNUMBER('Tata PV'!E19),'Tata PV'!E19,"")</f>
        <v/>
      </c>
      <c r="F16" s="11" t="str">
        <f aca="false">IF(ISNUMBER('Tata PV'!F19),'Tata PV'!F19,"")</f>
        <v/>
      </c>
      <c r="G16" s="11" t="str">
        <f aca="false">IF(ISNUMBER('Tata PV'!G19),'Tata PV'!G19,"")</f>
        <v/>
      </c>
      <c r="H16" s="11" t="str">
        <f aca="false">IF(ISNUMBER('Tata PV'!H19),'Tata PV'!H19,"")</f>
        <v/>
      </c>
      <c r="I16" s="11" t="str">
        <f aca="false">IF(ISNUMBER('Tata PV'!I19),'Tata PV'!I19,"")</f>
        <v/>
      </c>
      <c r="J16" s="11" t="str">
        <f aca="false">IF(ISNUMBER('Tata PV'!J19),'Tata PV'!J19,"")</f>
        <v/>
      </c>
      <c r="K16" s="11" t="str">
        <f aca="false">IF(ISNUMBER('Tata PV'!K19),'Tata PV'!K19,"")</f>
        <v/>
      </c>
      <c r="L16" s="11" t="str">
        <f aca="false">IF(ISNUMBER('Tata PV'!L19),'Tata PV'!L19,"")</f>
        <v/>
      </c>
      <c r="M16" s="11" t="str">
        <f aca="false">IF(ISNUMBER('Tata PV'!M19),'Tata PV'!M19,"")</f>
        <v/>
      </c>
      <c r="N16" s="11" t="str">
        <f aca="false">IF(ISNUMBER('Tata PV'!N19),'Tata PV'!N19,"")</f>
        <v/>
      </c>
      <c r="O16" s="11" t="n">
        <f aca="false">IF(ISNUMBER('Tata PV'!O19),'Tata PV'!O19,"")</f>
        <v>480000</v>
      </c>
      <c r="P16" s="11" t="str">
        <f aca="false">IF(ISNUMBER('Tata PV'!P19),'Tata PV'!P19,"")</f>
        <v/>
      </c>
      <c r="Q16" s="11" t="str">
        <f aca="false">IF(ISNUMBER('Tata PV'!Q19),'Tata PV'!Q19,"")</f>
        <v/>
      </c>
      <c r="R16" s="11" t="str">
        <f aca="false">IF(ISNUMBER('Tata PV'!R19),'Tata PV'!R19,"")</f>
        <v/>
      </c>
      <c r="S16" s="11" t="n">
        <f aca="false">IF(ISNUMBER('Tata PV'!S19),'Tata PV'!S19,"")</f>
        <v>900000</v>
      </c>
      <c r="T16" s="12" t="n">
        <f aca="false">COUNT(C16:S16)</f>
        <v>2</v>
      </c>
      <c r="U16" s="13" t="str">
        <f aca="false">'Tata PV'!C7</f>
        <v>Installed PV capacity per management commentary (c.0.9m); Investor Day 2024 cited '1mn+' incl. expandable Sanand-2</v>
      </c>
      <c r="V16" s="13"/>
    </row>
    <row r="17" customFormat="false" ht="27.75" hidden="false" customHeight="true" outlineLevel="0" collapsed="false">
      <c r="A17" s="10" t="s">
        <v>95</v>
      </c>
      <c r="B17" s="5" t="s">
        <v>96</v>
      </c>
      <c r="C17" s="11" t="str">
        <f aca="false">IF(ISNUMBER('Tata CV'!C19),'Tata CV'!C19,"")</f>
        <v/>
      </c>
      <c r="D17" s="11" t="str">
        <f aca="false">IF(ISNUMBER('Tata CV'!D19),'Tata CV'!D19,"")</f>
        <v/>
      </c>
      <c r="E17" s="11" t="str">
        <f aca="false">IF(ISNUMBER('Tata CV'!E19),'Tata CV'!E19,"")</f>
        <v/>
      </c>
      <c r="F17" s="11" t="str">
        <f aca="false">IF(ISNUMBER('Tata CV'!F19),'Tata CV'!F19,"")</f>
        <v/>
      </c>
      <c r="G17" s="11" t="str">
        <f aca="false">IF(ISNUMBER('Tata CV'!G19),'Tata CV'!G19,"")</f>
        <v/>
      </c>
      <c r="H17" s="11" t="str">
        <f aca="false">IF(ISNUMBER('Tata CV'!H19),'Tata CV'!H19,"")</f>
        <v/>
      </c>
      <c r="I17" s="11" t="str">
        <f aca="false">IF(ISNUMBER('Tata CV'!I19),'Tata CV'!I19,"")</f>
        <v/>
      </c>
      <c r="J17" s="11" t="str">
        <f aca="false">IF(ISNUMBER('Tata CV'!J19),'Tata CV'!J19,"")</f>
        <v/>
      </c>
      <c r="K17" s="11" t="str">
        <f aca="false">IF(ISNUMBER('Tata CV'!K19),'Tata CV'!K19,"")</f>
        <v/>
      </c>
      <c r="L17" s="11" t="str">
        <f aca="false">IF(ISNUMBER('Tata CV'!L19),'Tata CV'!L19,"")</f>
        <v/>
      </c>
      <c r="M17" s="11" t="str">
        <f aca="false">IF(ISNUMBER('Tata CV'!M19),'Tata CV'!M19,"")</f>
        <v/>
      </c>
      <c r="N17" s="11" t="str">
        <f aca="false">IF(ISNUMBER('Tata CV'!N19),'Tata CV'!N19,"")</f>
        <v/>
      </c>
      <c r="O17" s="11" t="str">
        <f aca="false">IF(ISNUMBER('Tata CV'!O19),'Tata CV'!O19,"")</f>
        <v/>
      </c>
      <c r="P17" s="11" t="str">
        <f aca="false">IF(ISNUMBER('Tata CV'!P19),'Tata CV'!P19,"")</f>
        <v/>
      </c>
      <c r="Q17" s="11" t="str">
        <f aca="false">IF(ISNUMBER('Tata CV'!Q19),'Tata CV'!Q19,"")</f>
        <v/>
      </c>
      <c r="R17" s="11" t="str">
        <f aca="false">IF(ISNUMBER('Tata CV'!R19),'Tata CV'!R19,"")</f>
        <v/>
      </c>
      <c r="S17" s="11" t="str">
        <f aca="false">IF(ISNUMBER('Tata CV'!S19),'Tata CV'!S19,"")</f>
        <v/>
      </c>
      <c r="T17" s="12" t="n">
        <f aca="false">COUNT(C17:S17)</f>
        <v>0</v>
      </c>
      <c r="U17" s="13" t="str">
        <f aca="false">'Tata CV'!C7</f>
        <v>No consolidated CV installed capacity found in sources reviewed</v>
      </c>
      <c r="V17" s="13"/>
    </row>
    <row r="18" customFormat="false" ht="27.75" hidden="false" customHeight="true" outlineLevel="0" collapsed="false">
      <c r="A18" s="10" t="s">
        <v>97</v>
      </c>
      <c r="B18" s="5" t="s">
        <v>96</v>
      </c>
      <c r="C18" s="11" t="str">
        <f aca="false">IF(ISNUMBER('Ashok Leyland'!C19),'Ashok Leyland'!C19,"")</f>
        <v/>
      </c>
      <c r="D18" s="11" t="n">
        <f aca="false">IF(ISNUMBER('Ashok Leyland'!D19),'Ashok Leyland'!D19,"")</f>
        <v>150000</v>
      </c>
      <c r="E18" s="11" t="str">
        <f aca="false">IF(ISNUMBER('Ashok Leyland'!E19),'Ashok Leyland'!E19,"")</f>
        <v/>
      </c>
      <c r="F18" s="11" t="str">
        <f aca="false">IF(ISNUMBER('Ashok Leyland'!F19),'Ashok Leyland'!F19,"")</f>
        <v/>
      </c>
      <c r="G18" s="11" t="str">
        <f aca="false">IF(ISNUMBER('Ashok Leyland'!G19),'Ashok Leyland'!G19,"")</f>
        <v/>
      </c>
      <c r="H18" s="11" t="str">
        <f aca="false">IF(ISNUMBER('Ashok Leyland'!H19),'Ashok Leyland'!H19,"")</f>
        <v/>
      </c>
      <c r="I18" s="11" t="str">
        <f aca="false">IF(ISNUMBER('Ashok Leyland'!I19),'Ashok Leyland'!I19,"")</f>
        <v/>
      </c>
      <c r="J18" s="11" t="str">
        <f aca="false">IF(ISNUMBER('Ashok Leyland'!J19),'Ashok Leyland'!J19,"")</f>
        <v/>
      </c>
      <c r="K18" s="11" t="str">
        <f aca="false">IF(ISNUMBER('Ashok Leyland'!K19),'Ashok Leyland'!K19,"")</f>
        <v/>
      </c>
      <c r="L18" s="11" t="str">
        <f aca="false">IF(ISNUMBER('Ashok Leyland'!L19),'Ashok Leyland'!L19,"")</f>
        <v/>
      </c>
      <c r="M18" s="11" t="str">
        <f aca="false">IF(ISNUMBER('Ashok Leyland'!M19),'Ashok Leyland'!M19,"")</f>
        <v/>
      </c>
      <c r="N18" s="11" t="str">
        <f aca="false">IF(ISNUMBER('Ashok Leyland'!N19),'Ashok Leyland'!N19,"")</f>
        <v/>
      </c>
      <c r="O18" s="11" t="str">
        <f aca="false">IF(ISNUMBER('Ashok Leyland'!O19),'Ashok Leyland'!O19,"")</f>
        <v/>
      </c>
      <c r="P18" s="11" t="str">
        <f aca="false">IF(ISNUMBER('Ashok Leyland'!P19),'Ashok Leyland'!P19,"")</f>
        <v/>
      </c>
      <c r="Q18" s="11" t="str">
        <f aca="false">IF(ISNUMBER('Ashok Leyland'!Q19),'Ashok Leyland'!Q19,"")</f>
        <v/>
      </c>
      <c r="R18" s="11" t="str">
        <f aca="false">IF(ISNUMBER('Ashok Leyland'!R19),'Ashok Leyland'!R19,"")</f>
        <v/>
      </c>
      <c r="S18" s="11" t="str">
        <f aca="false">IF(ISNUMBER('Ashok Leyland'!S19),'Ashok Leyland'!S19,"")</f>
        <v/>
      </c>
      <c r="T18" s="12" t="n">
        <f aca="false">COUNT(C18:S18)</f>
        <v>1</v>
      </c>
      <c r="U18" s="13" t="str">
        <f aca="false">'Ashok Leyland'!C7</f>
        <v>Installed capacity across seven plants (2010); no later company total found</v>
      </c>
      <c r="V18" s="13"/>
    </row>
    <row r="19" customFormat="false" ht="15" hidden="false" customHeight="true" outlineLevel="0" collapsed="false">
      <c r="A19" s="10" t="s">
        <v>98</v>
      </c>
      <c r="B19" s="5" t="s">
        <v>99</v>
      </c>
      <c r="C19" s="11" t="str">
        <f aca="false">IF(ISNUMBER('Bajaj Auto'!C19),'Bajaj Auto'!C19,"")</f>
        <v/>
      </c>
      <c r="D19" s="11" t="n">
        <f aca="false">IF(ISNUMBER('Bajaj Auto'!D19),'Bajaj Auto'!D19,"")</f>
        <v>5040000</v>
      </c>
      <c r="E19" s="11" t="n">
        <f aca="false">IF(ISNUMBER('Bajaj Auto'!E19),'Bajaj Auto'!E19,"")</f>
        <v>5040000</v>
      </c>
      <c r="F19" s="11" t="str">
        <f aca="false">IF(ISNUMBER('Bajaj Auto'!F19),'Bajaj Auto'!F19,"")</f>
        <v/>
      </c>
      <c r="G19" s="11" t="str">
        <f aca="false">IF(ISNUMBER('Bajaj Auto'!G19),'Bajaj Auto'!G19,"")</f>
        <v/>
      </c>
      <c r="H19" s="11" t="n">
        <f aca="false">IF(ISNUMBER('Bajaj Auto'!H19),'Bajaj Auto'!H19,"")</f>
        <v>6060000</v>
      </c>
      <c r="I19" s="11" t="str">
        <f aca="false">IF(ISNUMBER('Bajaj Auto'!I19),'Bajaj Auto'!I19,"")</f>
        <v/>
      </c>
      <c r="J19" s="11" t="str">
        <f aca="false">IF(ISNUMBER('Bajaj Auto'!J19),'Bajaj Auto'!J19,"")</f>
        <v/>
      </c>
      <c r="K19" s="11" t="str">
        <f aca="false">IF(ISNUMBER('Bajaj Auto'!K19),'Bajaj Auto'!K19,"")</f>
        <v/>
      </c>
      <c r="L19" s="11" t="str">
        <f aca="false">IF(ISNUMBER('Bajaj Auto'!L19),'Bajaj Auto'!L19,"")</f>
        <v/>
      </c>
      <c r="M19" s="11" t="str">
        <f aca="false">IF(ISNUMBER('Bajaj Auto'!M19),'Bajaj Auto'!M19,"")</f>
        <v/>
      </c>
      <c r="N19" s="11" t="n">
        <f aca="false">IF(ISNUMBER('Bajaj Auto'!N19),'Bajaj Auto'!N19,"")</f>
        <v>6330000</v>
      </c>
      <c r="O19" s="11" t="str">
        <f aca="false">IF(ISNUMBER('Bajaj Auto'!O19),'Bajaj Auto'!O19,"")</f>
        <v/>
      </c>
      <c r="P19" s="11" t="str">
        <f aca="false">IF(ISNUMBER('Bajaj Auto'!P19),'Bajaj Auto'!P19,"")</f>
        <v/>
      </c>
      <c r="Q19" s="11" t="n">
        <f aca="false">IF(ISNUMBER('Bajaj Auto'!Q19),'Bajaj Auto'!Q19,"")</f>
        <v>7100000</v>
      </c>
      <c r="R19" s="11" t="str">
        <f aca="false">IF(ISNUMBER('Bajaj Auto'!R19),'Bajaj Auto'!R19,"")</f>
        <v/>
      </c>
      <c r="S19" s="11" t="n">
        <f aca="false">IF(ISNUMBER('Bajaj Auto'!S19),'Bajaj Auto'!S19,"")</f>
        <v>7200000</v>
      </c>
      <c r="T19" s="12" t="n">
        <f aca="false">COUNT(C19:S19)</f>
        <v>6</v>
      </c>
      <c r="U19" s="13" t="str">
        <f aca="false">'Bajaj Auto'!C7</f>
        <v>Installed capacity, 2W + 3W (company statements)</v>
      </c>
      <c r="V19" s="13"/>
    </row>
    <row r="20" customFormat="false" ht="27.75" hidden="false" customHeight="true" outlineLevel="0" collapsed="false">
      <c r="A20" s="10" t="s">
        <v>100</v>
      </c>
      <c r="B20" s="5" t="s">
        <v>99</v>
      </c>
      <c r="C20" s="11" t="str">
        <f aca="false">IF(ISNUMBER('TVS Motor'!C19),'TVS Motor'!C19,"")</f>
        <v/>
      </c>
      <c r="D20" s="11" t="str">
        <f aca="false">IF(ISNUMBER('TVS Motor'!D19),'TVS Motor'!D19,"")</f>
        <v/>
      </c>
      <c r="E20" s="11" t="str">
        <f aca="false">IF(ISNUMBER('TVS Motor'!E19),'TVS Motor'!E19,"")</f>
        <v/>
      </c>
      <c r="F20" s="11" t="str">
        <f aca="false">IF(ISNUMBER('TVS Motor'!F19),'TVS Motor'!F19,"")</f>
        <v/>
      </c>
      <c r="G20" s="11" t="str">
        <f aca="false">IF(ISNUMBER('TVS Motor'!G19),'TVS Motor'!G19,"")</f>
        <v/>
      </c>
      <c r="H20" s="11" t="str">
        <f aca="false">IF(ISNUMBER('TVS Motor'!H19),'TVS Motor'!H19,"")</f>
        <v/>
      </c>
      <c r="I20" s="11" t="str">
        <f aca="false">IF(ISNUMBER('TVS Motor'!I19),'TVS Motor'!I19,"")</f>
        <v/>
      </c>
      <c r="J20" s="11" t="str">
        <f aca="false">IF(ISNUMBER('TVS Motor'!J19),'TVS Motor'!J19,"")</f>
        <v/>
      </c>
      <c r="K20" s="11" t="str">
        <f aca="false">IF(ISNUMBER('TVS Motor'!K19),'TVS Motor'!K19,"")</f>
        <v/>
      </c>
      <c r="L20" s="11" t="str">
        <f aca="false">IF(ISNUMBER('TVS Motor'!L19),'TVS Motor'!L19,"")</f>
        <v/>
      </c>
      <c r="M20" s="11" t="str">
        <f aca="false">IF(ISNUMBER('TVS Motor'!M19),'TVS Motor'!M19,"")</f>
        <v/>
      </c>
      <c r="N20" s="11" t="str">
        <f aca="false">IF(ISNUMBER('TVS Motor'!N19),'TVS Motor'!N19,"")</f>
        <v/>
      </c>
      <c r="O20" s="11" t="str">
        <f aca="false">IF(ISNUMBER('TVS Motor'!O19),'TVS Motor'!O19,"")</f>
        <v/>
      </c>
      <c r="P20" s="11" t="n">
        <f aca="false">IF(ISNUMBER('TVS Motor'!P19),'TVS Motor'!P19,"")</f>
        <v>5190000</v>
      </c>
      <c r="Q20" s="11" t="str">
        <f aca="false">IF(ISNUMBER('TVS Motor'!Q19),'TVS Motor'!Q19,"")</f>
        <v/>
      </c>
      <c r="R20" s="11" t="str">
        <f aca="false">IF(ISNUMBER('TVS Motor'!R19),'TVS Motor'!R19,"")</f>
        <v/>
      </c>
      <c r="S20" s="11" t="n">
        <f aca="false">IF(ISNUMBER('TVS Motor'!S19),'TVS Motor'!S19,"")</f>
        <v>6800000</v>
      </c>
      <c r="T20" s="12" t="n">
        <f aca="false">COUNT(C20:S20)</f>
        <v>2</v>
      </c>
      <c r="U20" s="13" t="str">
        <f aca="false">'TVS Motor'!C7</f>
        <v>Total annual capacity per management (May-2026); earlier website figures split 2W/3W</v>
      </c>
      <c r="V20" s="13"/>
    </row>
    <row r="21" customFormat="false" ht="27.75" hidden="false" customHeight="true" outlineLevel="0" collapsed="false">
      <c r="A21" s="10" t="s">
        <v>101</v>
      </c>
      <c r="B21" s="5" t="s">
        <v>102</v>
      </c>
      <c r="C21" s="11" t="str">
        <f aca="false">IF(ISNUMBER('Royal Enfield'!C19),'Royal Enfield'!C19,"")</f>
        <v/>
      </c>
      <c r="D21" s="11" t="str">
        <f aca="false">IF(ISNUMBER('Royal Enfield'!D19),'Royal Enfield'!D19,"")</f>
        <v/>
      </c>
      <c r="E21" s="11" t="str">
        <f aca="false">IF(ISNUMBER('Royal Enfield'!E19),'Royal Enfield'!E19,"")</f>
        <v/>
      </c>
      <c r="F21" s="11" t="str">
        <f aca="false">IF(ISNUMBER('Royal Enfield'!F19),'Royal Enfield'!F19,"")</f>
        <v/>
      </c>
      <c r="G21" s="11" t="str">
        <f aca="false">IF(ISNUMBER('Royal Enfield'!G19),'Royal Enfield'!G19,"")</f>
        <v/>
      </c>
      <c r="H21" s="11" t="str">
        <f aca="false">IF(ISNUMBER('Royal Enfield'!H19),'Royal Enfield'!H19,"")</f>
        <v/>
      </c>
      <c r="I21" s="11" t="str">
        <f aca="false">IF(ISNUMBER('Royal Enfield'!I19),'Royal Enfield'!I19,"")</f>
        <v/>
      </c>
      <c r="J21" s="11" t="str">
        <f aca="false">IF(ISNUMBER('Royal Enfield'!J19),'Royal Enfield'!J19,"")</f>
        <v/>
      </c>
      <c r="K21" s="11" t="n">
        <f aca="false">IF(ISNUMBER('Royal Enfield'!K19),'Royal Enfield'!K19,"")</f>
        <v>825000</v>
      </c>
      <c r="L21" s="11" t="n">
        <f aca="false">IF(ISNUMBER('Royal Enfield'!L19),'Royal Enfield'!L19,"")</f>
        <v>950000</v>
      </c>
      <c r="M21" s="11" t="str">
        <f aca="false">IF(ISNUMBER('Royal Enfield'!M19),'Royal Enfield'!M19,"")</f>
        <v/>
      </c>
      <c r="N21" s="11" t="str">
        <f aca="false">IF(ISNUMBER('Royal Enfield'!N19),'Royal Enfield'!N19,"")</f>
        <v/>
      </c>
      <c r="O21" s="11" t="str">
        <f aca="false">IF(ISNUMBER('Royal Enfield'!O19),'Royal Enfield'!O19,"")</f>
        <v/>
      </c>
      <c r="P21" s="11" t="str">
        <f aca="false">IF(ISNUMBER('Royal Enfield'!P19),'Royal Enfield'!P19,"")</f>
        <v/>
      </c>
      <c r="Q21" s="11" t="str">
        <f aca="false">IF(ISNUMBER('Royal Enfield'!Q19),'Royal Enfield'!Q19,"")</f>
        <v/>
      </c>
      <c r="R21" s="11" t="str">
        <f aca="false">IF(ISNUMBER('Royal Enfield'!R19),'Royal Enfield'!R19,"")</f>
        <v/>
      </c>
      <c r="S21" s="11" t="n">
        <f aca="false">IF(ISNUMBER('Royal Enfield'!S19),'Royal Enfield'!S19,"")</f>
        <v>1460000</v>
      </c>
      <c r="T21" s="12" t="n">
        <f aca="false">COUNT(C21:S21)</f>
        <v>3</v>
      </c>
      <c r="U21" s="13" t="str">
        <f aca="false">'Royal Enfield'!C7</f>
        <v>Annual motorcycle capacity per Eicher ('around 14.6 lakh')</v>
      </c>
      <c r="V21" s="13"/>
    </row>
    <row r="22" customFormat="false" ht="27.75" hidden="false" customHeight="true" outlineLevel="0" collapsed="false">
      <c r="A22" s="10" t="s">
        <v>103</v>
      </c>
      <c r="B22" s="5" t="s">
        <v>102</v>
      </c>
      <c r="C22" s="11" t="str">
        <f aca="false">IF(ISNUMBER('Hero MotoCorp'!C19),'Hero MotoCorp'!C19,"")</f>
        <v/>
      </c>
      <c r="D22" s="11" t="str">
        <f aca="false">IF(ISNUMBER('Hero MotoCorp'!D19),'Hero MotoCorp'!D19,"")</f>
        <v/>
      </c>
      <c r="E22" s="11" t="str">
        <f aca="false">IF(ISNUMBER('Hero MotoCorp'!E19),'Hero MotoCorp'!E19,"")</f>
        <v/>
      </c>
      <c r="F22" s="11" t="str">
        <f aca="false">IF(ISNUMBER('Hero MotoCorp'!F19),'Hero MotoCorp'!F19,"")</f>
        <v/>
      </c>
      <c r="G22" s="11" t="str">
        <f aca="false">IF(ISNUMBER('Hero MotoCorp'!G19),'Hero MotoCorp'!G19,"")</f>
        <v/>
      </c>
      <c r="H22" s="11" t="n">
        <f aca="false">IF(ISNUMBER('Hero MotoCorp'!H19),'Hero MotoCorp'!H19,"")</f>
        <v>7650000</v>
      </c>
      <c r="I22" s="11" t="str">
        <f aca="false">IF(ISNUMBER('Hero MotoCorp'!I19),'Hero MotoCorp'!I19,"")</f>
        <v/>
      </c>
      <c r="J22" s="11" t="str">
        <f aca="false">IF(ISNUMBER('Hero MotoCorp'!J19),'Hero MotoCorp'!J19,"")</f>
        <v/>
      </c>
      <c r="K22" s="11" t="str">
        <f aca="false">IF(ISNUMBER('Hero MotoCorp'!K19),'Hero MotoCorp'!K19,"")</f>
        <v/>
      </c>
      <c r="L22" s="11" t="str">
        <f aca="false">IF(ISNUMBER('Hero MotoCorp'!L19),'Hero MotoCorp'!L19,"")</f>
        <v/>
      </c>
      <c r="M22" s="11" t="n">
        <f aca="false">IF(ISNUMBER('Hero MotoCorp'!M19),'Hero MotoCorp'!M19,"")</f>
        <v>9100000</v>
      </c>
      <c r="N22" s="11" t="str">
        <f aca="false">IF(ISNUMBER('Hero MotoCorp'!N19),'Hero MotoCorp'!N19,"")</f>
        <v/>
      </c>
      <c r="O22" s="11" t="str">
        <f aca="false">IF(ISNUMBER('Hero MotoCorp'!O19),'Hero MotoCorp'!O19,"")</f>
        <v/>
      </c>
      <c r="P22" s="11" t="str">
        <f aca="false">IF(ISNUMBER('Hero MotoCorp'!P19),'Hero MotoCorp'!P19,"")</f>
        <v/>
      </c>
      <c r="Q22" s="11" t="str">
        <f aca="false">IF(ISNUMBER('Hero MotoCorp'!Q19),'Hero MotoCorp'!Q19,"")</f>
        <v/>
      </c>
      <c r="R22" s="11" t="str">
        <f aca="false">IF(ISNUMBER('Hero MotoCorp'!R19),'Hero MotoCorp'!R19,"")</f>
        <v/>
      </c>
      <c r="S22" s="11" t="str">
        <f aca="false">IF(ISNUMBER('Hero MotoCorp'!S19),'Hero MotoCorp'!S19,"")</f>
        <v/>
      </c>
      <c r="T22" s="12" t="n">
        <f aca="false">COUNT(C22:S22)</f>
        <v>2</v>
      </c>
      <c r="U22" s="13" t="str">
        <f aca="false">'Hero MotoCorp'!C7</f>
        <v>Plant-wise design capacity (11.6m); operational 9.1m at Mar-2020 per secondary source</v>
      </c>
      <c r="V22" s="13"/>
    </row>
    <row r="23" customFormat="false" ht="27.75" hidden="false" customHeight="true" outlineLevel="0" collapsed="false">
      <c r="A23" s="10" t="s">
        <v>104</v>
      </c>
      <c r="B23" s="5" t="s">
        <v>105</v>
      </c>
      <c r="C23" s="11" t="str">
        <f aca="false">IF(ISNUMBER('Ola Electric'!C19),'Ola Electric'!C19,"")</f>
        <v/>
      </c>
      <c r="D23" s="11" t="str">
        <f aca="false">IF(ISNUMBER('Ola Electric'!D19),'Ola Electric'!D19,"")</f>
        <v/>
      </c>
      <c r="E23" s="11" t="str">
        <f aca="false">IF(ISNUMBER('Ola Electric'!E19),'Ola Electric'!E19,"")</f>
        <v/>
      </c>
      <c r="F23" s="11" t="str">
        <f aca="false">IF(ISNUMBER('Ola Electric'!F19),'Ola Electric'!F19,"")</f>
        <v/>
      </c>
      <c r="G23" s="11" t="str">
        <f aca="false">IF(ISNUMBER('Ola Electric'!G19),'Ola Electric'!G19,"")</f>
        <v/>
      </c>
      <c r="H23" s="11" t="str">
        <f aca="false">IF(ISNUMBER('Ola Electric'!H19),'Ola Electric'!H19,"")</f>
        <v/>
      </c>
      <c r="I23" s="11" t="str">
        <f aca="false">IF(ISNUMBER('Ola Electric'!I19),'Ola Electric'!I19,"")</f>
        <v/>
      </c>
      <c r="J23" s="11" t="str">
        <f aca="false">IF(ISNUMBER('Ola Electric'!J19),'Ola Electric'!J19,"")</f>
        <v/>
      </c>
      <c r="K23" s="11" t="str">
        <f aca="false">IF(ISNUMBER('Ola Electric'!K19),'Ola Electric'!K19,"")</f>
        <v/>
      </c>
      <c r="L23" s="11" t="str">
        <f aca="false">IF(ISNUMBER('Ola Electric'!L19),'Ola Electric'!L19,"")</f>
        <v/>
      </c>
      <c r="M23" s="11" t="str">
        <f aca="false">IF(ISNUMBER('Ola Electric'!M19),'Ola Electric'!M19,"")</f>
        <v/>
      </c>
      <c r="N23" s="11" t="str">
        <f aca="false">IF(ISNUMBER('Ola Electric'!N19),'Ola Electric'!N19,"")</f>
        <v/>
      </c>
      <c r="O23" s="11" t="n">
        <f aca="false">IF(ISNUMBER('Ola Electric'!O19),'Ola Electric'!O19,"")</f>
        <v>500000</v>
      </c>
      <c r="P23" s="11" t="str">
        <f aca="false">IF(ISNUMBER('Ola Electric'!P19),'Ola Electric'!P19,"")</f>
        <v/>
      </c>
      <c r="Q23" s="11" t="n">
        <f aca="false">IF(ISNUMBER('Ola Electric'!Q19),'Ola Electric'!Q19,"")</f>
        <v>1000000</v>
      </c>
      <c r="R23" s="11" t="str">
        <f aca="false">IF(ISNUMBER('Ola Electric'!R19),'Ola Electric'!R19,"")</f>
        <v/>
      </c>
      <c r="S23" s="11" t="str">
        <f aca="false">IF(ISNUMBER('Ola Electric'!S19),'Ola Electric'!S19,"")</f>
        <v/>
      </c>
      <c r="T23" s="12" t="n">
        <f aca="false">COUNT(C23:S23)</f>
        <v>2</v>
      </c>
      <c r="U23" s="13" t="str">
        <f aca="false">'Ola Electric'!C7</f>
        <v>Futurefactory installed vehicle capacity (DRHP); cells tracked separately in GWh</v>
      </c>
      <c r="V23" s="13"/>
    </row>
    <row r="24" customFormat="false" ht="15" hidden="false" customHeight="true" outlineLevel="0" collapsed="false">
      <c r="A24" s="10" t="s">
        <v>106</v>
      </c>
      <c r="B24" s="5" t="s">
        <v>105</v>
      </c>
      <c r="C24" s="11" t="str">
        <f aca="false">IF(ISNUMBER('Ather Energy'!C19),'Ather Energy'!C19,"")</f>
        <v/>
      </c>
      <c r="D24" s="11" t="str">
        <f aca="false">IF(ISNUMBER('Ather Energy'!D19),'Ather Energy'!D19,"")</f>
        <v/>
      </c>
      <c r="E24" s="11" t="str">
        <f aca="false">IF(ISNUMBER('Ather Energy'!E19),'Ather Energy'!E19,"")</f>
        <v/>
      </c>
      <c r="F24" s="11" t="str">
        <f aca="false">IF(ISNUMBER('Ather Energy'!F19),'Ather Energy'!F19,"")</f>
        <v/>
      </c>
      <c r="G24" s="11" t="str">
        <f aca="false">IF(ISNUMBER('Ather Energy'!G19),'Ather Energy'!G19,"")</f>
        <v/>
      </c>
      <c r="H24" s="11" t="str">
        <f aca="false">IF(ISNUMBER('Ather Energy'!H19),'Ather Energy'!H19,"")</f>
        <v/>
      </c>
      <c r="I24" s="11" t="str">
        <f aca="false">IF(ISNUMBER('Ather Energy'!I19),'Ather Energy'!I19,"")</f>
        <v/>
      </c>
      <c r="J24" s="11" t="str">
        <f aca="false">IF(ISNUMBER('Ather Energy'!J19),'Ather Energy'!J19,"")</f>
        <v/>
      </c>
      <c r="K24" s="11" t="str">
        <f aca="false">IF(ISNUMBER('Ather Energy'!K19),'Ather Energy'!K19,"")</f>
        <v/>
      </c>
      <c r="L24" s="11" t="str">
        <f aca="false">IF(ISNUMBER('Ather Energy'!L19),'Ather Energy'!L19,"")</f>
        <v/>
      </c>
      <c r="M24" s="11" t="str">
        <f aca="false">IF(ISNUMBER('Ather Energy'!M19),'Ather Energy'!M19,"")</f>
        <v/>
      </c>
      <c r="N24" s="11" t="str">
        <f aca="false">IF(ISNUMBER('Ather Energy'!N19),'Ather Energy'!N19,"")</f>
        <v/>
      </c>
      <c r="O24" s="11" t="n">
        <f aca="false">IF(ISNUMBER('Ather Energy'!O19),'Ather Energy'!O19,"")</f>
        <v>120000</v>
      </c>
      <c r="P24" s="11" t="n">
        <f aca="false">IF(ISNUMBER('Ather Energy'!P19),'Ather Energy'!P19,"")</f>
        <v>420000</v>
      </c>
      <c r="Q24" s="11" t="n">
        <f aca="false">IF(ISNUMBER('Ather Energy'!Q19),'Ather Energy'!Q19,"")</f>
        <v>420000</v>
      </c>
      <c r="R24" s="11" t="n">
        <f aca="false">IF(ISNUMBER('Ather Energy'!R19),'Ather Energy'!R19,"")</f>
        <v>420000</v>
      </c>
      <c r="S24" s="11" t="n">
        <f aca="false">IF(ISNUMBER('Ather Energy'!S19),'Ather Energy'!S19,"")</f>
        <v>420000</v>
      </c>
      <c r="T24" s="12" t="n">
        <f aca="false">COUNT(C24:S24)</f>
        <v>5</v>
      </c>
      <c r="U24" s="13" t="str">
        <f aca="false">'Ather Energy'!C7</f>
        <v>Hosur vehicle assembly capacity (c.35k/month)</v>
      </c>
      <c r="V24" s="13"/>
    </row>
    <row r="25" customFormat="false" ht="15" hidden="false" customHeight="true" outlineLevel="0" collapsed="false">
      <c r="A25" s="14" t="s">
        <v>107</v>
      </c>
      <c r="B25" s="14"/>
      <c r="C25" s="14"/>
      <c r="D25" s="14"/>
      <c r="E25" s="14"/>
      <c r="F25" s="14"/>
      <c r="G25" s="14"/>
      <c r="H25" s="14"/>
      <c r="I25" s="14"/>
      <c r="J25" s="14"/>
      <c r="K25" s="14"/>
      <c r="L25" s="14"/>
      <c r="M25" s="14"/>
      <c r="N25" s="14"/>
      <c r="O25" s="14"/>
      <c r="P25" s="14"/>
      <c r="Q25" s="14"/>
      <c r="R25" s="14"/>
      <c r="S25" s="14"/>
      <c r="T25" s="14"/>
      <c r="U25" s="14"/>
      <c r="V25" s="14"/>
    </row>
    <row r="27" customFormat="false" ht="18" hidden="false" customHeight="true" outlineLevel="0" collapsed="false">
      <c r="A27" s="6" t="s">
        <v>108</v>
      </c>
      <c r="B27" s="6"/>
      <c r="C27" s="6"/>
      <c r="D27" s="6"/>
      <c r="E27" s="6"/>
      <c r="F27" s="6"/>
      <c r="G27" s="6"/>
      <c r="H27" s="6"/>
      <c r="I27" s="6"/>
      <c r="J27" s="6"/>
      <c r="K27" s="6"/>
      <c r="L27" s="6"/>
      <c r="M27" s="6"/>
      <c r="N27" s="6"/>
      <c r="O27" s="6"/>
      <c r="P27" s="6"/>
      <c r="Q27" s="6"/>
      <c r="R27" s="6"/>
      <c r="S27" s="6"/>
      <c r="T27" s="6"/>
      <c r="U27" s="6"/>
      <c r="V27" s="6"/>
    </row>
    <row r="28" customFormat="false" ht="40.5" hidden="false" customHeight="true" outlineLevel="0" collapsed="false">
      <c r="A28" s="9" t="s">
        <v>69</v>
      </c>
      <c r="B28" s="9" t="s">
        <v>70</v>
      </c>
      <c r="C28" s="9" t="s">
        <v>109</v>
      </c>
      <c r="D28" s="9" t="s">
        <v>110</v>
      </c>
      <c r="E28" s="9"/>
      <c r="F28" s="9" t="s">
        <v>111</v>
      </c>
      <c r="G28" s="9"/>
      <c r="H28" s="9"/>
      <c r="I28" s="9" t="s">
        <v>112</v>
      </c>
      <c r="J28" s="9" t="s">
        <v>113</v>
      </c>
      <c r="K28" s="9"/>
      <c r="L28" s="9" t="s">
        <v>114</v>
      </c>
      <c r="M28" s="9" t="s">
        <v>115</v>
      </c>
      <c r="N28" s="9" t="s">
        <v>116</v>
      </c>
      <c r="O28" s="9" t="s">
        <v>117</v>
      </c>
      <c r="P28" s="9" t="s">
        <v>118</v>
      </c>
      <c r="Q28" s="9" t="s">
        <v>119</v>
      </c>
      <c r="R28" s="9" t="s">
        <v>120</v>
      </c>
      <c r="S28" s="9"/>
      <c r="T28" s="9"/>
      <c r="U28" s="9"/>
      <c r="V28" s="9"/>
    </row>
    <row r="29" customFormat="false" ht="65.25" hidden="false" customHeight="true" outlineLevel="0" collapsed="false">
      <c r="A29" s="10" t="s">
        <v>90</v>
      </c>
      <c r="B29" s="5" t="s">
        <v>91</v>
      </c>
      <c r="C29" s="11" t="n">
        <f aca="false">'Maruti Suzuki'!C5</f>
        <v>2900000</v>
      </c>
      <c r="D29" s="13" t="str">
        <f aca="false">'Maruti Suzuki'!C6</f>
        <v>30-Jul-2026</v>
      </c>
      <c r="E29" s="13"/>
      <c r="F29" s="13" t="str">
        <f aca="false">'Maruti Suzuki'!C8</f>
        <v>4 — Gurugram, Manesar, Kharkhoda (Haryana); Hansalpur (Gujarat). 5th site (Khoraj, Gujarat) in land stage</v>
      </c>
      <c r="G29" s="13"/>
      <c r="H29" s="13"/>
      <c r="I29" s="11" t="n">
        <f aca="false">'Maruti Suzuki'!C9</f>
        <v>2340000</v>
      </c>
      <c r="J29" s="13" t="str">
        <f aca="false">'Maruti Suzuki'!C10</f>
        <v>Production (FY26, company: &gt;23.4 lakh)</v>
      </c>
      <c r="K29" s="13"/>
      <c r="L29" s="15" t="n">
        <f aca="false">'Maruti Suzuki'!C11</f>
        <v>0.975</v>
      </c>
      <c r="M29" s="16" t="s">
        <v>71</v>
      </c>
      <c r="N29" s="11" t="n">
        <f aca="false">'Maruti Suzuki'!C19</f>
        <v>1000000</v>
      </c>
      <c r="O29" s="16" t="s">
        <v>87</v>
      </c>
      <c r="P29" s="11" t="n">
        <f aca="false">'Maruti Suzuki'!S19</f>
        <v>2400000</v>
      </c>
      <c r="Q29" s="17" t="n">
        <f aca="false">IFERROR((P29/N29)^(1/(VALUE(RIGHT(O29,2))-VALUE(RIGHT(M29,2))))-1,"")</f>
        <v>0.0562414406022929</v>
      </c>
      <c r="R29" s="13" t="str">
        <f aca="false">'Maruti Suzuki'!C15</f>
        <v>Capacity, not demand, is the binding constraint. FY26 output of 2.34m runs at c.94% of average installed capacity with c.190k orders pending at year-end. Two 250k plants (Kharkhoda-2, Hansalpur-D) are already live in FY27, and announced sites (Kharkhoda to 1m, Khoraj 1m, net of the Gurugram exit) cover almost all of the 4m FY31 target.</v>
      </c>
      <c r="S29" s="13"/>
      <c r="T29" s="13"/>
      <c r="U29" s="13"/>
      <c r="V29" s="13"/>
    </row>
    <row r="30" customFormat="false" ht="52.5" hidden="false" customHeight="true" outlineLevel="0" collapsed="false">
      <c r="A30" s="10" t="s">
        <v>92</v>
      </c>
      <c r="B30" s="5" t="s">
        <v>91</v>
      </c>
      <c r="C30" s="11" t="n">
        <f aca="false">'Hyundai India'!C5</f>
        <v>994000</v>
      </c>
      <c r="D30" s="13" t="str">
        <f aca="false">'Hyundai India'!C6</f>
        <v>FY26 (Mar-2026)</v>
      </c>
      <c r="E30" s="13"/>
      <c r="F30" s="13" t="str">
        <f aca="false">'Hyundai India'!C8</f>
        <v>2 — Chennai (Plants 1 &amp; 2), Talegaon/Pune</v>
      </c>
      <c r="G30" s="13"/>
      <c r="H30" s="13"/>
      <c r="I30" s="11" t="n">
        <f aca="false">'Hyundai India'!C9</f>
        <v>769280</v>
      </c>
      <c r="J30" s="13" t="str">
        <f aca="false">'Hyundai India'!C10</f>
        <v>Production (FY26 AR, plant-wise)</v>
      </c>
      <c r="K30" s="13"/>
      <c r="L30" s="15" t="n">
        <f aca="false">'Hyundai India'!C11</f>
        <v>0.773923541247485</v>
      </c>
      <c r="M30" s="16" t="s">
        <v>71</v>
      </c>
      <c r="N30" s="11" t="n">
        <f aca="false">'Hyundai India'!C19</f>
        <v>600000</v>
      </c>
      <c r="O30" s="16" t="s">
        <v>87</v>
      </c>
      <c r="P30" s="11" t="n">
        <f aca="false">'Hyundai India'!S19</f>
        <v>994000</v>
      </c>
      <c r="Q30" s="17" t="n">
        <f aca="false">IFERROR((P30/N30)^(1/(VALUE(RIGHT(O30,2))-VALUE(RIGHT(M30,2))))-1,"")</f>
        <v>0.0320534640474748</v>
      </c>
      <c r="R30" s="13" t="str">
        <f aca="false">'Hyundai India'!C15</f>
        <v>Talegaon resets the denominator. Capacity rises 21% to 994k in FY26 while output grows &lt;1%; utilisation on year-end capacity falls to c.77%. The FY27-FY28 debate is about filling Pune and Chennai Plant 1, not adding new capacity.</v>
      </c>
      <c r="S30" s="13"/>
      <c r="T30" s="13"/>
      <c r="U30" s="13"/>
      <c r="V30" s="13"/>
    </row>
    <row r="31" customFormat="false" ht="65.25" hidden="false" customHeight="true" outlineLevel="0" collapsed="false">
      <c r="A31" s="10" t="s">
        <v>93</v>
      </c>
      <c r="B31" s="5" t="s">
        <v>91</v>
      </c>
      <c r="C31" s="11" t="n">
        <f aca="false">'M&amp;M'!C5</f>
        <v>774000</v>
      </c>
      <c r="D31" s="13" t="str">
        <f aca="false">'M&amp;M'!C6</f>
        <v>FY26 exit (64.5k/month)</v>
      </c>
      <c r="E31" s="13"/>
      <c r="F31" s="13" t="str">
        <f aca="false">'M&amp;M'!C8</f>
        <v>SUVs: Chakan, Nashik (+ Haridwar/Zaheerabad under MLMML); Nagpur from 2028</v>
      </c>
      <c r="G31" s="13"/>
      <c r="H31" s="13"/>
      <c r="I31" s="11" t="n">
        <f aca="false">'M&amp;M'!C9</f>
        <v>660276</v>
      </c>
      <c r="J31" s="13" t="str">
        <f aca="false">'M&amp;M'!C10</f>
        <v>Domestic SUV sales (FY26) — exports excluded</v>
      </c>
      <c r="K31" s="13"/>
      <c r="L31" s="15" t="n">
        <f aca="false">'M&amp;M'!C11</f>
        <v>0.853069767441861</v>
      </c>
      <c r="M31" s="16" t="s">
        <v>81</v>
      </c>
      <c r="N31" s="11" t="n">
        <f aca="false">'M&amp;M'!M19</f>
        <v>228000</v>
      </c>
      <c r="O31" s="16" t="s">
        <v>87</v>
      </c>
      <c r="P31" s="11" t="n">
        <f aca="false">'M&amp;M'!S19</f>
        <v>774000</v>
      </c>
      <c r="Q31" s="17" t="n">
        <f aca="false">IFERROR((P31/N31)^(1/(VALUE(RIGHT(O31,2))-VALUE(RIGHT(M31,2))))-1,"")</f>
        <v>0.225935681548819</v>
      </c>
      <c r="R31" s="13" t="str">
        <f aca="false">'M&amp;M'!C15</f>
        <v>The fastest capacity ramp in Indian PVs — running behind its own plan. SUV capacity more than triples from 19k/month (FY20) to 64.5k (FY26) and is guided to 82k by H2FY27 and c.132k/month by FY31 with Nagpur. FY25 (59k vs 64k plan) and FY26 (64.5k vs 72k plan) both undershoot guidance — execution slippage is the watch item.</v>
      </c>
      <c r="S31" s="13"/>
      <c r="T31" s="13"/>
      <c r="U31" s="13"/>
      <c r="V31" s="13"/>
    </row>
    <row r="32" customFormat="false" ht="52.5" hidden="false" customHeight="true" outlineLevel="0" collapsed="false">
      <c r="A32" s="10" t="s">
        <v>94</v>
      </c>
      <c r="B32" s="5" t="s">
        <v>91</v>
      </c>
      <c r="C32" s="11" t="n">
        <f aca="false">'Tata PV'!C5</f>
        <v>900000</v>
      </c>
      <c r="D32" s="13" t="str">
        <f aca="false">'Tata PV'!C6</f>
        <v>Jun/Jul-2026 (mgmt)</v>
      </c>
      <c r="E32" s="13"/>
      <c r="F32" s="13" t="str">
        <f aca="false">'Tata PV'!C8</f>
        <v>5+ — Pune (five plants), Ranjangaon (JV), Sanand I &amp; II, Panapakkam</v>
      </c>
      <c r="G32" s="13"/>
      <c r="H32" s="13"/>
      <c r="I32" s="11" t="n">
        <f aca="false">'Tata PV'!C9</f>
        <v>642000</v>
      </c>
      <c r="J32" s="13" t="str">
        <f aca="false">'Tata PV'!C10</f>
        <v>Total PV sales FY26 (c.642k incl. exports)</v>
      </c>
      <c r="K32" s="13"/>
      <c r="L32" s="15" t="n">
        <f aca="false">'Tata PV'!C11</f>
        <v>0.713333333333333</v>
      </c>
      <c r="M32" s="16" t="s">
        <v>83</v>
      </c>
      <c r="N32" s="11" t="n">
        <f aca="false">'Tata PV'!O19</f>
        <v>480000</v>
      </c>
      <c r="O32" s="16" t="s">
        <v>87</v>
      </c>
      <c r="P32" s="11" t="n">
        <f aca="false">'Tata PV'!S19</f>
        <v>900000</v>
      </c>
      <c r="Q32" s="17" t="n">
        <f aca="false">IFERROR((P32/N32)^(1/(VALUE(RIGHT(O32,2))-VALUE(RIGHT(M32,2))))-1,"")</f>
        <v>0.170173659660358</v>
      </c>
      <c r="R32" s="13" t="str">
        <f aca="false">'Tata PV'!C15</f>
        <v>Ample in aggregate, tight by model. c.0.9m installed vs c.642k FY26 sales (c.71%) yet management cites demand of c.70k/month outrunning supply — the constraint sits in specific shops and lines, which the Sanand +300k brownfield and multi-product line flexibility target.</v>
      </c>
      <c r="S32" s="13"/>
      <c r="T32" s="13"/>
      <c r="U32" s="13"/>
      <c r="V32" s="13"/>
    </row>
    <row r="33" customFormat="false" ht="65.25" hidden="false" customHeight="true" outlineLevel="0" collapsed="false">
      <c r="A33" s="10" t="s">
        <v>95</v>
      </c>
      <c r="B33" s="5" t="s">
        <v>96</v>
      </c>
      <c r="C33" s="11" t="str">
        <f aca="false">'Tata CV'!C5</f>
        <v>n.d.</v>
      </c>
      <c r="D33" s="13" t="str">
        <f aca="false">'Tata CV'!C6</f>
        <v>Not disclosed</v>
      </c>
      <c r="E33" s="13"/>
      <c r="F33" s="13" t="str">
        <f aca="false">'Tata CV'!C8</f>
        <v>5 — Jamshedpur, Pune, Lucknow, Pantnagar, Dharwad</v>
      </c>
      <c r="G33" s="13"/>
      <c r="H33" s="13"/>
      <c r="I33" s="11" t="n">
        <f aca="false">'Tata CV'!C9</f>
        <v>428329</v>
      </c>
      <c r="J33" s="13" t="str">
        <f aca="false">'Tata CV'!C10</f>
        <v>Total CV sales FY26 (domestic + exports)</v>
      </c>
      <c r="K33" s="13"/>
      <c r="L33" s="15" t="str">
        <f aca="false">'Tata CV'!C11</f>
        <v>n.d.</v>
      </c>
      <c r="M33" s="16" t="s">
        <v>121</v>
      </c>
      <c r="N33" s="16"/>
      <c r="O33" s="16" t="s">
        <v>121</v>
      </c>
      <c r="P33" s="16"/>
      <c r="Q33" s="16"/>
      <c r="R33" s="13" t="str">
        <f aca="false">'Tata CV'!C15</f>
        <v>The story is footprint, not units. No consolidated CV capacity figure is published post-FY11. FY26 sales rise 14% to 428k with capex guided at only 2-4% of revenue — brownfield headroom is assumed adequate. The Iveco tender (settlement 30-Oct-2026) adds a European/LatAm footprint and takes combined volume to 540k+.</v>
      </c>
      <c r="S33" s="13"/>
      <c r="T33" s="13"/>
      <c r="U33" s="13"/>
      <c r="V33" s="13"/>
    </row>
    <row r="34" customFormat="false" ht="52.5" hidden="false" customHeight="true" outlineLevel="0" collapsed="false">
      <c r="A34" s="10" t="s">
        <v>97</v>
      </c>
      <c r="B34" s="5" t="s">
        <v>96</v>
      </c>
      <c r="C34" s="11" t="n">
        <f aca="false">'Ashok Leyland'!C5</f>
        <v>150000</v>
      </c>
      <c r="D34" s="13" t="str">
        <f aca="false">'Ashok Leyland'!C6</f>
        <v>Sep-2010 (latest found)</v>
      </c>
      <c r="E34" s="13"/>
      <c r="F34" s="13" t="str">
        <f aca="false">'Ashok Leyland'!C8</f>
        <v>8 vehicle sites in India incl. Vijayawada (2025) and Lucknow EV (2026)</v>
      </c>
      <c r="G34" s="13"/>
      <c r="H34" s="13"/>
      <c r="I34" s="11" t="n">
        <f aca="false">'Ashok Leyland'!C9</f>
        <v>220437</v>
      </c>
      <c r="J34" s="13" t="str">
        <f aca="false">'Ashok Leyland'!C10</f>
        <v>Total deliveries FY26 (incl. exports)</v>
      </c>
      <c r="K34" s="13"/>
      <c r="L34" s="15" t="str">
        <f aca="false">'Ashok Leyland'!C11</f>
        <v>n.d.</v>
      </c>
      <c r="M34" s="16" t="s">
        <v>121</v>
      </c>
      <c r="N34" s="16"/>
      <c r="O34" s="16" t="s">
        <v>121</v>
      </c>
      <c r="P34" s="16"/>
      <c r="Q34" s="16"/>
      <c r="R34" s="13" t="str">
        <f aca="false">'Ashok Leyland'!C15</f>
        <v>Disclosure stops in 2010. New capacity since is bus- and EV-led (Vijayawada 4,800 p.a., Lucknow 2,500 -&gt; 5,000 p.a.) while FY26 deliveries hit a record 220k. Truck capacity headroom must be confirmed with management before modelling the next upcycle.</v>
      </c>
      <c r="S34" s="13"/>
      <c r="T34" s="13"/>
      <c r="U34" s="13"/>
      <c r="V34" s="13"/>
    </row>
    <row r="35" customFormat="false" ht="52.5" hidden="false" customHeight="true" outlineLevel="0" collapsed="false">
      <c r="A35" s="10" t="s">
        <v>98</v>
      </c>
      <c r="B35" s="5" t="s">
        <v>99</v>
      </c>
      <c r="C35" s="11" t="n">
        <f aca="false">'Bajaj Auto'!C5</f>
        <v>7200000</v>
      </c>
      <c r="D35" s="13" t="str">
        <f aca="false">'Bajaj Auto'!C6</f>
        <v>Jul-2026 (c.600k/month)</v>
      </c>
      <c r="E35" s="13"/>
      <c r="F35" s="13" t="str">
        <f aca="false">'Bajaj Auto'!C8</f>
        <v>4 — Waluj, Chakan (2 plants), Pantnagar, Akurdi (Chetak)</v>
      </c>
      <c r="G35" s="13"/>
      <c r="H35" s="13"/>
      <c r="I35" s="11" t="n">
        <f aca="false">'Bajaj Auto'!C9</f>
        <v>5117667</v>
      </c>
      <c r="J35" s="13" t="str">
        <f aca="false">'Bajaj Auto'!C10</f>
        <v>Total sales FY26 (domestic + exports)</v>
      </c>
      <c r="K35" s="13"/>
      <c r="L35" s="15" t="n">
        <f aca="false">'Bajaj Auto'!C11</f>
        <v>0.710787083333333</v>
      </c>
      <c r="M35" s="16" t="s">
        <v>72</v>
      </c>
      <c r="N35" s="11" t="n">
        <f aca="false">'Bajaj Auto'!D19</f>
        <v>5040000</v>
      </c>
      <c r="O35" s="16" t="s">
        <v>87</v>
      </c>
      <c r="P35" s="11" t="n">
        <f aca="false">'Bajaj Auto'!S19</f>
        <v>7200000</v>
      </c>
      <c r="Q35" s="17" t="n">
        <f aca="false">IFERROR((P35/N35)^(1/(VALUE(RIGHT(O35,2))-VALUE(RIGHT(M35,2))))-1,"")</f>
        <v>0.0240632882057654</v>
      </c>
      <c r="R35" s="13" t="str">
        <f aca="false">'Bajaj Auto'!C15</f>
        <v>Exports drive the capacity call. FY26 volume of 5.12m (44% exports) sits at c.71% of the c.7.2m installed base, yet management is adding c.20% — read this as a mix-specific constraint (Chetak, CV/3W, premium motorcycles), not blanket shortage.</v>
      </c>
      <c r="S35" s="13"/>
      <c r="T35" s="13"/>
      <c r="U35" s="13"/>
      <c r="V35" s="13"/>
    </row>
    <row r="36" customFormat="false" ht="40.5" hidden="false" customHeight="true" outlineLevel="0" collapsed="false">
      <c r="A36" s="10" t="s">
        <v>100</v>
      </c>
      <c r="B36" s="5" t="s">
        <v>99</v>
      </c>
      <c r="C36" s="11" t="n">
        <f aca="false">'TVS Motor'!C5</f>
        <v>6800000</v>
      </c>
      <c r="D36" s="13" t="str">
        <f aca="false">'TVS Motor'!C6</f>
        <v>May-2026 (mgmt)</v>
      </c>
      <c r="E36" s="13"/>
      <c r="F36" s="13" t="str">
        <f aca="false">'TVS Motor'!C8</f>
        <v>3 in India — Hosur, Mysuru, Nalagarh (+ Karawang, Indonesia)</v>
      </c>
      <c r="G36" s="13"/>
      <c r="H36" s="13"/>
      <c r="I36" s="11" t="n">
        <f aca="false">'TVS Motor'!C9</f>
        <v>5889000</v>
      </c>
      <c r="J36" s="13" t="str">
        <f aca="false">'TVS Motor'!C10</f>
        <v>Total sales FY26 (2W + 3W incl. exports)</v>
      </c>
      <c r="K36" s="13"/>
      <c r="L36" s="15" t="n">
        <f aca="false">'TVS Motor'!C11</f>
        <v>0.866029411764706</v>
      </c>
      <c r="M36" s="16" t="s">
        <v>84</v>
      </c>
      <c r="N36" s="11" t="n">
        <f aca="false">'TVS Motor'!P19</f>
        <v>5190000</v>
      </c>
      <c r="O36" s="16" t="s">
        <v>87</v>
      </c>
      <c r="P36" s="11" t="n">
        <f aca="false">'TVS Motor'!S19</f>
        <v>6800000</v>
      </c>
      <c r="Q36" s="17" t="n">
        <f aca="false">IFERROR((P36/N36)^(1/(VALUE(RIGHT(O36,2))-VALUE(RIGHT(M36,2))))-1,"")</f>
        <v>0.094243187854516</v>
      </c>
      <c r="R36" s="13" t="str">
        <f aca="false">'TVS Motor'!C15</f>
        <v>TVS is outgrowing its plants. FY26 sales rise 24% to 5.89m on c.6.8m capacity (c.87%); management adds 1.5m within 12 months and is evaluating a new site, with EV lines going to 50k/month.</v>
      </c>
      <c r="S36" s="13"/>
      <c r="T36" s="13"/>
      <c r="U36" s="13"/>
      <c r="V36" s="13"/>
    </row>
    <row r="37" customFormat="false" ht="40.5" hidden="false" customHeight="true" outlineLevel="0" collapsed="false">
      <c r="A37" s="10" t="s">
        <v>101</v>
      </c>
      <c r="B37" s="5" t="s">
        <v>102</v>
      </c>
      <c r="C37" s="11" t="n">
        <f aca="false">'Royal Enfield'!C5</f>
        <v>1460000</v>
      </c>
      <c r="D37" s="13" t="str">
        <f aca="false">'Royal Enfield'!C6</f>
        <v>Feb/May-2026</v>
      </c>
      <c r="E37" s="13"/>
      <c r="F37" s="13" t="str">
        <f aca="false">'Royal Enfield'!C8</f>
        <v>4 — Thiruvottiyur, Oragadam, Vallam Vadagal, Cheyyar (all Tamil Nadu)</v>
      </c>
      <c r="G37" s="13"/>
      <c r="H37" s="13"/>
      <c r="I37" s="11" t="n">
        <f aca="false">'Royal Enfield'!C9</f>
        <v>1238659</v>
      </c>
      <c r="J37" s="13" t="str">
        <f aca="false">'Royal Enfield'!C10</f>
        <v>Total sales FY26 (domestic + exports)</v>
      </c>
      <c r="K37" s="13"/>
      <c r="L37" s="15" t="n">
        <f aca="false">'Royal Enfield'!C11</f>
        <v>0.848396575342466</v>
      </c>
      <c r="M37" s="16" t="s">
        <v>79</v>
      </c>
      <c r="N37" s="11" t="n">
        <f aca="false">'Royal Enfield'!K19</f>
        <v>825000</v>
      </c>
      <c r="O37" s="16" t="s">
        <v>87</v>
      </c>
      <c r="P37" s="11" t="n">
        <f aca="false">'Royal Enfield'!S19</f>
        <v>1460000</v>
      </c>
      <c r="Q37" s="17" t="n">
        <f aca="false">IFERROR((P37/N37)^(1/(VALUE(RIGHT(O37,2))-VALUE(RIGHT(M37,2))))-1,"")</f>
        <v>0.0739581631011614</v>
      </c>
      <c r="R37" s="13" t="str">
        <f aca="false">'Royal Enfield'!C15</f>
        <v>Running hot, expanding cheaply. FY26 volume of 1.24m (+23%) on c.1.46m capacity (c.85%); the Rs958cr Cheyyar expansion to 2.0m by FY28 costs c.Rs18k per unit of added capacity.</v>
      </c>
      <c r="S37" s="13"/>
      <c r="T37" s="13"/>
      <c r="U37" s="13"/>
      <c r="V37" s="13"/>
    </row>
    <row r="38" customFormat="false" ht="52.5" hidden="false" customHeight="true" outlineLevel="0" collapsed="false">
      <c r="A38" s="10" t="s">
        <v>103</v>
      </c>
      <c r="B38" s="5" t="s">
        <v>102</v>
      </c>
      <c r="C38" s="11" t="n">
        <f aca="false">'Hero MotoCorp'!C5</f>
        <v>11600000</v>
      </c>
      <c r="D38" s="13" t="str">
        <f aca="false">'Hero MotoCorp'!C6</f>
        <v>Mar-2020 (design, incl. Chittoor at full ramp)</v>
      </c>
      <c r="E38" s="13"/>
      <c r="F38" s="13" t="str">
        <f aca="false">'Hero MotoCorp'!C8</f>
        <v>6 — Dharuhera, Gurugram, Haridwar, Neemrana, Halol, Chittoor</v>
      </c>
      <c r="G38" s="13"/>
      <c r="H38" s="13"/>
      <c r="I38" s="11" t="n">
        <f aca="false">'Hero MotoCorp'!C9</f>
        <v>6468834</v>
      </c>
      <c r="J38" s="13" t="str">
        <f aca="false">'Hero MotoCorp'!C10</f>
        <v>Total dispatches FY26 (domestic + exports)</v>
      </c>
      <c r="K38" s="13"/>
      <c r="L38" s="15" t="n">
        <f aca="false">'Hero MotoCorp'!C11</f>
        <v>0.557658103448276</v>
      </c>
      <c r="M38" s="16" t="s">
        <v>76</v>
      </c>
      <c r="N38" s="11" t="n">
        <f aca="false">'Hero MotoCorp'!H19</f>
        <v>7650000</v>
      </c>
      <c r="O38" s="16" t="s">
        <v>81</v>
      </c>
      <c r="P38" s="11" t="n">
        <f aca="false">'Hero MotoCorp'!M19</f>
        <v>9100000</v>
      </c>
      <c r="Q38" s="17" t="n">
        <f aca="false">IFERROR((P38/N38)^(1/(VALUE(RIGHT(O38,2))-VALUE(RIGHT(M38,2))))-1,"")</f>
        <v>0.0353233083304618</v>
      </c>
      <c r="R38" s="13" t="str">
        <f aca="false">'Hero MotoCorp'!C15</f>
        <v>Largest installed base, weakest current disclosure. Plant design capacity of 11.6m (2020) vs 6.47m FY26 dispatches implies c.5m units of structural slack; incremental capex now goes to EV lines (Vida 25k -&gt; 50k+/month), not ICE.</v>
      </c>
      <c r="S38" s="13"/>
      <c r="T38" s="13"/>
      <c r="U38" s="13"/>
      <c r="V38" s="13"/>
    </row>
    <row r="39" customFormat="false" ht="40.5" hidden="false" customHeight="true" outlineLevel="0" collapsed="false">
      <c r="A39" s="10" t="s">
        <v>104</v>
      </c>
      <c r="B39" s="5" t="s">
        <v>105</v>
      </c>
      <c r="C39" s="11" t="n">
        <f aca="false">'Ola Electric'!C5</f>
        <v>1000000</v>
      </c>
      <c r="D39" s="13" t="str">
        <f aca="false">'Ola Electric'!C6</f>
        <v>Oct-2023 (DRHP)</v>
      </c>
      <c r="E39" s="13"/>
      <c r="F39" s="13" t="str">
        <f aca="false">'Ola Electric'!C8</f>
        <v>1 vehicle site (Futurefactory) + cell Gigafactory</v>
      </c>
      <c r="G39" s="13"/>
      <c r="H39" s="13"/>
      <c r="I39" s="11" t="n">
        <f aca="false">'Ola Electric'!C9</f>
        <v>164295</v>
      </c>
      <c r="J39" s="13" t="str">
        <f aca="false">'Ola Electric'!C10</f>
        <v>Retail registrations FY26 (media; not company deliveries)</v>
      </c>
      <c r="K39" s="13"/>
      <c r="L39" s="15" t="n">
        <f aca="false">'Ola Electric'!C11</f>
        <v>0.164295</v>
      </c>
      <c r="M39" s="16" t="s">
        <v>83</v>
      </c>
      <c r="N39" s="11" t="n">
        <f aca="false">'Ola Electric'!O19</f>
        <v>500000</v>
      </c>
      <c r="O39" s="16" t="s">
        <v>85</v>
      </c>
      <c r="P39" s="11" t="n">
        <f aca="false">'Ola Electric'!Q19</f>
        <v>1000000</v>
      </c>
      <c r="Q39" s="17" t="n">
        <f aca="false">IFERROR((P39/N39)^(1/(VALUE(RIGHT(O39,2))-VALUE(RIGHT(M39,2))))-1,"")</f>
        <v>0.414213562373095</v>
      </c>
      <c r="R39" s="13" t="str">
        <f aca="false">'Ola Electric'!C15</f>
        <v>Massive overcapacity in vehicles; capital has moved to cells. 1.0m vehicle capacity vs 164k FY26 retail (c.16%) after a 52% volume decline; the gigafactory runs at c.2.5 GWh installed with 5-6 GWh targeted.</v>
      </c>
      <c r="S39" s="13"/>
      <c r="T39" s="13"/>
      <c r="U39" s="13"/>
      <c r="V39" s="13"/>
    </row>
    <row r="40" customFormat="false" ht="52.5" hidden="false" customHeight="true" outlineLevel="0" collapsed="false">
      <c r="A40" s="10" t="s">
        <v>106</v>
      </c>
      <c r="B40" s="5" t="s">
        <v>105</v>
      </c>
      <c r="C40" s="11" t="n">
        <f aca="false">'Ather Energy'!C5</f>
        <v>420000</v>
      </c>
      <c r="D40" s="13" t="str">
        <f aca="false">'Ather Energy'!C6</f>
        <v>Aug-2026</v>
      </c>
      <c r="E40" s="13"/>
      <c r="F40" s="13" t="str">
        <f aca="false">'Ather Energy'!C8</f>
        <v>1 (Hosur, two units); AURIC Bidkin commissioning Q3FY27</v>
      </c>
      <c r="G40" s="13"/>
      <c r="H40" s="13"/>
      <c r="I40" s="11" t="n">
        <f aca="false">'Ather Energy'!C9</f>
        <v>239178</v>
      </c>
      <c r="J40" s="13" t="str">
        <f aca="false">'Ather Energy'!C10</f>
        <v>Retail registrations FY26 (media)</v>
      </c>
      <c r="K40" s="13"/>
      <c r="L40" s="15" t="n">
        <f aca="false">'Ather Energy'!C11</f>
        <v>0.569471428571429</v>
      </c>
      <c r="M40" s="16" t="s">
        <v>83</v>
      </c>
      <c r="N40" s="11" t="n">
        <f aca="false">'Ather Energy'!O19</f>
        <v>120000</v>
      </c>
      <c r="O40" s="16" t="s">
        <v>87</v>
      </c>
      <c r="P40" s="11" t="n">
        <f aca="false">'Ather Energy'!S19</f>
        <v>420000</v>
      </c>
      <c r="Q40" s="17" t="n">
        <f aca="false">IFERROR((P40/N40)^(1/(VALUE(RIGHT(O40,2))-VALUE(RIGHT(M40,2))))-1,"")</f>
        <v>0.36778239986738</v>
      </c>
      <c r="R40" s="13" t="str">
        <f aca="false">'Ather Energy'!C15</f>
        <v>Capacity is about to more than double. Hosur's 420k (c.57% utilised on FY26 retail of 239k) plus AURIC phase 1 (500k) in Q3FY27 takes capacity to 920k; management already flags 13-15k lost sales a month and is weighing an earlier phase 2.</v>
      </c>
      <c r="S40" s="13"/>
      <c r="T40" s="13"/>
      <c r="U40" s="13"/>
      <c r="V40" s="13"/>
    </row>
    <row r="42" customFormat="false" ht="18" hidden="false" customHeight="true" outlineLevel="0" collapsed="false">
      <c r="A42" s="6" t="s">
        <v>122</v>
      </c>
      <c r="B42" s="6"/>
      <c r="C42" s="6"/>
      <c r="D42" s="6"/>
      <c r="E42" s="6"/>
      <c r="F42" s="6"/>
      <c r="G42" s="6"/>
      <c r="H42" s="6"/>
      <c r="I42" s="6"/>
      <c r="J42" s="6"/>
      <c r="K42" s="6"/>
      <c r="L42" s="6"/>
      <c r="M42" s="6"/>
      <c r="N42" s="6"/>
      <c r="O42" s="6"/>
      <c r="P42" s="6"/>
      <c r="Q42" s="6"/>
      <c r="R42" s="6"/>
      <c r="S42" s="6"/>
      <c r="T42" s="6"/>
      <c r="U42" s="6"/>
      <c r="V42" s="6"/>
    </row>
    <row r="43" customFormat="false" ht="27.75" hidden="false" customHeight="true" outlineLevel="0" collapsed="false">
      <c r="A43" s="9" t="s">
        <v>69</v>
      </c>
      <c r="B43" s="9" t="s">
        <v>70</v>
      </c>
      <c r="C43" s="9" t="s">
        <v>123</v>
      </c>
      <c r="D43" s="9" t="s">
        <v>124</v>
      </c>
      <c r="E43" s="9"/>
      <c r="F43" s="9" t="s">
        <v>125</v>
      </c>
      <c r="G43" s="9" t="s">
        <v>126</v>
      </c>
      <c r="H43" s="9" t="s">
        <v>127</v>
      </c>
      <c r="I43" s="9" t="s">
        <v>128</v>
      </c>
      <c r="J43" s="9" t="s">
        <v>129</v>
      </c>
      <c r="K43" s="9" t="s">
        <v>130</v>
      </c>
      <c r="L43" s="9"/>
      <c r="M43" s="9" t="s">
        <v>131</v>
      </c>
      <c r="N43" s="9" t="s">
        <v>132</v>
      </c>
      <c r="O43" s="9"/>
      <c r="P43" s="9"/>
      <c r="Q43" s="9"/>
      <c r="R43" s="9"/>
      <c r="S43" s="9"/>
      <c r="T43" s="9"/>
      <c r="U43" s="9"/>
      <c r="V43" s="9"/>
    </row>
    <row r="44" customFormat="false" ht="15" hidden="false" customHeight="true" outlineLevel="0" collapsed="false">
      <c r="A44" s="10" t="s">
        <v>90</v>
      </c>
      <c r="B44" s="5" t="s">
        <v>91</v>
      </c>
      <c r="C44" s="11" t="n">
        <f aca="false">'Maruti Suzuki'!C12</f>
        <v>2400000</v>
      </c>
      <c r="D44" s="13" t="str">
        <f aca="false">'Maruti Suzuki'!F12</f>
        <v>FY26 year-end (row 19)</v>
      </c>
      <c r="E44" s="13"/>
      <c r="F44" s="11" t="n">
        <f aca="false">SUMIFS('Maruti Suzuki'!$D$83:$D$88,'Maruti Suzuki'!$G$83:$G$88,"Tier 1")</f>
        <v>500000</v>
      </c>
      <c r="G44" s="11" t="n">
        <f aca="false">SUMIFS('Maruti Suzuki'!$D$83:$D$88,'Maruti Suzuki'!$G$83:$G$88,"Tier 2")</f>
        <v>1000000</v>
      </c>
      <c r="H44" s="18" t="n">
        <f aca="false">IF(ISNUMBER(C44),C44+F44+G44,"")</f>
        <v>3900000</v>
      </c>
      <c r="I44" s="19" t="n">
        <f aca="false">IF(AND(ISNUMBER(H44),ISNUMBER(C44)),H44/C44,"")</f>
        <v>1.625</v>
      </c>
      <c r="J44" s="11" t="n">
        <f aca="false">'Maruti Suzuki'!C13</f>
        <v>4000000</v>
      </c>
      <c r="K44" s="13" t="str">
        <f aca="false">'Maruti Suzuki'!C14</f>
        <v>FY2030-31</v>
      </c>
      <c r="L44" s="13"/>
      <c r="M44" s="18" t="n">
        <f aca="false">IF(AND(ISNUMBER(J44),ISNUMBER(H44)),J44-H44,"")</f>
        <v>100000</v>
      </c>
      <c r="N44" s="5" t="s">
        <v>133</v>
      </c>
      <c r="O44" s="5"/>
      <c r="P44" s="5"/>
      <c r="Q44" s="5"/>
      <c r="R44" s="5"/>
      <c r="S44" s="5"/>
      <c r="T44" s="5"/>
      <c r="U44" s="5"/>
      <c r="V44" s="5"/>
    </row>
    <row r="45" customFormat="false" ht="27.75" hidden="false" customHeight="true" outlineLevel="0" collapsed="false">
      <c r="A45" s="10" t="s">
        <v>92</v>
      </c>
      <c r="B45" s="5" t="s">
        <v>91</v>
      </c>
      <c r="C45" s="11" t="n">
        <f aca="false">'Hyundai India'!C12</f>
        <v>994000</v>
      </c>
      <c r="D45" s="13" t="str">
        <f aca="false">'Hyundai India'!F12</f>
        <v>FY26 year-end (row 19)</v>
      </c>
      <c r="E45" s="13"/>
      <c r="F45" s="11" t="n">
        <f aca="false">SUMIFS('Hyundai India'!$D$73:$D$74,'Hyundai India'!$G$73:$G$74,"Tier 1")</f>
        <v>80000</v>
      </c>
      <c r="G45" s="11" t="n">
        <f aca="false">SUMIFS('Hyundai India'!$D$73:$D$74,'Hyundai India'!$G$73:$G$74,"Tier 2")</f>
        <v>0</v>
      </c>
      <c r="H45" s="18" t="n">
        <f aca="false">IF(ISNUMBER(C45),C45+F45+G45,"")</f>
        <v>1074000</v>
      </c>
      <c r="I45" s="19" t="n">
        <f aca="false">IF(AND(ISNUMBER(H45),ISNUMBER(C45)),H45/C45,"")</f>
        <v>1.08048289738431</v>
      </c>
      <c r="J45" s="11" t="n">
        <f aca="false">'Hyundai India'!C13</f>
        <v>1074000</v>
      </c>
      <c r="K45" s="13" t="str">
        <f aca="false">'Hyundai India'!C14</f>
        <v>Talegaon at 250k (c.2028)</v>
      </c>
      <c r="L45" s="13"/>
      <c r="M45" s="18" t="n">
        <f aca="false">IF(AND(ISNUMBER(J45),ISNUMBER(H45)),J45-H45,"")</f>
        <v>0</v>
      </c>
      <c r="N45" s="5" t="s">
        <v>134</v>
      </c>
      <c r="O45" s="5"/>
      <c r="P45" s="5"/>
      <c r="Q45" s="5"/>
      <c r="R45" s="5"/>
      <c r="S45" s="5"/>
      <c r="T45" s="5"/>
      <c r="U45" s="5"/>
      <c r="V45" s="5"/>
    </row>
    <row r="46" customFormat="false" ht="15" hidden="false" customHeight="true" outlineLevel="0" collapsed="false">
      <c r="A46" s="10" t="s">
        <v>93</v>
      </c>
      <c r="B46" s="5" t="s">
        <v>91</v>
      </c>
      <c r="C46" s="11" t="n">
        <f aca="false">'M&amp;M'!C12</f>
        <v>774000</v>
      </c>
      <c r="D46" s="13" t="str">
        <f aca="false">'M&amp;M'!F12</f>
        <v>FY26 year-end (row 19)</v>
      </c>
      <c r="E46" s="13"/>
      <c r="F46" s="11" t="n">
        <f aca="false">SUMIFS('M&amp;M'!$D$87:$D$92,'M&amp;M'!$G$87:$G$92,"Tier 1")</f>
        <v>210000</v>
      </c>
      <c r="G46" s="11" t="n">
        <f aca="false">SUMIFS('M&amp;M'!$D$87:$D$92,'M&amp;M'!$G$87:$G$92,"Tier 2")</f>
        <v>600000</v>
      </c>
      <c r="H46" s="18" t="n">
        <f aca="false">IF(ISNUMBER(C46),C46+F46+G46,"")</f>
        <v>1584000</v>
      </c>
      <c r="I46" s="19" t="n">
        <f aca="false">IF(AND(ISNUMBER(H46),ISNUMBER(C46)),H46/C46,"")</f>
        <v>2.04651162790698</v>
      </c>
      <c r="J46" s="11" t="n">
        <f aca="false">'M&amp;M'!C13</f>
        <v>1548000</v>
      </c>
      <c r="K46" s="13" t="str">
        <f aca="false">'M&amp;M'!C14</f>
        <v>FY31 (2x FY26)</v>
      </c>
      <c r="L46" s="13"/>
      <c r="M46" s="18" t="n">
        <f aca="false">IF(AND(ISNUMBER(J46),ISNUMBER(H46)),J46-H46,"")</f>
        <v>-36000</v>
      </c>
      <c r="N46" s="5" t="s">
        <v>135</v>
      </c>
      <c r="O46" s="5"/>
      <c r="P46" s="5"/>
      <c r="Q46" s="5"/>
      <c r="R46" s="5"/>
      <c r="S46" s="5"/>
      <c r="T46" s="5"/>
      <c r="U46" s="5"/>
      <c r="V46" s="5"/>
    </row>
    <row r="47" customFormat="false" ht="27.75" hidden="false" customHeight="true" outlineLevel="0" collapsed="false">
      <c r="A47" s="10" t="s">
        <v>94</v>
      </c>
      <c r="B47" s="5" t="s">
        <v>91</v>
      </c>
      <c r="C47" s="11" t="n">
        <f aca="false">'Tata PV'!C12</f>
        <v>900000</v>
      </c>
      <c r="D47" s="13" t="str">
        <f aca="false">'Tata PV'!F12</f>
        <v>FY26 year-end (row 19)</v>
      </c>
      <c r="E47" s="13"/>
      <c r="F47" s="11" t="n">
        <f aca="false">SUMIFS('Tata PV'!$D$76:$D$79,'Tata PV'!$G$76:$G$79,"Tier 1")</f>
        <v>0</v>
      </c>
      <c r="G47" s="11" t="n">
        <f aca="false">SUMIFS('Tata PV'!$D$76:$D$79,'Tata PV'!$G$76:$G$79,"Tier 2")</f>
        <v>300000</v>
      </c>
      <c r="H47" s="18" t="n">
        <f aca="false">IF(ISNUMBER(C47),C47+F47+G47,"")</f>
        <v>1200000</v>
      </c>
      <c r="I47" s="19" t="n">
        <f aca="false">IF(AND(ISNUMBER(H47),ISNUMBER(C47)),H47/C47,"")</f>
        <v>1.33333333333333</v>
      </c>
      <c r="J47" s="11" t="n">
        <f aca="false">'Tata PV'!C13</f>
        <v>1300000</v>
      </c>
      <c r="K47" s="13" t="str">
        <f aca="false">'Tata PV'!C14</f>
        <v>2-3 years from Jun-2026 (c.FY29)</v>
      </c>
      <c r="L47" s="13"/>
      <c r="M47" s="18" t="n">
        <f aca="false">IF(AND(ISNUMBER(J47),ISNUMBER(H47)),J47-H47,"")</f>
        <v>100000</v>
      </c>
      <c r="N47" s="5" t="s">
        <v>136</v>
      </c>
      <c r="O47" s="5"/>
      <c r="P47" s="5"/>
      <c r="Q47" s="5"/>
      <c r="R47" s="5"/>
      <c r="S47" s="5"/>
      <c r="T47" s="5"/>
      <c r="U47" s="5"/>
      <c r="V47" s="5"/>
    </row>
    <row r="48" customFormat="false" ht="15" hidden="false" customHeight="true" outlineLevel="0" collapsed="false">
      <c r="A48" s="10" t="s">
        <v>95</v>
      </c>
      <c r="B48" s="5" t="s">
        <v>96</v>
      </c>
      <c r="C48" s="11" t="str">
        <f aca="false">'Tata CV'!C12</f>
        <v>n.d.</v>
      </c>
      <c r="D48" s="13" t="str">
        <f aca="false">'Tata CV'!F12</f>
        <v>No disclosed current base</v>
      </c>
      <c r="E48" s="13"/>
      <c r="F48" s="11" t="n">
        <f aca="false">SUMIFS('Tata CV'!$D$70:$D$71,'Tata CV'!$G$70:$G$71,"Tier 1")</f>
        <v>0</v>
      </c>
      <c r="G48" s="11" t="n">
        <f aca="false">SUMIFS('Tata CV'!$D$70:$D$71,'Tata CV'!$G$70:$G$71,"Tier 2")</f>
        <v>0</v>
      </c>
      <c r="H48" s="18" t="str">
        <f aca="false">IF(ISNUMBER(C48),C48+F48+G48,"")</f>
        <v/>
      </c>
      <c r="I48" s="19" t="str">
        <f aca="false">IF(AND(ISNUMBER(H48),ISNUMBER(C48)),H48/C48,"")</f>
        <v/>
      </c>
      <c r="J48" s="11" t="str">
        <f aca="false">'Tata CV'!C13</f>
        <v>n.d.</v>
      </c>
      <c r="K48" s="13" t="str">
        <f aca="false">'Tata CV'!C14</f>
        <v>n.a.</v>
      </c>
      <c r="L48" s="13"/>
      <c r="M48" s="18" t="str">
        <f aca="false">IF(AND(ISNUMBER(J48),ISNUMBER(H48)),J48-H48,"")</f>
        <v/>
      </c>
      <c r="N48" s="5" t="s">
        <v>137</v>
      </c>
      <c r="O48" s="5"/>
      <c r="P48" s="5"/>
      <c r="Q48" s="5"/>
      <c r="R48" s="5"/>
      <c r="S48" s="5"/>
      <c r="T48" s="5"/>
      <c r="U48" s="5"/>
      <c r="V48" s="5"/>
    </row>
    <row r="49" customFormat="false" ht="15" hidden="false" customHeight="true" outlineLevel="0" collapsed="false">
      <c r="A49" s="10" t="s">
        <v>97</v>
      </c>
      <c r="B49" s="5" t="s">
        <v>96</v>
      </c>
      <c r="C49" s="11" t="str">
        <f aca="false">'Ashok Leyland'!C12</f>
        <v>n.d.</v>
      </c>
      <c r="D49" s="13" t="str">
        <f aca="false">'Ashok Leyland'!F12</f>
        <v>No disclosed current base</v>
      </c>
      <c r="E49" s="13"/>
      <c r="F49" s="11" t="n">
        <f aca="false">SUMIFS('Ashok Leyland'!$D$75:$D$75,'Ashok Leyland'!$G$75:$G$75,"Tier 1")</f>
        <v>0</v>
      </c>
      <c r="G49" s="11" t="n">
        <f aca="false">SUMIFS('Ashok Leyland'!$D$75:$D$75,'Ashok Leyland'!$G$75:$G$75,"Tier 2")</f>
        <v>2500</v>
      </c>
      <c r="H49" s="18" t="str">
        <f aca="false">IF(ISNUMBER(C49),C49+F49+G49,"")</f>
        <v/>
      </c>
      <c r="I49" s="19" t="str">
        <f aca="false">IF(AND(ISNUMBER(H49),ISNUMBER(C49)),H49/C49,"")</f>
        <v/>
      </c>
      <c r="J49" s="11" t="str">
        <f aca="false">'Ashok Leyland'!C13</f>
        <v>n.d.</v>
      </c>
      <c r="K49" s="13" t="str">
        <f aca="false">'Ashok Leyland'!C14</f>
        <v>n.a.</v>
      </c>
      <c r="L49" s="13"/>
      <c r="M49" s="18" t="str">
        <f aca="false">IF(AND(ISNUMBER(J49),ISNUMBER(H49)),J49-H49,"")</f>
        <v/>
      </c>
      <c r="N49" s="5" t="s">
        <v>138</v>
      </c>
      <c r="O49" s="5"/>
      <c r="P49" s="5"/>
      <c r="Q49" s="5"/>
      <c r="R49" s="5"/>
      <c r="S49" s="5"/>
      <c r="T49" s="5"/>
      <c r="U49" s="5"/>
      <c r="V49" s="5"/>
    </row>
    <row r="50" customFormat="false" ht="27.75" hidden="false" customHeight="true" outlineLevel="0" collapsed="false">
      <c r="A50" s="10" t="s">
        <v>98</v>
      </c>
      <c r="B50" s="5" t="s">
        <v>99</v>
      </c>
      <c r="C50" s="11" t="n">
        <f aca="false">'Bajaj Auto'!C12</f>
        <v>7200000</v>
      </c>
      <c r="D50" s="13" t="str">
        <f aca="false">'Bajaj Auto'!F12</f>
        <v>FY26 year-end (row 19)</v>
      </c>
      <c r="E50" s="13"/>
      <c r="F50" s="11" t="n">
        <f aca="false">SUMIFS('Bajaj Auto'!$D$76:$D$78,'Bajaj Auto'!$G$76:$G$78,"Tier 1")</f>
        <v>720000</v>
      </c>
      <c r="G50" s="11" t="n">
        <f aca="false">SUMIFS('Bajaj Auto'!$D$76:$D$78,'Bajaj Auto'!$G$76:$G$78,"Tier 2")</f>
        <v>720000</v>
      </c>
      <c r="H50" s="18" t="n">
        <f aca="false">IF(ISNUMBER(C50),C50+F50+G50,"")</f>
        <v>8640000</v>
      </c>
      <c r="I50" s="19" t="n">
        <f aca="false">IF(AND(ISNUMBER(H50),ISNUMBER(C50)),H50/C50,"")</f>
        <v>1.2</v>
      </c>
      <c r="J50" s="11" t="n">
        <f aca="false">'Bajaj Auto'!C13</f>
        <v>8640000</v>
      </c>
      <c r="K50" s="13" t="str">
        <f aca="false">'Bajaj Auto'!C14</f>
        <v>FY27-end / early FY28 (+20%)</v>
      </c>
      <c r="L50" s="13"/>
      <c r="M50" s="18" t="n">
        <f aca="false">IF(AND(ISNUMBER(J50),ISNUMBER(H50)),J50-H50,"")</f>
        <v>0</v>
      </c>
      <c r="N50" s="5" t="s">
        <v>139</v>
      </c>
      <c r="O50" s="5"/>
      <c r="P50" s="5"/>
      <c r="Q50" s="5"/>
      <c r="R50" s="5"/>
      <c r="S50" s="5"/>
      <c r="T50" s="5"/>
      <c r="U50" s="5"/>
      <c r="V50" s="5"/>
    </row>
    <row r="51" customFormat="false" ht="27.75" hidden="false" customHeight="true" outlineLevel="0" collapsed="false">
      <c r="A51" s="10" t="s">
        <v>100</v>
      </c>
      <c r="B51" s="5" t="s">
        <v>99</v>
      </c>
      <c r="C51" s="11" t="n">
        <f aca="false">'TVS Motor'!C12</f>
        <v>6800000</v>
      </c>
      <c r="D51" s="13" t="str">
        <f aca="false">'TVS Motor'!F12</f>
        <v>FY26 year-end (row 19)</v>
      </c>
      <c r="E51" s="13"/>
      <c r="F51" s="11" t="n">
        <f aca="false">SUMIFS('TVS Motor'!$D$67:$D$69,'TVS Motor'!$G$67:$G$69,"Tier 1")</f>
        <v>0</v>
      </c>
      <c r="G51" s="11" t="n">
        <f aca="false">SUMIFS('TVS Motor'!$D$67:$D$69,'TVS Motor'!$G$67:$G$69,"Tier 2")</f>
        <v>1500000</v>
      </c>
      <c r="H51" s="18" t="n">
        <f aca="false">IF(ISNUMBER(C51),C51+F51+G51,"")</f>
        <v>8300000</v>
      </c>
      <c r="I51" s="19" t="n">
        <f aca="false">IF(AND(ISNUMBER(H51),ISNUMBER(C51)),H51/C51,"")</f>
        <v>1.22058823529412</v>
      </c>
      <c r="J51" s="11" t="n">
        <f aca="false">'TVS Motor'!C13</f>
        <v>8300000</v>
      </c>
      <c r="K51" s="13" t="str">
        <f aca="false">'TVS Motor'!C14</f>
        <v>Within 12 months of May-2026</v>
      </c>
      <c r="L51" s="13"/>
      <c r="M51" s="18" t="n">
        <f aca="false">IF(AND(ISNUMBER(J51),ISNUMBER(H51)),J51-H51,"")</f>
        <v>0</v>
      </c>
      <c r="N51" s="5" t="s">
        <v>140</v>
      </c>
      <c r="O51" s="5"/>
      <c r="P51" s="5"/>
      <c r="Q51" s="5"/>
      <c r="R51" s="5"/>
      <c r="S51" s="5"/>
      <c r="T51" s="5"/>
      <c r="U51" s="5"/>
      <c r="V51" s="5"/>
    </row>
    <row r="52" customFormat="false" ht="15" hidden="false" customHeight="true" outlineLevel="0" collapsed="false">
      <c r="A52" s="10" t="s">
        <v>101</v>
      </c>
      <c r="B52" s="5" t="s">
        <v>102</v>
      </c>
      <c r="C52" s="11" t="n">
        <f aca="false">'Royal Enfield'!C12</f>
        <v>1460000</v>
      </c>
      <c r="D52" s="13" t="str">
        <f aca="false">'Royal Enfield'!F12</f>
        <v>FY26 year-end (row 19)</v>
      </c>
      <c r="E52" s="13"/>
      <c r="F52" s="11" t="n">
        <f aca="false">SUMIFS('Royal Enfield'!$D$68:$D$68,'Royal Enfield'!$G$68:$G$68,"Tier 1")</f>
        <v>540000</v>
      </c>
      <c r="G52" s="11" t="n">
        <f aca="false">SUMIFS('Royal Enfield'!$D$68:$D$68,'Royal Enfield'!$G$68:$G$68,"Tier 2")</f>
        <v>0</v>
      </c>
      <c r="H52" s="18" t="n">
        <f aca="false">IF(ISNUMBER(C52),C52+F52+G52,"")</f>
        <v>2000000</v>
      </c>
      <c r="I52" s="19" t="n">
        <f aca="false">IF(AND(ISNUMBER(H52),ISNUMBER(C52)),H52/C52,"")</f>
        <v>1.36986301369863</v>
      </c>
      <c r="J52" s="11" t="n">
        <f aca="false">'Royal Enfield'!C13</f>
        <v>2000000</v>
      </c>
      <c r="K52" s="13" t="str">
        <f aca="false">'Royal Enfield'!C14</f>
        <v>FY28</v>
      </c>
      <c r="L52" s="13"/>
      <c r="M52" s="18" t="n">
        <f aca="false">IF(AND(ISNUMBER(J52),ISNUMBER(H52)),J52-H52,"")</f>
        <v>0</v>
      </c>
      <c r="N52" s="5" t="s">
        <v>141</v>
      </c>
      <c r="O52" s="5"/>
      <c r="P52" s="5"/>
      <c r="Q52" s="5"/>
      <c r="R52" s="5"/>
      <c r="S52" s="5"/>
      <c r="T52" s="5"/>
      <c r="U52" s="5"/>
      <c r="V52" s="5"/>
    </row>
    <row r="53" customFormat="false" ht="15" hidden="false" customHeight="true" outlineLevel="0" collapsed="false">
      <c r="A53" s="10" t="s">
        <v>103</v>
      </c>
      <c r="B53" s="5" t="s">
        <v>102</v>
      </c>
      <c r="C53" s="11" t="str">
        <f aca="false">'Hero MotoCorp'!C12</f>
        <v>n.d.</v>
      </c>
      <c r="D53" s="13" t="str">
        <f aca="false">'Hero MotoCorp'!F12</f>
        <v>No disclosed current base</v>
      </c>
      <c r="E53" s="13"/>
      <c r="F53" s="11" t="n">
        <f aca="false">SUMIFS('Hero MotoCorp'!$D$71:$D$71,'Hero MotoCorp'!$G$71:$G$71,"Tier 1")</f>
        <v>300000</v>
      </c>
      <c r="G53" s="11" t="n">
        <f aca="false">SUMIFS('Hero MotoCorp'!$D$71:$D$71,'Hero MotoCorp'!$G$71:$G$71,"Tier 2")</f>
        <v>0</v>
      </c>
      <c r="H53" s="18" t="str">
        <f aca="false">IF(ISNUMBER(C53),C53+F53+G53,"")</f>
        <v/>
      </c>
      <c r="I53" s="19" t="str">
        <f aca="false">IF(AND(ISNUMBER(H53),ISNUMBER(C53)),H53/C53,"")</f>
        <v/>
      </c>
      <c r="J53" s="11" t="str">
        <f aca="false">'Hero MotoCorp'!C13</f>
        <v>n.d.</v>
      </c>
      <c r="K53" s="13" t="str">
        <f aca="false">'Hero MotoCorp'!C14</f>
        <v>n.a.</v>
      </c>
      <c r="L53" s="13"/>
      <c r="M53" s="18" t="str">
        <f aca="false">IF(AND(ISNUMBER(J53),ISNUMBER(H53)),J53-H53,"")</f>
        <v/>
      </c>
      <c r="N53" s="5" t="s">
        <v>142</v>
      </c>
      <c r="O53" s="5"/>
      <c r="P53" s="5"/>
      <c r="Q53" s="5"/>
      <c r="R53" s="5"/>
      <c r="S53" s="5"/>
      <c r="T53" s="5"/>
      <c r="U53" s="5"/>
      <c r="V53" s="5"/>
    </row>
    <row r="54" customFormat="false" ht="27.75" hidden="false" customHeight="true" outlineLevel="0" collapsed="false">
      <c r="A54" s="10" t="s">
        <v>104</v>
      </c>
      <c r="B54" s="5" t="s">
        <v>105</v>
      </c>
      <c r="C54" s="11" t="n">
        <f aca="false">'Ola Electric'!C12</f>
        <v>1000000</v>
      </c>
      <c r="D54" s="13" t="str">
        <f aca="false">'Ola Electric'!F12</f>
        <v>FY24 year-end (row 19)</v>
      </c>
      <c r="E54" s="13"/>
      <c r="F54" s="11" t="n">
        <f aca="false">SUMIFS('Ola Electric'!$D$61:$D$63,'Ola Electric'!$G$61:$G$63,"Tier 1")</f>
        <v>0</v>
      </c>
      <c r="G54" s="11" t="n">
        <f aca="false">SUMIFS('Ola Electric'!$D$61:$D$63,'Ola Electric'!$G$61:$G$63,"Tier 2")</f>
        <v>0</v>
      </c>
      <c r="H54" s="18" t="n">
        <f aca="false">IF(ISNUMBER(C54),C54+F54+G54,"")</f>
        <v>1000000</v>
      </c>
      <c r="I54" s="19" t="n">
        <f aca="false">IF(AND(ISNUMBER(H54),ISNUMBER(C54)),H54/C54,"")</f>
        <v>1</v>
      </c>
      <c r="J54" s="11" t="str">
        <f aca="false">'Ola Electric'!C13</f>
        <v>n.d.</v>
      </c>
      <c r="K54" s="13" t="str">
        <f aca="false">'Ola Electric'!C14</f>
        <v>n.a. (cells: 5-6 GWh FY27; 20 GWh PLI)</v>
      </c>
      <c r="L54" s="13"/>
      <c r="M54" s="18" t="str">
        <f aca="false">IF(AND(ISNUMBER(J54),ISNUMBER(H54)),J54-H54,"")</f>
        <v/>
      </c>
      <c r="N54" s="5" t="s">
        <v>143</v>
      </c>
      <c r="O54" s="5"/>
      <c r="P54" s="5"/>
      <c r="Q54" s="5"/>
      <c r="R54" s="5"/>
      <c r="S54" s="5"/>
      <c r="T54" s="5"/>
      <c r="U54" s="5"/>
      <c r="V54" s="5"/>
    </row>
    <row r="55" customFormat="false" ht="27.75" hidden="false" customHeight="true" outlineLevel="0" collapsed="false">
      <c r="A55" s="10" t="s">
        <v>106</v>
      </c>
      <c r="B55" s="5" t="s">
        <v>105</v>
      </c>
      <c r="C55" s="11" t="n">
        <f aca="false">'Ather Energy'!C12</f>
        <v>420000</v>
      </c>
      <c r="D55" s="13" t="str">
        <f aca="false">'Ather Energy'!F12</f>
        <v>FY26 year-end (row 19)</v>
      </c>
      <c r="E55" s="13"/>
      <c r="F55" s="11" t="n">
        <f aca="false">SUMIFS('Ather Energy'!$D$61:$D$62,'Ather Energy'!$G$61:$G$62,"Tier 1")</f>
        <v>500000</v>
      </c>
      <c r="G55" s="11" t="n">
        <f aca="false">SUMIFS('Ather Energy'!$D$61:$D$62,'Ather Energy'!$G$61:$G$62,"Tier 2")</f>
        <v>500000</v>
      </c>
      <c r="H55" s="18" t="n">
        <f aca="false">IF(ISNUMBER(C55),C55+F55+G55,"")</f>
        <v>1420000</v>
      </c>
      <c r="I55" s="19" t="n">
        <f aca="false">IF(AND(ISNUMBER(H55),ISNUMBER(C55)),H55/C55,"")</f>
        <v>3.38095238095238</v>
      </c>
      <c r="J55" s="11" t="str">
        <f aca="false">'Ather Energy'!C13</f>
        <v>n.d.</v>
      </c>
      <c r="K55" s="13" t="str">
        <f aca="false">'Ather Energy'!C14</f>
        <v>AURIC phase 1 Q3FY27; phase 2 in planning</v>
      </c>
      <c r="L55" s="13"/>
      <c r="M55" s="18" t="str">
        <f aca="false">IF(AND(ISNUMBER(J55),ISNUMBER(H55)),J55-H55,"")</f>
        <v/>
      </c>
      <c r="N55" s="5" t="s">
        <v>144</v>
      </c>
      <c r="O55" s="5"/>
      <c r="P55" s="5"/>
      <c r="Q55" s="5"/>
      <c r="R55" s="5"/>
      <c r="S55" s="5"/>
      <c r="T55" s="5"/>
      <c r="U55" s="5"/>
      <c r="V55" s="5"/>
    </row>
    <row r="56" customFormat="false" ht="15" hidden="false" customHeight="true" outlineLevel="0" collapsed="false">
      <c r="A56" s="4" t="s">
        <v>145</v>
      </c>
      <c r="B56" s="4"/>
      <c r="C56" s="20" t="n">
        <f aca="false">SUM(C44:C47)</f>
        <v>5068000</v>
      </c>
      <c r="F56" s="20" t="n">
        <f aca="false">SUM(F44:F47)</f>
        <v>790000</v>
      </c>
      <c r="G56" s="20" t="n">
        <f aca="false">SUM(G44:G47)</f>
        <v>1900000</v>
      </c>
      <c r="H56" s="20" t="n">
        <f aca="false">SUM(H44:H47)</f>
        <v>7758000</v>
      </c>
      <c r="I56" s="21" t="n">
        <f aca="false">IF(C56&gt;0,H56/C56,"")</f>
        <v>1.53078137332281</v>
      </c>
      <c r="J56" s="22" t="s">
        <v>146</v>
      </c>
      <c r="K56" s="22"/>
      <c r="L56" s="22"/>
      <c r="M56" s="22"/>
      <c r="N56" s="22"/>
      <c r="O56" s="22"/>
      <c r="P56" s="22"/>
      <c r="Q56" s="22"/>
      <c r="R56" s="22"/>
      <c r="S56" s="22"/>
      <c r="T56" s="22"/>
      <c r="U56" s="22"/>
      <c r="V56" s="22"/>
    </row>
    <row r="58" customFormat="false" ht="18" hidden="false" customHeight="true" outlineLevel="0" collapsed="false">
      <c r="A58" s="6" t="s">
        <v>147</v>
      </c>
      <c r="B58" s="6"/>
      <c r="C58" s="6"/>
      <c r="D58" s="6"/>
      <c r="E58" s="6"/>
      <c r="F58" s="6"/>
      <c r="G58" s="6"/>
      <c r="H58" s="6"/>
      <c r="I58" s="6"/>
      <c r="J58" s="6"/>
      <c r="K58" s="6"/>
      <c r="L58" s="6"/>
      <c r="M58" s="6"/>
      <c r="N58" s="6"/>
      <c r="O58" s="6"/>
      <c r="P58" s="6"/>
      <c r="Q58" s="6"/>
      <c r="R58" s="6"/>
      <c r="S58" s="6"/>
      <c r="T58" s="6"/>
      <c r="U58" s="6"/>
      <c r="V58" s="6"/>
    </row>
  </sheetData>
  <mergeCells count="122">
    <mergeCell ref="A4:V4"/>
    <mergeCell ref="A5:B5"/>
    <mergeCell ref="C5:V5"/>
    <mergeCell ref="A6:B6"/>
    <mergeCell ref="C6:V6"/>
    <mergeCell ref="A7:B7"/>
    <mergeCell ref="C7:V7"/>
    <mergeCell ref="A8:B8"/>
    <mergeCell ref="C8:V8"/>
    <mergeCell ref="A9:B9"/>
    <mergeCell ref="C9:V9"/>
    <mergeCell ref="A11:V11"/>
    <mergeCell ref="U12:V12"/>
    <mergeCell ref="U13:V13"/>
    <mergeCell ref="U14:V14"/>
    <mergeCell ref="U15:V15"/>
    <mergeCell ref="U16:V16"/>
    <mergeCell ref="U17:V17"/>
    <mergeCell ref="U18:V18"/>
    <mergeCell ref="U19:V19"/>
    <mergeCell ref="U20:V20"/>
    <mergeCell ref="U21:V21"/>
    <mergeCell ref="U22:V22"/>
    <mergeCell ref="U23:V23"/>
    <mergeCell ref="U24:V24"/>
    <mergeCell ref="A25:V25"/>
    <mergeCell ref="A27:V27"/>
    <mergeCell ref="D28:E28"/>
    <mergeCell ref="F28:H28"/>
    <mergeCell ref="J28:K28"/>
    <mergeCell ref="R28:V28"/>
    <mergeCell ref="D29:E29"/>
    <mergeCell ref="F29:H29"/>
    <mergeCell ref="J29:K29"/>
    <mergeCell ref="R29:V29"/>
    <mergeCell ref="D30:E30"/>
    <mergeCell ref="F30:H30"/>
    <mergeCell ref="J30:K30"/>
    <mergeCell ref="R30:V30"/>
    <mergeCell ref="D31:E31"/>
    <mergeCell ref="F31:H31"/>
    <mergeCell ref="J31:K31"/>
    <mergeCell ref="R31:V31"/>
    <mergeCell ref="D32:E32"/>
    <mergeCell ref="F32:H32"/>
    <mergeCell ref="J32:K32"/>
    <mergeCell ref="R32:V32"/>
    <mergeCell ref="D33:E33"/>
    <mergeCell ref="F33:H33"/>
    <mergeCell ref="J33:K33"/>
    <mergeCell ref="R33:V33"/>
    <mergeCell ref="D34:E34"/>
    <mergeCell ref="F34:H34"/>
    <mergeCell ref="J34:K34"/>
    <mergeCell ref="R34:V34"/>
    <mergeCell ref="D35:E35"/>
    <mergeCell ref="F35:H35"/>
    <mergeCell ref="J35:K35"/>
    <mergeCell ref="R35:V35"/>
    <mergeCell ref="D36:E36"/>
    <mergeCell ref="F36:H36"/>
    <mergeCell ref="J36:K36"/>
    <mergeCell ref="R36:V36"/>
    <mergeCell ref="D37:E37"/>
    <mergeCell ref="F37:H37"/>
    <mergeCell ref="J37:K37"/>
    <mergeCell ref="R37:V37"/>
    <mergeCell ref="D38:E38"/>
    <mergeCell ref="F38:H38"/>
    <mergeCell ref="J38:K38"/>
    <mergeCell ref="R38:V38"/>
    <mergeCell ref="D39:E39"/>
    <mergeCell ref="F39:H39"/>
    <mergeCell ref="J39:K39"/>
    <mergeCell ref="R39:V39"/>
    <mergeCell ref="D40:E40"/>
    <mergeCell ref="F40:H40"/>
    <mergeCell ref="J40:K40"/>
    <mergeCell ref="R40:V40"/>
    <mergeCell ref="A42:V42"/>
    <mergeCell ref="D43:E43"/>
    <mergeCell ref="K43:L43"/>
    <mergeCell ref="N43:V43"/>
    <mergeCell ref="D44:E44"/>
    <mergeCell ref="K44:L44"/>
    <mergeCell ref="N44:V44"/>
    <mergeCell ref="D45:E45"/>
    <mergeCell ref="K45:L45"/>
    <mergeCell ref="N45:V45"/>
    <mergeCell ref="D46:E46"/>
    <mergeCell ref="K46:L46"/>
    <mergeCell ref="N46:V46"/>
    <mergeCell ref="D47:E47"/>
    <mergeCell ref="K47:L47"/>
    <mergeCell ref="N47:V47"/>
    <mergeCell ref="D48:E48"/>
    <mergeCell ref="K48:L48"/>
    <mergeCell ref="N48:V48"/>
    <mergeCell ref="D49:E49"/>
    <mergeCell ref="K49:L49"/>
    <mergeCell ref="N49:V49"/>
    <mergeCell ref="D50:E50"/>
    <mergeCell ref="K50:L50"/>
    <mergeCell ref="N50:V50"/>
    <mergeCell ref="D51:E51"/>
    <mergeCell ref="K51:L51"/>
    <mergeCell ref="N51:V51"/>
    <mergeCell ref="D52:E52"/>
    <mergeCell ref="K52:L52"/>
    <mergeCell ref="N52:V52"/>
    <mergeCell ref="D53:E53"/>
    <mergeCell ref="K53:L53"/>
    <mergeCell ref="N53:V53"/>
    <mergeCell ref="D54:E54"/>
    <mergeCell ref="K54:L54"/>
    <mergeCell ref="N54:V54"/>
    <mergeCell ref="D55:E55"/>
    <mergeCell ref="K55:L55"/>
    <mergeCell ref="N55:V55"/>
    <mergeCell ref="A56:B56"/>
    <mergeCell ref="J56:V56"/>
    <mergeCell ref="A58:V58"/>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1" min="3" style="0" width="11"/>
    <col collapsed="false" customWidth="true" hidden="false" outlineLevel="0" max="22" min="22" style="0" width="36"/>
  </cols>
  <sheetData>
    <row r="1" customFormat="false" ht="18.55" hidden="false" customHeight="false" outlineLevel="0" collapsed="false">
      <c r="A1" s="1" t="s">
        <v>148</v>
      </c>
    </row>
    <row r="2" customFormat="false" ht="15" hidden="false" customHeight="false" outlineLevel="0" collapsed="false">
      <c r="A2" s="2" t="s">
        <v>149</v>
      </c>
    </row>
    <row r="3" customFormat="false" ht="15" hidden="false" customHeight="true" outlineLevel="0" collapsed="false">
      <c r="A3" s="23" t="s">
        <v>150</v>
      </c>
      <c r="B3" s="23"/>
      <c r="C3" s="23"/>
      <c r="D3" s="23"/>
      <c r="E3" s="23"/>
      <c r="F3" s="23"/>
      <c r="G3" s="23"/>
      <c r="H3" s="23"/>
      <c r="I3" s="23"/>
      <c r="J3" s="23"/>
      <c r="K3" s="23"/>
      <c r="L3" s="23"/>
      <c r="M3" s="23"/>
      <c r="N3" s="23"/>
      <c r="O3" s="23"/>
      <c r="P3" s="23"/>
      <c r="Q3" s="23"/>
      <c r="R3" s="23"/>
      <c r="S3" s="23"/>
      <c r="T3" s="23"/>
      <c r="U3" s="23"/>
      <c r="V3" s="23"/>
    </row>
    <row r="4" customFormat="false" ht="18" hidden="false" customHeight="true" outlineLevel="0" collapsed="false">
      <c r="A4" s="6" t="s">
        <v>151</v>
      </c>
      <c r="B4" s="6"/>
      <c r="C4" s="6"/>
      <c r="D4" s="6"/>
      <c r="E4" s="6"/>
      <c r="F4" s="6"/>
      <c r="G4" s="6"/>
      <c r="H4" s="6"/>
      <c r="I4" s="6"/>
      <c r="J4" s="6"/>
      <c r="K4" s="6"/>
      <c r="L4" s="6"/>
      <c r="M4" s="6"/>
      <c r="N4" s="6"/>
      <c r="O4" s="6"/>
      <c r="P4" s="6"/>
      <c r="Q4" s="6"/>
      <c r="R4" s="6"/>
      <c r="S4" s="6"/>
      <c r="T4" s="6"/>
      <c r="U4" s="6"/>
      <c r="V4" s="6"/>
    </row>
    <row r="5" customFormat="false" ht="15" hidden="false" customHeight="true" outlineLevel="0" collapsed="false">
      <c r="A5" s="4" t="s">
        <v>152</v>
      </c>
      <c r="B5" s="4"/>
      <c r="C5" s="24" t="n">
        <v>2900000</v>
      </c>
      <c r="D5" s="24"/>
      <c r="E5" s="24"/>
      <c r="F5" s="25" t="s">
        <v>153</v>
      </c>
      <c r="G5" s="25"/>
      <c r="H5" s="25"/>
      <c r="I5" s="25"/>
      <c r="J5" s="25"/>
      <c r="K5" s="25"/>
      <c r="L5" s="25"/>
      <c r="M5" s="25"/>
      <c r="N5" s="25"/>
      <c r="O5" s="25"/>
      <c r="P5" s="25"/>
      <c r="Q5" s="25"/>
      <c r="R5" s="25"/>
      <c r="S5" s="25"/>
      <c r="T5" s="25"/>
      <c r="U5" s="25"/>
      <c r="V5" s="25"/>
    </row>
    <row r="6" customFormat="false" ht="15" hidden="false" customHeight="true" outlineLevel="0" collapsed="false">
      <c r="A6" s="4" t="s">
        <v>110</v>
      </c>
      <c r="B6" s="4"/>
      <c r="C6" s="5" t="s">
        <v>154</v>
      </c>
      <c r="D6" s="5"/>
      <c r="E6" s="5"/>
      <c r="F6" s="25"/>
      <c r="G6" s="25"/>
      <c r="H6" s="25"/>
      <c r="I6" s="25"/>
      <c r="J6" s="25"/>
      <c r="K6" s="25"/>
      <c r="L6" s="25"/>
      <c r="M6" s="25"/>
      <c r="N6" s="25"/>
      <c r="O6" s="25"/>
      <c r="P6" s="25"/>
      <c r="Q6" s="25"/>
      <c r="R6" s="25"/>
      <c r="S6" s="25"/>
      <c r="T6" s="25"/>
      <c r="U6" s="25"/>
      <c r="V6" s="25"/>
    </row>
    <row r="7" customFormat="false" ht="40.5" hidden="false" customHeight="true" outlineLevel="0" collapsed="false">
      <c r="A7" s="4" t="s">
        <v>155</v>
      </c>
      <c r="B7" s="4"/>
      <c r="C7" s="5" t="s">
        <v>156</v>
      </c>
      <c r="D7" s="5"/>
      <c r="E7" s="5"/>
      <c r="F7" s="25"/>
      <c r="G7" s="25"/>
      <c r="H7" s="25"/>
      <c r="I7" s="25"/>
      <c r="J7" s="25"/>
      <c r="K7" s="25"/>
      <c r="L7" s="25"/>
      <c r="M7" s="25"/>
      <c r="N7" s="25"/>
      <c r="O7" s="25"/>
      <c r="P7" s="25"/>
      <c r="Q7" s="25"/>
      <c r="R7" s="25"/>
      <c r="S7" s="25"/>
      <c r="T7" s="25"/>
      <c r="U7" s="25"/>
      <c r="V7" s="25"/>
    </row>
    <row r="8" customFormat="false" ht="52.5" hidden="false" customHeight="true" outlineLevel="0" collapsed="false">
      <c r="A8" s="4" t="s">
        <v>111</v>
      </c>
      <c r="B8" s="4"/>
      <c r="C8" s="5" t="s">
        <v>157</v>
      </c>
      <c r="D8" s="5"/>
      <c r="E8" s="5"/>
      <c r="F8" s="25"/>
      <c r="G8" s="25"/>
      <c r="H8" s="25"/>
      <c r="I8" s="25"/>
      <c r="J8" s="25"/>
      <c r="K8" s="25"/>
      <c r="L8" s="25"/>
      <c r="M8" s="25"/>
      <c r="N8" s="25"/>
      <c r="O8" s="25"/>
      <c r="P8" s="25"/>
      <c r="Q8" s="25"/>
      <c r="R8" s="25"/>
      <c r="S8" s="25"/>
      <c r="T8" s="25"/>
      <c r="U8" s="25"/>
      <c r="V8" s="25"/>
    </row>
    <row r="9" customFormat="false" ht="15" hidden="false" customHeight="true" outlineLevel="0" collapsed="false">
      <c r="A9" s="4" t="s">
        <v>158</v>
      </c>
      <c r="B9" s="4"/>
      <c r="C9" s="26" t="n">
        <f aca="false">IF(ISNUMBER(S21),S21,"n.d.")</f>
        <v>2340000</v>
      </c>
      <c r="D9" s="26"/>
      <c r="E9" s="26"/>
      <c r="F9" s="25" t="s">
        <v>159</v>
      </c>
      <c r="G9" s="25"/>
      <c r="H9" s="25"/>
      <c r="I9" s="25"/>
      <c r="J9" s="25"/>
      <c r="K9" s="25"/>
      <c r="L9" s="25"/>
      <c r="M9" s="25"/>
      <c r="N9" s="25"/>
      <c r="O9" s="25"/>
      <c r="P9" s="25"/>
      <c r="Q9" s="25"/>
      <c r="R9" s="25"/>
      <c r="S9" s="25"/>
      <c r="T9" s="25"/>
      <c r="U9" s="25"/>
      <c r="V9" s="25"/>
    </row>
    <row r="10" customFormat="false" ht="27.75" hidden="false" customHeight="true" outlineLevel="0" collapsed="false">
      <c r="A10" s="4" t="s">
        <v>160</v>
      </c>
      <c r="B10" s="4"/>
      <c r="C10" s="5" t="s">
        <v>159</v>
      </c>
      <c r="D10" s="5"/>
      <c r="E10" s="5"/>
      <c r="F10" s="25"/>
      <c r="G10" s="25"/>
      <c r="H10" s="25"/>
      <c r="I10" s="25"/>
      <c r="J10" s="25"/>
      <c r="K10" s="25"/>
      <c r="L10" s="25"/>
      <c r="M10" s="25"/>
      <c r="N10" s="25"/>
      <c r="O10" s="25"/>
      <c r="P10" s="25"/>
      <c r="Q10" s="25"/>
      <c r="R10" s="25"/>
      <c r="S10" s="25"/>
      <c r="T10" s="25"/>
      <c r="U10" s="25"/>
      <c r="V10" s="25"/>
    </row>
    <row r="11" customFormat="false" ht="15" hidden="false" customHeight="true" outlineLevel="0" collapsed="false">
      <c r="A11" s="4" t="s">
        <v>114</v>
      </c>
      <c r="B11" s="4"/>
      <c r="C11" s="27" t="n">
        <f aca="false">IFERROR(C9/S19,"n.d.")</f>
        <v>0.975</v>
      </c>
      <c r="D11" s="27"/>
      <c r="E11" s="27"/>
      <c r="F11" s="25" t="s">
        <v>161</v>
      </c>
      <c r="G11" s="25"/>
      <c r="H11" s="25"/>
      <c r="I11" s="25"/>
      <c r="J11" s="25"/>
      <c r="K11" s="25"/>
      <c r="L11" s="25"/>
      <c r="M11" s="25"/>
      <c r="N11" s="25"/>
      <c r="O11" s="25"/>
      <c r="P11" s="25"/>
      <c r="Q11" s="25"/>
      <c r="R11" s="25"/>
      <c r="S11" s="25"/>
      <c r="T11" s="25"/>
      <c r="U11" s="25"/>
      <c r="V11" s="25"/>
    </row>
    <row r="12" customFormat="false" ht="15" hidden="false" customHeight="true" outlineLevel="0" collapsed="false">
      <c r="A12" s="4" t="s">
        <v>162</v>
      </c>
      <c r="B12" s="4"/>
      <c r="C12" s="26" t="n">
        <f aca="false">S19</f>
        <v>2400000</v>
      </c>
      <c r="D12" s="26"/>
      <c r="E12" s="26"/>
      <c r="F12" s="25" t="s">
        <v>163</v>
      </c>
      <c r="G12" s="25"/>
      <c r="H12" s="25"/>
      <c r="I12" s="25"/>
      <c r="J12" s="25"/>
      <c r="K12" s="25"/>
      <c r="L12" s="25"/>
      <c r="M12" s="25"/>
      <c r="N12" s="25"/>
      <c r="O12" s="25"/>
      <c r="P12" s="25"/>
      <c r="Q12" s="25"/>
      <c r="R12" s="25"/>
      <c r="S12" s="25"/>
      <c r="T12" s="25"/>
      <c r="U12" s="25"/>
      <c r="V12" s="25"/>
    </row>
    <row r="13" customFormat="false" ht="15" hidden="false" customHeight="true" outlineLevel="0" collapsed="false">
      <c r="A13" s="4" t="s">
        <v>164</v>
      </c>
      <c r="B13" s="4"/>
      <c r="C13" s="24" t="n">
        <v>4000000</v>
      </c>
      <c r="D13" s="24"/>
      <c r="E13" s="24"/>
      <c r="F13" s="25" t="s">
        <v>165</v>
      </c>
      <c r="G13" s="25"/>
      <c r="H13" s="25"/>
      <c r="I13" s="25"/>
      <c r="J13" s="25"/>
      <c r="K13" s="25"/>
      <c r="L13" s="25"/>
      <c r="M13" s="25"/>
      <c r="N13" s="25"/>
      <c r="O13" s="25"/>
      <c r="P13" s="25"/>
      <c r="Q13" s="25"/>
      <c r="R13" s="25"/>
      <c r="S13" s="25"/>
      <c r="T13" s="25"/>
      <c r="U13" s="25"/>
      <c r="V13" s="25"/>
    </row>
    <row r="14" customFormat="false" ht="15" hidden="false" customHeight="true" outlineLevel="0" collapsed="false">
      <c r="A14" s="4" t="s">
        <v>130</v>
      </c>
      <c r="B14" s="4"/>
      <c r="C14" s="5" t="s">
        <v>166</v>
      </c>
      <c r="D14" s="5"/>
      <c r="E14" s="5"/>
      <c r="F14" s="25"/>
      <c r="G14" s="25"/>
      <c r="H14" s="25"/>
      <c r="I14" s="25"/>
      <c r="J14" s="25"/>
      <c r="K14" s="25"/>
      <c r="L14" s="25"/>
      <c r="M14" s="25"/>
      <c r="N14" s="25"/>
      <c r="O14" s="25"/>
      <c r="P14" s="25"/>
      <c r="Q14" s="25"/>
      <c r="R14" s="25"/>
      <c r="S14" s="25"/>
      <c r="T14" s="25"/>
      <c r="U14" s="25"/>
      <c r="V14" s="25"/>
    </row>
    <row r="15" customFormat="false" ht="33" hidden="false" customHeight="true" outlineLevel="0" collapsed="false">
      <c r="A15" s="4" t="s">
        <v>120</v>
      </c>
      <c r="B15" s="4"/>
      <c r="C15" s="28" t="s">
        <v>167</v>
      </c>
      <c r="D15" s="28"/>
      <c r="E15" s="28"/>
      <c r="F15" s="28"/>
      <c r="G15" s="28"/>
      <c r="H15" s="28"/>
      <c r="I15" s="28"/>
      <c r="J15" s="28"/>
      <c r="K15" s="28"/>
      <c r="L15" s="28"/>
      <c r="M15" s="28"/>
      <c r="N15" s="28"/>
      <c r="O15" s="28"/>
      <c r="P15" s="28"/>
      <c r="Q15" s="28"/>
      <c r="R15" s="28"/>
      <c r="S15" s="28"/>
      <c r="T15" s="28"/>
      <c r="U15" s="28"/>
      <c r="V15" s="28"/>
    </row>
    <row r="17" customFormat="false" ht="18" hidden="false" customHeight="true" outlineLevel="0" collapsed="false">
      <c r="A17" s="6" t="s">
        <v>168</v>
      </c>
      <c r="B17" s="6"/>
      <c r="C17" s="6"/>
      <c r="D17" s="6"/>
      <c r="E17" s="6"/>
      <c r="F17" s="6"/>
      <c r="G17" s="6"/>
      <c r="H17" s="6"/>
      <c r="I17" s="6"/>
      <c r="J17" s="6"/>
      <c r="K17" s="6"/>
      <c r="L17" s="6"/>
      <c r="M17" s="6"/>
      <c r="N17" s="6"/>
      <c r="O17" s="6"/>
      <c r="P17" s="6"/>
      <c r="Q17" s="6"/>
      <c r="R17" s="6"/>
      <c r="S17" s="6"/>
      <c r="T17" s="6"/>
      <c r="U17" s="6"/>
      <c r="V17" s="6"/>
    </row>
    <row r="18" customFormat="false" ht="15" hidden="false" customHeight="true" outlineLevel="0" collapsed="false">
      <c r="A18" s="8" t="s">
        <v>169</v>
      </c>
      <c r="B18" s="9" t="s">
        <v>170</v>
      </c>
      <c r="C18" s="9" t="s">
        <v>71</v>
      </c>
      <c r="D18" s="9" t="s">
        <v>72</v>
      </c>
      <c r="E18" s="9" t="s">
        <v>73</v>
      </c>
      <c r="F18" s="9" t="s">
        <v>74</v>
      </c>
      <c r="G18" s="9" t="s">
        <v>75</v>
      </c>
      <c r="H18" s="9" t="s">
        <v>76</v>
      </c>
      <c r="I18" s="9" t="s">
        <v>77</v>
      </c>
      <c r="J18" s="9" t="s">
        <v>78</v>
      </c>
      <c r="K18" s="9" t="s">
        <v>79</v>
      </c>
      <c r="L18" s="9" t="s">
        <v>80</v>
      </c>
      <c r="M18" s="9" t="s">
        <v>81</v>
      </c>
      <c r="N18" s="9" t="s">
        <v>82</v>
      </c>
      <c r="O18" s="9" t="s">
        <v>83</v>
      </c>
      <c r="P18" s="9" t="s">
        <v>84</v>
      </c>
      <c r="Q18" s="9" t="s">
        <v>85</v>
      </c>
      <c r="R18" s="9" t="s">
        <v>86</v>
      </c>
      <c r="S18" s="9" t="s">
        <v>87</v>
      </c>
      <c r="T18" s="8" t="s">
        <v>171</v>
      </c>
      <c r="U18" s="8"/>
      <c r="V18" s="8"/>
    </row>
    <row r="19" customFormat="false" ht="24.75" hidden="false" customHeight="true" outlineLevel="0" collapsed="false">
      <c r="A19" s="10" t="s">
        <v>172</v>
      </c>
      <c r="B19" s="29" t="s">
        <v>173</v>
      </c>
      <c r="C19" s="30" t="n">
        <v>1000000</v>
      </c>
      <c r="D19" s="30" t="n">
        <v>1200000</v>
      </c>
      <c r="E19" s="5"/>
      <c r="F19" s="5"/>
      <c r="G19" s="5"/>
      <c r="H19" s="30" t="n">
        <v>1500000</v>
      </c>
      <c r="I19" s="30" t="n">
        <v>1500000</v>
      </c>
      <c r="J19" s="30" t="n">
        <v>1750000</v>
      </c>
      <c r="K19" s="30" t="n">
        <v>1750000</v>
      </c>
      <c r="L19" s="30" t="n">
        <v>2000000</v>
      </c>
      <c r="M19" s="30" t="n">
        <v>2000000</v>
      </c>
      <c r="N19" s="30" t="n">
        <v>2000000</v>
      </c>
      <c r="O19" s="30" t="n">
        <v>2250000</v>
      </c>
      <c r="P19" s="30" t="n">
        <v>2250000</v>
      </c>
      <c r="Q19" s="30" t="n">
        <v>2250000</v>
      </c>
      <c r="R19" s="30" t="n">
        <v>2600000</v>
      </c>
      <c r="S19" s="30" t="n">
        <v>2400000</v>
      </c>
      <c r="T19" s="25" t="s">
        <v>174</v>
      </c>
      <c r="U19" s="25"/>
      <c r="V19" s="25"/>
    </row>
    <row r="20" customFormat="false" ht="24.75" hidden="false" customHeight="true" outlineLevel="0" collapsed="false">
      <c r="A20" s="10" t="s">
        <v>175</v>
      </c>
      <c r="B20" s="29" t="s">
        <v>176</v>
      </c>
      <c r="C20" s="29" t="s">
        <v>177</v>
      </c>
      <c r="D20" s="29" t="s">
        <v>177</v>
      </c>
      <c r="E20" s="5"/>
      <c r="F20" s="5"/>
      <c r="G20" s="5"/>
      <c r="H20" s="29" t="s">
        <v>177</v>
      </c>
      <c r="I20" s="29" t="s">
        <v>177</v>
      </c>
      <c r="J20" s="29" t="s">
        <v>178</v>
      </c>
      <c r="K20" s="29" t="s">
        <v>178</v>
      </c>
      <c r="L20" s="29" t="s">
        <v>177</v>
      </c>
      <c r="M20" s="29" t="s">
        <v>177</v>
      </c>
      <c r="N20" s="29" t="s">
        <v>177</v>
      </c>
      <c r="O20" s="29" t="s">
        <v>177</v>
      </c>
      <c r="P20" s="29" t="s">
        <v>177</v>
      </c>
      <c r="Q20" s="29" t="s">
        <v>177</v>
      </c>
      <c r="R20" s="29" t="s">
        <v>177</v>
      </c>
      <c r="S20" s="29" t="s">
        <v>177</v>
      </c>
      <c r="T20" s="25" t="s">
        <v>179</v>
      </c>
      <c r="U20" s="25"/>
      <c r="V20" s="25"/>
    </row>
    <row r="21" customFormat="false" ht="24.75" hidden="false" customHeight="true" outlineLevel="0" collapsed="false">
      <c r="A21" s="10" t="s">
        <v>180</v>
      </c>
      <c r="B21" s="29" t="s">
        <v>181</v>
      </c>
      <c r="C21" s="5"/>
      <c r="D21" s="5"/>
      <c r="E21" s="5"/>
      <c r="F21" s="5"/>
      <c r="G21" s="5"/>
      <c r="H21" s="30" t="n">
        <v>1308128</v>
      </c>
      <c r="I21" s="5"/>
      <c r="J21" s="5"/>
      <c r="K21" s="5"/>
      <c r="L21" s="5"/>
      <c r="M21" s="5"/>
      <c r="N21" s="5"/>
      <c r="O21" s="5"/>
      <c r="P21" s="30" t="n">
        <v>1922000</v>
      </c>
      <c r="Q21" s="30" t="n">
        <v>1984000</v>
      </c>
      <c r="R21" s="30" t="n">
        <v>2102000</v>
      </c>
      <c r="S21" s="30" t="n">
        <v>2340000</v>
      </c>
      <c r="T21" s="25" t="s">
        <v>182</v>
      </c>
      <c r="U21" s="25"/>
      <c r="V21" s="25"/>
    </row>
    <row r="22" customFormat="false" ht="24.75" hidden="false" customHeight="true" outlineLevel="0" collapsed="false">
      <c r="A22" s="10" t="s">
        <v>183</v>
      </c>
      <c r="B22" s="29" t="s">
        <v>181</v>
      </c>
      <c r="C22" s="30" t="n">
        <v>1018365</v>
      </c>
      <c r="D22" s="5"/>
      <c r="E22" s="5"/>
      <c r="F22" s="5"/>
      <c r="G22" s="5"/>
      <c r="H22" s="5"/>
      <c r="I22" s="5"/>
      <c r="J22" s="5"/>
      <c r="K22" s="5"/>
      <c r="L22" s="5"/>
      <c r="M22" s="30" t="n">
        <v>1563297</v>
      </c>
      <c r="N22" s="30" t="n">
        <v>1457861</v>
      </c>
      <c r="O22" s="5"/>
      <c r="P22" s="5"/>
      <c r="Q22" s="5"/>
      <c r="R22" s="30" t="n">
        <v>2234266</v>
      </c>
      <c r="S22" s="30" t="n">
        <v>2422713</v>
      </c>
      <c r="T22" s="25" t="s">
        <v>184</v>
      </c>
      <c r="U22" s="25"/>
      <c r="V22" s="25"/>
    </row>
    <row r="23" customFormat="false" ht="24.75" hidden="false" customHeight="true" outlineLevel="0" collapsed="false">
      <c r="A23" s="10" t="s">
        <v>185</v>
      </c>
      <c r="B23" s="29" t="s">
        <v>181</v>
      </c>
      <c r="C23" s="30" t="n">
        <v>870790</v>
      </c>
      <c r="D23" s="5"/>
      <c r="E23" s="5"/>
      <c r="F23" s="5"/>
      <c r="G23" s="5"/>
      <c r="H23" s="5"/>
      <c r="I23" s="30" t="n">
        <v>1305351</v>
      </c>
      <c r="J23" s="30" t="n">
        <v>1444541</v>
      </c>
      <c r="K23" s="30" t="n">
        <v>1653500</v>
      </c>
      <c r="L23" s="30" t="n">
        <v>1753700</v>
      </c>
      <c r="M23" s="30" t="n">
        <v>1436124</v>
      </c>
      <c r="N23" s="30" t="n">
        <v>1323396</v>
      </c>
      <c r="O23" s="5"/>
      <c r="P23" s="5"/>
      <c r="Q23" s="5"/>
      <c r="R23" s="30" t="n">
        <v>1901681</v>
      </c>
      <c r="S23" s="30" t="n">
        <v>1974939</v>
      </c>
      <c r="T23" s="25" t="s">
        <v>186</v>
      </c>
      <c r="U23" s="25"/>
      <c r="V23" s="25"/>
    </row>
    <row r="24" customFormat="false" ht="15" hidden="false" customHeight="true" outlineLevel="0" collapsed="false">
      <c r="A24" s="10" t="s">
        <v>187</v>
      </c>
      <c r="B24" s="29" t="s">
        <v>181</v>
      </c>
      <c r="C24" s="30" t="n">
        <v>147575</v>
      </c>
      <c r="D24" s="5"/>
      <c r="E24" s="5"/>
      <c r="F24" s="5"/>
      <c r="G24" s="5"/>
      <c r="H24" s="5"/>
      <c r="I24" s="5"/>
      <c r="J24" s="5"/>
      <c r="K24" s="5"/>
      <c r="L24" s="5"/>
      <c r="M24" s="30" t="n">
        <v>102171</v>
      </c>
      <c r="N24" s="30" t="n">
        <v>96139</v>
      </c>
      <c r="O24" s="5"/>
      <c r="P24" s="5"/>
      <c r="Q24" s="5"/>
      <c r="R24" s="30" t="n">
        <v>332585</v>
      </c>
      <c r="S24" s="30" t="n">
        <v>447774</v>
      </c>
      <c r="T24" s="25"/>
      <c r="U24" s="25"/>
      <c r="V24" s="25"/>
    </row>
    <row r="25" customFormat="false" ht="24.75" hidden="false" customHeight="true" outlineLevel="0" collapsed="false">
      <c r="A25" s="10" t="s">
        <v>188</v>
      </c>
      <c r="B25" s="29" t="s">
        <v>189</v>
      </c>
      <c r="C25" s="17" t="str">
        <f aca="false">IF(AND(ISNUMBER(C21),ISNUMBER(C19)),C21/C19,"")</f>
        <v/>
      </c>
      <c r="D25" s="17" t="str">
        <f aca="false">IF(AND(ISNUMBER(D21),ISNUMBER(D19)),D21/D19,"")</f>
        <v/>
      </c>
      <c r="E25" s="17" t="str">
        <f aca="false">IF(AND(ISNUMBER(E21),ISNUMBER(E19)),E21/E19,"")</f>
        <v/>
      </c>
      <c r="F25" s="17" t="str">
        <f aca="false">IF(AND(ISNUMBER(F21),ISNUMBER(F19)),F21/F19,"")</f>
        <v/>
      </c>
      <c r="G25" s="17" t="str">
        <f aca="false">IF(AND(ISNUMBER(G21),ISNUMBER(G19)),G21/G19,"")</f>
        <v/>
      </c>
      <c r="H25" s="17" t="n">
        <f aca="false">IF(AND(ISNUMBER(H21),ISNUMBER(H19)),H21/H19,"")</f>
        <v>0.872085333333333</v>
      </c>
      <c r="I25" s="17" t="str">
        <f aca="false">IF(AND(ISNUMBER(I21),ISNUMBER(I19)),I21/I19,"")</f>
        <v/>
      </c>
      <c r="J25" s="17" t="str">
        <f aca="false">IF(AND(ISNUMBER(J21),ISNUMBER(J19)),J21/J19,"")</f>
        <v/>
      </c>
      <c r="K25" s="17" t="str">
        <f aca="false">IF(AND(ISNUMBER(K21),ISNUMBER(K19)),K21/K19,"")</f>
        <v/>
      </c>
      <c r="L25" s="17" t="str">
        <f aca="false">IF(AND(ISNUMBER(L21),ISNUMBER(L19)),L21/L19,"")</f>
        <v/>
      </c>
      <c r="M25" s="17" t="str">
        <f aca="false">IF(AND(ISNUMBER(M21),ISNUMBER(M19)),M21/M19,"")</f>
        <v/>
      </c>
      <c r="N25" s="17" t="str">
        <f aca="false">IF(AND(ISNUMBER(N21),ISNUMBER(N19)),N21/N19,"")</f>
        <v/>
      </c>
      <c r="O25" s="17" t="str">
        <f aca="false">IF(AND(ISNUMBER(O21),ISNUMBER(O19)),O21/O19,"")</f>
        <v/>
      </c>
      <c r="P25" s="17" t="n">
        <f aca="false">IF(AND(ISNUMBER(P21),ISNUMBER(P19)),P21/P19,"")</f>
        <v>0.854222222222222</v>
      </c>
      <c r="Q25" s="17" t="n">
        <f aca="false">IF(AND(ISNUMBER(Q21),ISNUMBER(Q19)),Q21/Q19,"")</f>
        <v>0.881777777777778</v>
      </c>
      <c r="R25" s="17" t="n">
        <f aca="false">IF(AND(ISNUMBER(R21),ISNUMBER(R19)),R21/R19,"")</f>
        <v>0.808461538461539</v>
      </c>
      <c r="S25" s="17" t="n">
        <f aca="false">IF(AND(ISNUMBER(S21),ISNUMBER(S19)),S21/S19,"")</f>
        <v>0.975</v>
      </c>
      <c r="T25" s="25" t="s">
        <v>190</v>
      </c>
      <c r="U25" s="25"/>
      <c r="V25" s="25"/>
    </row>
    <row r="26" customFormat="false" ht="15" hidden="false" customHeight="true" outlineLevel="0" collapsed="false">
      <c r="A26" s="10" t="s">
        <v>191</v>
      </c>
      <c r="B26" s="29" t="s">
        <v>189</v>
      </c>
      <c r="C26" s="17" t="str">
        <f aca="false">IF(AND(ISNUMBER(C21),ISNUMBER(C19)),C21/C19,"")</f>
        <v/>
      </c>
      <c r="D26" s="17" t="str">
        <f aca="false">IF(AND(ISNUMBER(D21),ISNUMBER(D19)),D21/IF(ISNUMBER(C19),AVERAGE(C19,D19),D19),"")</f>
        <v/>
      </c>
      <c r="E26" s="17" t="str">
        <f aca="false">IF(AND(ISNUMBER(E21),ISNUMBER(E19)),E21/IF(ISNUMBER(D19),AVERAGE(D19,E19),E19),"")</f>
        <v/>
      </c>
      <c r="F26" s="17" t="str">
        <f aca="false">IF(AND(ISNUMBER(F21),ISNUMBER(F19)),F21/IF(ISNUMBER(E19),AVERAGE(E19,F19),F19),"")</f>
        <v/>
      </c>
      <c r="G26" s="17" t="str">
        <f aca="false">IF(AND(ISNUMBER(G21),ISNUMBER(G19)),G21/IF(ISNUMBER(F19),AVERAGE(F19,G19),G19),"")</f>
        <v/>
      </c>
      <c r="H26" s="17" t="n">
        <f aca="false">IF(AND(ISNUMBER(H21),ISNUMBER(H19)),H21/IF(ISNUMBER(G19),AVERAGE(G19,H19),H19),"")</f>
        <v>0.872085333333333</v>
      </c>
      <c r="I26" s="17" t="str">
        <f aca="false">IF(AND(ISNUMBER(I21),ISNUMBER(I19)),I21/IF(ISNUMBER(H19),AVERAGE(H19,I19),I19),"")</f>
        <v/>
      </c>
      <c r="J26" s="17" t="str">
        <f aca="false">IF(AND(ISNUMBER(J21),ISNUMBER(J19)),J21/IF(ISNUMBER(I19),AVERAGE(I19,J19),J19),"")</f>
        <v/>
      </c>
      <c r="K26" s="17" t="str">
        <f aca="false">IF(AND(ISNUMBER(K21),ISNUMBER(K19)),K21/IF(ISNUMBER(J19),AVERAGE(J19,K19),K19),"")</f>
        <v/>
      </c>
      <c r="L26" s="17" t="str">
        <f aca="false">IF(AND(ISNUMBER(L21),ISNUMBER(L19)),L21/IF(ISNUMBER(K19),AVERAGE(K19,L19),L19),"")</f>
        <v/>
      </c>
      <c r="M26" s="17" t="str">
        <f aca="false">IF(AND(ISNUMBER(M21),ISNUMBER(M19)),M21/IF(ISNUMBER(L19),AVERAGE(L19,M19),M19),"")</f>
        <v/>
      </c>
      <c r="N26" s="17" t="str">
        <f aca="false">IF(AND(ISNUMBER(N21),ISNUMBER(N19)),N21/IF(ISNUMBER(M19),AVERAGE(M19,N19),N19),"")</f>
        <v/>
      </c>
      <c r="O26" s="17" t="str">
        <f aca="false">IF(AND(ISNUMBER(O21),ISNUMBER(O19)),O21/IF(ISNUMBER(N19),AVERAGE(N19,O19),O19),"")</f>
        <v/>
      </c>
      <c r="P26" s="17" t="n">
        <f aca="false">IF(AND(ISNUMBER(P21),ISNUMBER(P19)),P21/IF(ISNUMBER(O19),AVERAGE(O19,P19),P19),"")</f>
        <v>0.854222222222222</v>
      </c>
      <c r="Q26" s="17" t="n">
        <f aca="false">IF(AND(ISNUMBER(Q21),ISNUMBER(Q19)),Q21/IF(ISNUMBER(P19),AVERAGE(P19,Q19),Q19),"")</f>
        <v>0.881777777777778</v>
      </c>
      <c r="R26" s="17" t="n">
        <f aca="false">IF(AND(ISNUMBER(R21),ISNUMBER(R19)),R21/IF(ISNUMBER(Q19),AVERAGE(Q19,R19),R19),"")</f>
        <v>0.86680412371134</v>
      </c>
      <c r="S26" s="17" t="n">
        <f aca="false">IF(AND(ISNUMBER(S21),ISNUMBER(S19)),S21/IF(ISNUMBER(R19),AVERAGE(R19,S19),S19),"")</f>
        <v>0.936</v>
      </c>
      <c r="T26" s="25" t="s">
        <v>192</v>
      </c>
      <c r="U26" s="25"/>
      <c r="V26" s="25"/>
    </row>
    <row r="27" customFormat="false" ht="24.75" hidden="false" customHeight="true" outlineLevel="0" collapsed="false">
      <c r="A27" s="10" t="s">
        <v>193</v>
      </c>
      <c r="B27" s="29" t="s">
        <v>189</v>
      </c>
      <c r="C27" s="17" t="n">
        <f aca="false">IF(ISNUMBER(C19),IF(ISNUMBER(C22),C22/C19,IF(ISNUMBER(C23),C23/C19,"")),"")</f>
        <v>1.018365</v>
      </c>
      <c r="D27" s="17" t="str">
        <f aca="false">IF(ISNUMBER(D19),IF(ISNUMBER(D22),D22/D19,IF(ISNUMBER(D23),D23/D19,"")),"")</f>
        <v/>
      </c>
      <c r="E27" s="17" t="str">
        <f aca="false">IF(ISNUMBER(E19),IF(ISNUMBER(E22),E22/E19,IF(ISNUMBER(E23),E23/E19,"")),"")</f>
        <v/>
      </c>
      <c r="F27" s="17" t="str">
        <f aca="false">IF(ISNUMBER(F19),IF(ISNUMBER(F22),F22/F19,IF(ISNUMBER(F23),F23/F19,"")),"")</f>
        <v/>
      </c>
      <c r="G27" s="17" t="str">
        <f aca="false">IF(ISNUMBER(G19),IF(ISNUMBER(G22),G22/G19,IF(ISNUMBER(G23),G23/G19,"")),"")</f>
        <v/>
      </c>
      <c r="H27" s="17" t="str">
        <f aca="false">IF(ISNUMBER(H19),IF(ISNUMBER(H22),H22/H19,IF(ISNUMBER(H23),H23/H19,"")),"")</f>
        <v/>
      </c>
      <c r="I27" s="17" t="n">
        <f aca="false">IF(ISNUMBER(I19),IF(ISNUMBER(I22),I22/I19,IF(ISNUMBER(I23),I23/I19,"")),"")</f>
        <v>0.870234</v>
      </c>
      <c r="J27" s="17" t="n">
        <f aca="false">IF(ISNUMBER(J19),IF(ISNUMBER(J22),J22/J19,IF(ISNUMBER(J23),J23/J19,"")),"")</f>
        <v>0.825452</v>
      </c>
      <c r="K27" s="17" t="n">
        <f aca="false">IF(ISNUMBER(K19),IF(ISNUMBER(K22),K22/K19,IF(ISNUMBER(K23),K23/K19,"")),"")</f>
        <v>0.944857142857143</v>
      </c>
      <c r="L27" s="17" t="n">
        <f aca="false">IF(ISNUMBER(L19),IF(ISNUMBER(L22),L22/L19,IF(ISNUMBER(L23),L23/L19,"")),"")</f>
        <v>0.87685</v>
      </c>
      <c r="M27" s="17" t="n">
        <f aca="false">IF(ISNUMBER(M19),IF(ISNUMBER(M22),M22/M19,IF(ISNUMBER(M23),M23/M19,"")),"")</f>
        <v>0.7816485</v>
      </c>
      <c r="N27" s="17" t="n">
        <f aca="false">IF(ISNUMBER(N19),IF(ISNUMBER(N22),N22/N19,IF(ISNUMBER(N23),N23/N19,"")),"")</f>
        <v>0.7289305</v>
      </c>
      <c r="O27" s="17" t="str">
        <f aca="false">IF(ISNUMBER(O19),IF(ISNUMBER(O22),O22/O19,IF(ISNUMBER(O23),O23/O19,"")),"")</f>
        <v/>
      </c>
      <c r="P27" s="17" t="str">
        <f aca="false">IF(ISNUMBER(P19),IF(ISNUMBER(P22),P22/P19,IF(ISNUMBER(P23),P23/P19,"")),"")</f>
        <v/>
      </c>
      <c r="Q27" s="17" t="str">
        <f aca="false">IF(ISNUMBER(Q19),IF(ISNUMBER(Q22),Q22/Q19,IF(ISNUMBER(Q23),Q23/Q19,"")),"")</f>
        <v/>
      </c>
      <c r="R27" s="17" t="n">
        <f aca="false">IF(ISNUMBER(R19),IF(ISNUMBER(R22),R22/R19,IF(ISNUMBER(R23),R23/R19,"")),"")</f>
        <v>0.859333076923077</v>
      </c>
      <c r="S27" s="17" t="n">
        <f aca="false">IF(ISNUMBER(S19),IF(ISNUMBER(S22),S22/S19,IF(ISNUMBER(S23),S23/S19,"")),"")</f>
        <v>1.00946375</v>
      </c>
      <c r="T27" s="25" t="s">
        <v>194</v>
      </c>
      <c r="U27" s="25"/>
      <c r="V27" s="25"/>
    </row>
    <row r="28" customFormat="false" ht="15" hidden="false" customHeight="true" outlineLevel="0" collapsed="false">
      <c r="A28" s="10" t="s">
        <v>195</v>
      </c>
      <c r="B28" s="29" t="s">
        <v>173</v>
      </c>
      <c r="C28" s="5"/>
      <c r="D28" s="18" t="n">
        <f aca="false">IF(AND(ISNUMBER(D19),ISNUMBER(C19)),D19-C19,"")</f>
        <v>200000</v>
      </c>
      <c r="E28" s="18" t="str">
        <f aca="false">IF(AND(ISNUMBER(E19),ISNUMBER(D19)),E19-D19,"")</f>
        <v/>
      </c>
      <c r="F28" s="18" t="str">
        <f aca="false">IF(AND(ISNUMBER(F19),ISNUMBER(E19)),F19-E19,"")</f>
        <v/>
      </c>
      <c r="G28" s="18" t="str">
        <f aca="false">IF(AND(ISNUMBER(G19),ISNUMBER(F19)),G19-F19,"")</f>
        <v/>
      </c>
      <c r="H28" s="18" t="str">
        <f aca="false">IF(AND(ISNUMBER(H19),ISNUMBER(G19)),H19-G19,"")</f>
        <v/>
      </c>
      <c r="I28" s="18" t="n">
        <f aca="false">IF(AND(ISNUMBER(I19),ISNUMBER(H19)),I19-H19,"")</f>
        <v>0</v>
      </c>
      <c r="J28" s="18" t="n">
        <f aca="false">IF(AND(ISNUMBER(J19),ISNUMBER(I19)),J19-I19,"")</f>
        <v>250000</v>
      </c>
      <c r="K28" s="18" t="n">
        <f aca="false">IF(AND(ISNUMBER(K19),ISNUMBER(J19)),K19-J19,"")</f>
        <v>0</v>
      </c>
      <c r="L28" s="18" t="n">
        <f aca="false">IF(AND(ISNUMBER(L19),ISNUMBER(K19)),L19-K19,"")</f>
        <v>250000</v>
      </c>
      <c r="M28" s="18" t="n">
        <f aca="false">IF(AND(ISNUMBER(M19),ISNUMBER(L19)),M19-L19,"")</f>
        <v>0</v>
      </c>
      <c r="N28" s="18" t="n">
        <f aca="false">IF(AND(ISNUMBER(N19),ISNUMBER(M19)),N19-M19,"")</f>
        <v>0</v>
      </c>
      <c r="O28" s="18" t="n">
        <f aca="false">IF(AND(ISNUMBER(O19),ISNUMBER(N19)),O19-N19,"")</f>
        <v>250000</v>
      </c>
      <c r="P28" s="18" t="n">
        <f aca="false">IF(AND(ISNUMBER(P19),ISNUMBER(O19)),P19-O19,"")</f>
        <v>0</v>
      </c>
      <c r="Q28" s="18" t="n">
        <f aca="false">IF(AND(ISNUMBER(Q19),ISNUMBER(P19)),Q19-P19,"")</f>
        <v>0</v>
      </c>
      <c r="R28" s="18" t="n">
        <f aca="false">IF(AND(ISNUMBER(R19),ISNUMBER(Q19)),R19-Q19,"")</f>
        <v>350000</v>
      </c>
      <c r="S28" s="18" t="n">
        <f aca="false">IF(AND(ISNUMBER(S19),ISNUMBER(R19)),S19-R19,"")</f>
        <v>-200000</v>
      </c>
      <c r="T28" s="25" t="s">
        <v>196</v>
      </c>
      <c r="U28" s="25"/>
      <c r="V28" s="25"/>
    </row>
    <row r="29" customFormat="false" ht="24.75" hidden="false" customHeight="true" outlineLevel="0" collapsed="false">
      <c r="A29" s="10" t="s">
        <v>197</v>
      </c>
      <c r="B29" s="29" t="s">
        <v>189</v>
      </c>
      <c r="C29" s="31"/>
      <c r="D29" s="31"/>
      <c r="E29" s="31"/>
      <c r="F29" s="31"/>
      <c r="G29" s="31"/>
      <c r="H29" s="31"/>
      <c r="I29" s="31"/>
      <c r="J29" s="31"/>
      <c r="K29" s="31"/>
      <c r="L29" s="31"/>
      <c r="M29" s="31"/>
      <c r="N29" s="31"/>
      <c r="O29" s="31"/>
      <c r="P29" s="31"/>
      <c r="Q29" s="31"/>
      <c r="R29" s="31"/>
      <c r="S29" s="31"/>
      <c r="T29" s="25" t="s">
        <v>198</v>
      </c>
      <c r="U29" s="25"/>
      <c r="V29" s="25"/>
    </row>
    <row r="30" customFormat="false" ht="36" hidden="false" customHeight="true" outlineLevel="0" collapsed="false">
      <c r="A30" s="10" t="s">
        <v>199</v>
      </c>
      <c r="B30" s="29"/>
      <c r="C30" s="29" t="s">
        <v>200</v>
      </c>
      <c r="D30" s="29" t="s">
        <v>201</v>
      </c>
      <c r="E30" s="29" t="s">
        <v>202</v>
      </c>
      <c r="F30" s="29" t="s">
        <v>203</v>
      </c>
      <c r="G30" s="29" t="s">
        <v>204</v>
      </c>
      <c r="H30" s="29" t="s">
        <v>205</v>
      </c>
      <c r="I30" s="29" t="s">
        <v>206</v>
      </c>
      <c r="J30" s="29" t="s">
        <v>207</v>
      </c>
      <c r="K30" s="29" t="s">
        <v>208</v>
      </c>
      <c r="L30" s="29" t="s">
        <v>209</v>
      </c>
      <c r="M30" s="29" t="s">
        <v>210</v>
      </c>
      <c r="N30" s="29" t="s">
        <v>210</v>
      </c>
      <c r="O30" s="29" t="s">
        <v>211</v>
      </c>
      <c r="P30" s="29" t="s">
        <v>212</v>
      </c>
      <c r="Q30" s="29" t="s">
        <v>213</v>
      </c>
      <c r="R30" s="29" t="s">
        <v>214</v>
      </c>
      <c r="S30" s="29" t="s">
        <v>215</v>
      </c>
      <c r="T30" s="25"/>
      <c r="U30" s="25"/>
      <c r="V30" s="25"/>
    </row>
    <row r="31" customFormat="false" ht="57.75" hidden="false" customHeight="true" outlineLevel="0" collapsed="false">
      <c r="A31" s="10" t="s">
        <v>216</v>
      </c>
      <c r="B31" s="29"/>
      <c r="C31" s="25" t="s">
        <v>217</v>
      </c>
      <c r="D31" s="25" t="s">
        <v>218</v>
      </c>
      <c r="E31" s="25" t="s">
        <v>219</v>
      </c>
      <c r="F31" s="25" t="s">
        <v>220</v>
      </c>
      <c r="G31" s="25" t="s">
        <v>221</v>
      </c>
      <c r="H31" s="25" t="s">
        <v>222</v>
      </c>
      <c r="I31" s="25" t="s">
        <v>223</v>
      </c>
      <c r="J31" s="25" t="s">
        <v>224</v>
      </c>
      <c r="K31" s="25" t="s">
        <v>225</v>
      </c>
      <c r="L31" s="25" t="s">
        <v>226</v>
      </c>
      <c r="M31" s="25" t="s">
        <v>227</v>
      </c>
      <c r="N31" s="25" t="s">
        <v>227</v>
      </c>
      <c r="O31" s="25" t="s">
        <v>228</v>
      </c>
      <c r="P31" s="25" t="s">
        <v>229</v>
      </c>
      <c r="Q31" s="25" t="s">
        <v>230</v>
      </c>
      <c r="R31" s="25" t="s">
        <v>231</v>
      </c>
      <c r="S31" s="25" t="s">
        <v>232</v>
      </c>
      <c r="T31" s="25"/>
      <c r="U31" s="25"/>
      <c r="V31" s="25"/>
    </row>
    <row r="33" customFormat="false" ht="18" hidden="false" customHeight="true" outlineLevel="0" collapsed="false">
      <c r="A33" s="6" t="s">
        <v>233</v>
      </c>
      <c r="B33" s="6"/>
      <c r="C33" s="6"/>
      <c r="D33" s="6"/>
      <c r="E33" s="6"/>
      <c r="F33" s="6"/>
      <c r="G33" s="6"/>
      <c r="H33" s="6"/>
      <c r="I33" s="6"/>
      <c r="J33" s="6"/>
      <c r="K33" s="6"/>
      <c r="L33" s="6"/>
      <c r="M33" s="6"/>
      <c r="N33" s="6"/>
      <c r="O33" s="6"/>
      <c r="P33" s="6"/>
      <c r="Q33" s="6"/>
      <c r="R33" s="6"/>
      <c r="S33" s="6"/>
      <c r="T33" s="6"/>
      <c r="U33" s="6"/>
      <c r="V33" s="6"/>
    </row>
    <row r="34" customFormat="false" ht="15" hidden="false" customHeight="true" outlineLevel="0" collapsed="false">
      <c r="A34" s="8" t="s">
        <v>234</v>
      </c>
      <c r="B34" s="9" t="s">
        <v>170</v>
      </c>
      <c r="C34" s="9" t="s">
        <v>71</v>
      </c>
      <c r="D34" s="9" t="s">
        <v>72</v>
      </c>
      <c r="E34" s="9" t="s">
        <v>73</v>
      </c>
      <c r="F34" s="9" t="s">
        <v>74</v>
      </c>
      <c r="G34" s="9" t="s">
        <v>75</v>
      </c>
      <c r="H34" s="9" t="s">
        <v>76</v>
      </c>
      <c r="I34" s="9" t="s">
        <v>77</v>
      </c>
      <c r="J34" s="9" t="s">
        <v>78</v>
      </c>
      <c r="K34" s="9" t="s">
        <v>79</v>
      </c>
      <c r="L34" s="9" t="s">
        <v>80</v>
      </c>
      <c r="M34" s="9" t="s">
        <v>81</v>
      </c>
      <c r="N34" s="9" t="s">
        <v>82</v>
      </c>
      <c r="O34" s="9" t="s">
        <v>83</v>
      </c>
      <c r="P34" s="9" t="s">
        <v>84</v>
      </c>
      <c r="Q34" s="9" t="s">
        <v>85</v>
      </c>
      <c r="R34" s="9" t="s">
        <v>86</v>
      </c>
      <c r="S34" s="9" t="s">
        <v>87</v>
      </c>
      <c r="T34" s="8" t="s">
        <v>235</v>
      </c>
      <c r="U34" s="8"/>
      <c r="V34" s="8"/>
    </row>
    <row r="35" customFormat="false" ht="24.75" hidden="false" customHeight="true" outlineLevel="0" collapsed="false">
      <c r="A35" s="10" t="s">
        <v>236</v>
      </c>
      <c r="B35" s="29" t="s">
        <v>173</v>
      </c>
      <c r="C35" s="30" t="n">
        <v>700000</v>
      </c>
      <c r="D35" s="30" t="n">
        <v>850000</v>
      </c>
      <c r="E35" s="32"/>
      <c r="F35" s="32"/>
      <c r="G35" s="32"/>
      <c r="H35" s="32"/>
      <c r="I35" s="30" t="n">
        <v>700000</v>
      </c>
      <c r="J35" s="32"/>
      <c r="K35" s="32"/>
      <c r="L35" s="32"/>
      <c r="M35" s="32"/>
      <c r="N35" s="32"/>
      <c r="O35" s="32"/>
      <c r="P35" s="32"/>
      <c r="Q35" s="32"/>
      <c r="R35" s="30" t="n">
        <v>700000</v>
      </c>
      <c r="S35" s="30" t="n">
        <v>500000</v>
      </c>
      <c r="T35" s="25" t="s">
        <v>237</v>
      </c>
      <c r="U35" s="25"/>
      <c r="V35" s="25"/>
    </row>
    <row r="36" customFormat="false" ht="24.75" hidden="false" customHeight="true" outlineLevel="0" collapsed="false">
      <c r="A36" s="10" t="s">
        <v>238</v>
      </c>
      <c r="B36" s="29" t="s">
        <v>173</v>
      </c>
      <c r="C36" s="30" t="n">
        <v>300000</v>
      </c>
      <c r="D36" s="30" t="n">
        <v>350000</v>
      </c>
      <c r="E36" s="32"/>
      <c r="F36" s="32"/>
      <c r="G36" s="32"/>
      <c r="H36" s="32"/>
      <c r="I36" s="30" t="n">
        <v>800000</v>
      </c>
      <c r="J36" s="32"/>
      <c r="K36" s="32"/>
      <c r="L36" s="32"/>
      <c r="M36" s="32"/>
      <c r="N36" s="32"/>
      <c r="O36" s="32"/>
      <c r="P36" s="32"/>
      <c r="Q36" s="32"/>
      <c r="R36" s="30" t="n">
        <v>900000</v>
      </c>
      <c r="S36" s="30" t="n">
        <v>900000</v>
      </c>
      <c r="T36" s="25" t="s">
        <v>239</v>
      </c>
      <c r="U36" s="25"/>
      <c r="V36" s="25"/>
    </row>
    <row r="37" customFormat="false" ht="15" hidden="false" customHeight="true" outlineLevel="0" collapsed="false">
      <c r="A37" s="10" t="s">
        <v>240</v>
      </c>
      <c r="B37" s="29" t="s">
        <v>173</v>
      </c>
      <c r="C37" s="32"/>
      <c r="D37" s="32"/>
      <c r="E37" s="32"/>
      <c r="F37" s="32"/>
      <c r="G37" s="32"/>
      <c r="H37" s="32"/>
      <c r="I37" s="32"/>
      <c r="J37" s="32"/>
      <c r="K37" s="32"/>
      <c r="L37" s="30" t="n">
        <v>1500000</v>
      </c>
      <c r="M37" s="32"/>
      <c r="N37" s="30" t="n">
        <v>1500000</v>
      </c>
      <c r="O37" s="32"/>
      <c r="P37" s="30" t="n">
        <v>1500000</v>
      </c>
      <c r="Q37" s="32"/>
      <c r="R37" s="32"/>
      <c r="S37" s="32"/>
      <c r="T37" s="25" t="s">
        <v>241</v>
      </c>
      <c r="U37" s="25"/>
      <c r="V37" s="25"/>
    </row>
    <row r="38" customFormat="false" ht="24.75" hidden="false" customHeight="true" outlineLevel="0" collapsed="false">
      <c r="A38" s="10" t="s">
        <v>242</v>
      </c>
      <c r="B38" s="29" t="s">
        <v>173</v>
      </c>
      <c r="C38" s="32"/>
      <c r="D38" s="32"/>
      <c r="E38" s="32"/>
      <c r="F38" s="32"/>
      <c r="G38" s="32"/>
      <c r="H38" s="32"/>
      <c r="I38" s="32"/>
      <c r="J38" s="30" t="n">
        <v>250000</v>
      </c>
      <c r="K38" s="30" t="n">
        <v>250000</v>
      </c>
      <c r="L38" s="30" t="n">
        <v>500000</v>
      </c>
      <c r="M38" s="30" t="n">
        <v>500000</v>
      </c>
      <c r="N38" s="30" t="n">
        <v>500000</v>
      </c>
      <c r="O38" s="30" t="n">
        <v>750000</v>
      </c>
      <c r="P38" s="30" t="n">
        <v>750000</v>
      </c>
      <c r="Q38" s="30" t="n">
        <v>750000</v>
      </c>
      <c r="R38" s="30" t="n">
        <v>750000</v>
      </c>
      <c r="S38" s="30" t="n">
        <v>750000</v>
      </c>
      <c r="T38" s="25" t="s">
        <v>243</v>
      </c>
      <c r="U38" s="25"/>
      <c r="V38" s="25"/>
    </row>
    <row r="39" customFormat="false" ht="15" hidden="false" customHeight="true" outlineLevel="0" collapsed="false">
      <c r="A39" s="10" t="s">
        <v>244</v>
      </c>
      <c r="B39" s="29" t="s">
        <v>173</v>
      </c>
      <c r="C39" s="32"/>
      <c r="D39" s="32"/>
      <c r="E39" s="32"/>
      <c r="F39" s="32"/>
      <c r="G39" s="32"/>
      <c r="H39" s="32"/>
      <c r="I39" s="32"/>
      <c r="J39" s="32"/>
      <c r="K39" s="32"/>
      <c r="L39" s="32"/>
      <c r="M39" s="32"/>
      <c r="N39" s="32"/>
      <c r="O39" s="32"/>
      <c r="P39" s="32"/>
      <c r="Q39" s="32"/>
      <c r="R39" s="30" t="n">
        <v>250000</v>
      </c>
      <c r="S39" s="30" t="n">
        <v>250000</v>
      </c>
      <c r="T39" s="25" t="s">
        <v>245</v>
      </c>
      <c r="U39" s="25"/>
      <c r="V39" s="25"/>
    </row>
    <row r="40" customFormat="false" ht="15" hidden="false" customHeight="true" outlineLevel="0" collapsed="false">
      <c r="A40" s="10" t="s">
        <v>246</v>
      </c>
      <c r="B40" s="29" t="s">
        <v>247</v>
      </c>
      <c r="C40" s="32"/>
      <c r="D40" s="32"/>
      <c r="E40" s="32"/>
      <c r="F40" s="32"/>
      <c r="G40" s="32"/>
      <c r="H40" s="32"/>
      <c r="I40" s="32"/>
      <c r="J40" s="32"/>
      <c r="K40" s="32"/>
      <c r="L40" s="32"/>
      <c r="M40" s="32"/>
      <c r="N40" s="32"/>
      <c r="O40" s="30" t="n">
        <v>500000</v>
      </c>
      <c r="P40" s="32"/>
      <c r="Q40" s="32"/>
      <c r="R40" s="32"/>
      <c r="S40" s="32"/>
      <c r="T40" s="25" t="s">
        <v>248</v>
      </c>
      <c r="U40" s="25"/>
      <c r="V40" s="25"/>
    </row>
    <row r="42" customFormat="false" ht="18" hidden="false" customHeight="true" outlineLevel="0" collapsed="false">
      <c r="A42" s="6" t="s">
        <v>249</v>
      </c>
      <c r="B42" s="6"/>
      <c r="C42" s="6"/>
      <c r="D42" s="6"/>
      <c r="E42" s="6"/>
      <c r="F42" s="6"/>
      <c r="G42" s="6"/>
      <c r="H42" s="6"/>
      <c r="I42" s="6"/>
      <c r="J42" s="6"/>
      <c r="K42" s="6"/>
      <c r="L42" s="6"/>
      <c r="M42" s="6"/>
      <c r="N42" s="6"/>
      <c r="O42" s="6"/>
      <c r="P42" s="6"/>
      <c r="Q42" s="6"/>
      <c r="R42" s="6"/>
      <c r="S42" s="6"/>
      <c r="T42" s="6"/>
      <c r="U42" s="6"/>
      <c r="V42" s="6"/>
    </row>
    <row r="43" customFormat="false" ht="40.5" hidden="false" customHeight="true" outlineLevel="0" collapsed="false">
      <c r="A43" s="9" t="s">
        <v>250</v>
      </c>
      <c r="B43" s="9" t="s">
        <v>251</v>
      </c>
      <c r="C43" s="9"/>
      <c r="D43" s="9" t="s">
        <v>252</v>
      </c>
      <c r="E43" s="9"/>
      <c r="F43" s="9" t="s">
        <v>253</v>
      </c>
      <c r="G43" s="9" t="s">
        <v>254</v>
      </c>
      <c r="H43" s="9"/>
      <c r="I43" s="9" t="s">
        <v>255</v>
      </c>
      <c r="J43" s="9"/>
      <c r="K43" s="9"/>
      <c r="L43" s="9"/>
      <c r="M43" s="9" t="s">
        <v>256</v>
      </c>
      <c r="N43" s="9"/>
      <c r="O43" s="9" t="s">
        <v>257</v>
      </c>
      <c r="P43" s="9" t="s">
        <v>258</v>
      </c>
      <c r="Q43" s="9" t="s">
        <v>110</v>
      </c>
      <c r="R43" s="9" t="s">
        <v>259</v>
      </c>
      <c r="S43" s="9" t="s">
        <v>171</v>
      </c>
      <c r="T43" s="9"/>
      <c r="U43" s="9"/>
      <c r="V43" s="9" t="s">
        <v>260</v>
      </c>
    </row>
    <row r="44" customFormat="false" ht="40.5" hidden="false" customHeight="true" outlineLevel="0" collapsed="false">
      <c r="A44" s="10" t="s">
        <v>261</v>
      </c>
      <c r="B44" s="5" t="s">
        <v>262</v>
      </c>
      <c r="C44" s="5"/>
      <c r="D44" s="5" t="s">
        <v>263</v>
      </c>
      <c r="E44" s="5"/>
      <c r="F44" s="5" t="s">
        <v>264</v>
      </c>
      <c r="G44" s="5" t="s">
        <v>265</v>
      </c>
      <c r="H44" s="5"/>
      <c r="I44" s="5" t="s">
        <v>266</v>
      </c>
      <c r="J44" s="5"/>
      <c r="K44" s="5"/>
      <c r="L44" s="5"/>
      <c r="M44" s="5" t="s">
        <v>267</v>
      </c>
      <c r="N44" s="5"/>
      <c r="O44" s="5"/>
      <c r="P44" s="30" t="n">
        <v>500000</v>
      </c>
      <c r="Q44" s="5" t="s">
        <v>268</v>
      </c>
      <c r="R44" s="5" t="s">
        <v>269</v>
      </c>
      <c r="S44" s="5" t="s">
        <v>270</v>
      </c>
      <c r="T44" s="5"/>
      <c r="U44" s="5"/>
      <c r="V44" s="5" t="s">
        <v>271</v>
      </c>
    </row>
    <row r="45" customFormat="false" ht="65.25" hidden="false" customHeight="true" outlineLevel="0" collapsed="false">
      <c r="A45" s="10" t="s">
        <v>272</v>
      </c>
      <c r="B45" s="5" t="s">
        <v>273</v>
      </c>
      <c r="C45" s="5"/>
      <c r="D45" s="5" t="s">
        <v>263</v>
      </c>
      <c r="E45" s="5"/>
      <c r="F45" s="5" t="s">
        <v>274</v>
      </c>
      <c r="G45" s="5" t="s">
        <v>91</v>
      </c>
      <c r="H45" s="5"/>
      <c r="I45" s="5" t="s">
        <v>275</v>
      </c>
      <c r="J45" s="5"/>
      <c r="K45" s="5"/>
      <c r="L45" s="5"/>
      <c r="M45" s="5" t="s">
        <v>276</v>
      </c>
      <c r="N45" s="5"/>
      <c r="O45" s="30" t="n">
        <v>300000</v>
      </c>
      <c r="P45" s="30" t="n">
        <v>900000</v>
      </c>
      <c r="Q45" s="5" t="s">
        <v>268</v>
      </c>
      <c r="R45" s="5" t="s">
        <v>277</v>
      </c>
      <c r="S45" s="5" t="s">
        <v>278</v>
      </c>
      <c r="T45" s="5"/>
      <c r="U45" s="5"/>
      <c r="V45" s="5" t="s">
        <v>279</v>
      </c>
    </row>
    <row r="46" customFormat="false" ht="65.25" hidden="false" customHeight="true" outlineLevel="0" collapsed="false">
      <c r="A46" s="10" t="s">
        <v>280</v>
      </c>
      <c r="B46" s="5" t="s">
        <v>281</v>
      </c>
      <c r="C46" s="5"/>
      <c r="D46" s="5" t="s">
        <v>282</v>
      </c>
      <c r="E46" s="5"/>
      <c r="F46" s="5" t="s">
        <v>283</v>
      </c>
      <c r="G46" s="5" t="s">
        <v>284</v>
      </c>
      <c r="H46" s="5"/>
      <c r="I46" s="5" t="s">
        <v>285</v>
      </c>
      <c r="J46" s="5"/>
      <c r="K46" s="5"/>
      <c r="L46" s="5"/>
      <c r="M46" s="5" t="s">
        <v>286</v>
      </c>
      <c r="N46" s="5"/>
      <c r="O46" s="30" t="n">
        <v>250000</v>
      </c>
      <c r="P46" s="30" t="n">
        <v>1000000</v>
      </c>
      <c r="Q46" s="5" t="s">
        <v>154</v>
      </c>
      <c r="R46" s="5" t="s">
        <v>277</v>
      </c>
      <c r="S46" s="5" t="s">
        <v>287</v>
      </c>
      <c r="T46" s="5"/>
      <c r="U46" s="5"/>
      <c r="V46" s="5" t="s">
        <v>288</v>
      </c>
    </row>
    <row r="47" customFormat="false" ht="52.5" hidden="false" customHeight="true" outlineLevel="0" collapsed="false">
      <c r="A47" s="10" t="s">
        <v>289</v>
      </c>
      <c r="B47" s="5" t="s">
        <v>290</v>
      </c>
      <c r="C47" s="5"/>
      <c r="D47" s="5" t="s">
        <v>263</v>
      </c>
      <c r="E47" s="5"/>
      <c r="F47" s="5" t="s">
        <v>291</v>
      </c>
      <c r="G47" s="5" t="s">
        <v>292</v>
      </c>
      <c r="H47" s="5"/>
      <c r="I47" s="5" t="s">
        <v>293</v>
      </c>
      <c r="J47" s="5"/>
      <c r="K47" s="5"/>
      <c r="L47" s="5"/>
      <c r="M47" s="5" t="s">
        <v>121</v>
      </c>
      <c r="N47" s="5"/>
      <c r="O47" s="30" t="n">
        <v>250000</v>
      </c>
      <c r="P47" s="30" t="n">
        <v>500000</v>
      </c>
      <c r="Q47" s="5" t="s">
        <v>294</v>
      </c>
      <c r="R47" s="5" t="s">
        <v>295</v>
      </c>
      <c r="S47" s="5" t="s">
        <v>296</v>
      </c>
      <c r="T47" s="5"/>
      <c r="U47" s="5"/>
      <c r="V47" s="5" t="s">
        <v>297</v>
      </c>
    </row>
    <row r="48" customFormat="false" ht="40.5" hidden="false" customHeight="true" outlineLevel="0" collapsed="false">
      <c r="A48" s="10" t="s">
        <v>298</v>
      </c>
      <c r="B48" s="5" t="s">
        <v>299</v>
      </c>
      <c r="C48" s="5"/>
      <c r="D48" s="5" t="s">
        <v>263</v>
      </c>
      <c r="E48" s="5"/>
      <c r="F48" s="5" t="s">
        <v>300</v>
      </c>
      <c r="G48" s="5" t="s">
        <v>91</v>
      </c>
      <c r="H48" s="5"/>
      <c r="I48" s="5" t="s">
        <v>301</v>
      </c>
      <c r="J48" s="5"/>
      <c r="K48" s="5"/>
      <c r="L48" s="5"/>
      <c r="M48" s="5" t="s">
        <v>301</v>
      </c>
      <c r="N48" s="5"/>
      <c r="O48" s="5"/>
      <c r="P48" s="5" t="s">
        <v>302</v>
      </c>
      <c r="Q48" s="5" t="s">
        <v>303</v>
      </c>
      <c r="R48" s="5" t="s">
        <v>304</v>
      </c>
      <c r="S48" s="5" t="s">
        <v>305</v>
      </c>
      <c r="T48" s="5"/>
      <c r="U48" s="5"/>
      <c r="V48" s="5" t="s">
        <v>306</v>
      </c>
    </row>
    <row r="49" customFormat="false" ht="40.5" hidden="false" customHeight="true" outlineLevel="0" collapsed="false">
      <c r="A49" s="10" t="s">
        <v>307</v>
      </c>
      <c r="B49" s="5" t="s">
        <v>308</v>
      </c>
      <c r="C49" s="5"/>
      <c r="D49" s="5" t="s">
        <v>309</v>
      </c>
      <c r="E49" s="5"/>
      <c r="F49" s="5" t="s">
        <v>301</v>
      </c>
      <c r="G49" s="5" t="s">
        <v>310</v>
      </c>
      <c r="H49" s="5"/>
      <c r="I49" s="5" t="s">
        <v>311</v>
      </c>
      <c r="J49" s="5"/>
      <c r="K49" s="5"/>
      <c r="L49" s="5"/>
      <c r="M49" s="5" t="s">
        <v>301</v>
      </c>
      <c r="N49" s="5"/>
      <c r="O49" s="5"/>
      <c r="P49" s="5" t="s">
        <v>312</v>
      </c>
      <c r="Q49" s="5" t="s">
        <v>301</v>
      </c>
      <c r="R49" s="5" t="s">
        <v>313</v>
      </c>
      <c r="S49" s="5" t="s">
        <v>314</v>
      </c>
      <c r="T49" s="5"/>
      <c r="U49" s="5"/>
      <c r="V49" s="5" t="s">
        <v>315</v>
      </c>
    </row>
    <row r="51" customFormat="false" ht="18" hidden="false" customHeight="true" outlineLevel="0" collapsed="false">
      <c r="A51" s="6" t="s">
        <v>316</v>
      </c>
      <c r="B51" s="6"/>
      <c r="C51" s="6"/>
      <c r="D51" s="6"/>
      <c r="E51" s="6"/>
      <c r="F51" s="6"/>
      <c r="G51" s="6"/>
      <c r="H51" s="6"/>
      <c r="I51" s="6"/>
      <c r="J51" s="6"/>
      <c r="K51" s="6"/>
      <c r="L51" s="6"/>
      <c r="M51" s="6"/>
      <c r="N51" s="6"/>
      <c r="O51" s="6"/>
      <c r="P51" s="6"/>
      <c r="Q51" s="6"/>
      <c r="R51" s="6"/>
      <c r="S51" s="6"/>
      <c r="T51" s="6"/>
      <c r="U51" s="6"/>
      <c r="V51" s="6"/>
    </row>
    <row r="52" customFormat="false" ht="40.5" hidden="false" customHeight="true" outlineLevel="0" collapsed="false">
      <c r="A52" s="9" t="s">
        <v>317</v>
      </c>
      <c r="B52" s="9" t="s">
        <v>318</v>
      </c>
      <c r="C52" s="9" t="s">
        <v>319</v>
      </c>
      <c r="D52" s="9" t="s">
        <v>320</v>
      </c>
      <c r="E52" s="9"/>
      <c r="F52" s="9" t="s">
        <v>250</v>
      </c>
      <c r="G52" s="9"/>
      <c r="H52" s="9" t="s">
        <v>321</v>
      </c>
      <c r="I52" s="9" t="s">
        <v>322</v>
      </c>
      <c r="J52" s="9" t="s">
        <v>323</v>
      </c>
      <c r="K52" s="9" t="s">
        <v>324</v>
      </c>
      <c r="L52" s="9" t="s">
        <v>259</v>
      </c>
      <c r="M52" s="9"/>
      <c r="N52" s="9" t="s">
        <v>171</v>
      </c>
      <c r="O52" s="9"/>
      <c r="P52" s="9"/>
      <c r="Q52" s="9"/>
      <c r="R52" s="9"/>
      <c r="S52" s="9"/>
      <c r="T52" s="9"/>
      <c r="U52" s="9"/>
      <c r="V52" s="9" t="s">
        <v>325</v>
      </c>
    </row>
    <row r="53" customFormat="false" ht="15" hidden="false" customHeight="true" outlineLevel="0" collapsed="false">
      <c r="A53" s="10" t="s">
        <v>326</v>
      </c>
      <c r="B53" s="5" t="s">
        <v>264</v>
      </c>
      <c r="C53" s="5" t="s">
        <v>327</v>
      </c>
      <c r="D53" s="5" t="s">
        <v>328</v>
      </c>
      <c r="E53" s="5"/>
      <c r="F53" s="5" t="s">
        <v>261</v>
      </c>
      <c r="G53" s="5"/>
      <c r="H53" s="5"/>
      <c r="I53" s="5"/>
      <c r="J53" s="5"/>
      <c r="K53" s="5"/>
      <c r="L53" s="5" t="s">
        <v>329</v>
      </c>
      <c r="M53" s="5"/>
      <c r="N53" s="5" t="s">
        <v>330</v>
      </c>
      <c r="O53" s="5"/>
      <c r="P53" s="5"/>
      <c r="Q53" s="5"/>
      <c r="R53" s="5"/>
      <c r="S53" s="5"/>
      <c r="T53" s="5"/>
      <c r="U53" s="5"/>
      <c r="V53" s="5" t="s">
        <v>331</v>
      </c>
    </row>
    <row r="54" customFormat="false" ht="27.75" hidden="false" customHeight="true" outlineLevel="0" collapsed="false">
      <c r="A54" s="10" t="s">
        <v>332</v>
      </c>
      <c r="B54" s="5" t="s">
        <v>333</v>
      </c>
      <c r="C54" s="5" t="s">
        <v>334</v>
      </c>
      <c r="D54" s="5" t="s">
        <v>328</v>
      </c>
      <c r="E54" s="5"/>
      <c r="F54" s="5" t="s">
        <v>272</v>
      </c>
      <c r="G54" s="5"/>
      <c r="H54" s="30" t="n">
        <v>300000</v>
      </c>
      <c r="I54" s="30" t="n">
        <v>300000</v>
      </c>
      <c r="J54" s="5"/>
      <c r="K54" s="5"/>
      <c r="L54" s="5" t="s">
        <v>329</v>
      </c>
      <c r="M54" s="5"/>
      <c r="N54" s="5" t="s">
        <v>335</v>
      </c>
      <c r="O54" s="5"/>
      <c r="P54" s="5"/>
      <c r="Q54" s="5"/>
      <c r="R54" s="5"/>
      <c r="S54" s="5"/>
      <c r="T54" s="5"/>
      <c r="U54" s="5"/>
      <c r="V54" s="5" t="s">
        <v>336</v>
      </c>
    </row>
    <row r="55" customFormat="false" ht="15" hidden="false" customHeight="true" outlineLevel="0" collapsed="false">
      <c r="A55" s="10" t="s">
        <v>337</v>
      </c>
      <c r="B55" s="5" t="s">
        <v>338</v>
      </c>
      <c r="C55" s="5" t="s">
        <v>71</v>
      </c>
      <c r="D55" s="5" t="s">
        <v>339</v>
      </c>
      <c r="E55" s="5"/>
      <c r="F55" s="5" t="s">
        <v>340</v>
      </c>
      <c r="G55" s="5"/>
      <c r="H55" s="5"/>
      <c r="I55" s="5"/>
      <c r="J55" s="5"/>
      <c r="K55" s="5"/>
      <c r="L55" s="5" t="s">
        <v>341</v>
      </c>
      <c r="M55" s="5"/>
      <c r="N55" s="5" t="s">
        <v>342</v>
      </c>
      <c r="O55" s="5"/>
      <c r="P55" s="5"/>
      <c r="Q55" s="5"/>
      <c r="R55" s="5"/>
      <c r="S55" s="5"/>
      <c r="T55" s="5"/>
      <c r="U55" s="5"/>
      <c r="V55" s="5" t="s">
        <v>343</v>
      </c>
    </row>
    <row r="56" customFormat="false" ht="15" hidden="false" customHeight="true" outlineLevel="0" collapsed="false">
      <c r="A56" s="10" t="s">
        <v>344</v>
      </c>
      <c r="B56" s="5" t="s">
        <v>345</v>
      </c>
      <c r="C56" s="5" t="s">
        <v>71</v>
      </c>
      <c r="D56" s="5" t="s">
        <v>346</v>
      </c>
      <c r="E56" s="5"/>
      <c r="F56" s="5" t="s">
        <v>347</v>
      </c>
      <c r="G56" s="5"/>
      <c r="H56" s="30" t="n">
        <v>250000</v>
      </c>
      <c r="I56" s="5"/>
      <c r="J56" s="5"/>
      <c r="K56" s="30" t="n">
        <v>1700</v>
      </c>
      <c r="L56" s="5" t="s">
        <v>348</v>
      </c>
      <c r="M56" s="5"/>
      <c r="N56" s="5" t="s">
        <v>349</v>
      </c>
      <c r="O56" s="5"/>
      <c r="P56" s="5"/>
      <c r="Q56" s="5"/>
      <c r="R56" s="5"/>
      <c r="S56" s="5"/>
      <c r="T56" s="5"/>
      <c r="U56" s="5"/>
      <c r="V56" s="5" t="s">
        <v>350</v>
      </c>
    </row>
    <row r="57" customFormat="false" ht="27.75" hidden="false" customHeight="true" outlineLevel="0" collapsed="false">
      <c r="A57" s="10" t="s">
        <v>351</v>
      </c>
      <c r="B57" s="5" t="s">
        <v>352</v>
      </c>
      <c r="C57" s="5" t="s">
        <v>72</v>
      </c>
      <c r="D57" s="5" t="s">
        <v>353</v>
      </c>
      <c r="E57" s="5"/>
      <c r="F57" s="5" t="s">
        <v>354</v>
      </c>
      <c r="G57" s="5"/>
      <c r="H57" s="30" t="n">
        <v>250000</v>
      </c>
      <c r="I57" s="5"/>
      <c r="J57" s="30" t="n">
        <v>1200000</v>
      </c>
      <c r="K57" s="30" t="n">
        <v>1925</v>
      </c>
      <c r="L57" s="5" t="s">
        <v>341</v>
      </c>
      <c r="M57" s="5"/>
      <c r="N57" s="5" t="s">
        <v>355</v>
      </c>
      <c r="O57" s="5"/>
      <c r="P57" s="5"/>
      <c r="Q57" s="5"/>
      <c r="R57" s="5"/>
      <c r="S57" s="5"/>
      <c r="T57" s="5"/>
      <c r="U57" s="5"/>
      <c r="V57" s="5" t="s">
        <v>203</v>
      </c>
    </row>
    <row r="58" customFormat="false" ht="15" hidden="false" customHeight="true" outlineLevel="0" collapsed="false">
      <c r="A58" s="10" t="s">
        <v>356</v>
      </c>
      <c r="B58" s="5" t="s">
        <v>357</v>
      </c>
      <c r="C58" s="5" t="s">
        <v>73</v>
      </c>
      <c r="D58" s="5" t="s">
        <v>328</v>
      </c>
      <c r="E58" s="5"/>
      <c r="F58" s="5" t="s">
        <v>347</v>
      </c>
      <c r="G58" s="5"/>
      <c r="H58" s="30" t="n">
        <v>250000</v>
      </c>
      <c r="I58" s="5"/>
      <c r="J58" s="5"/>
      <c r="K58" s="30" t="n">
        <v>1700</v>
      </c>
      <c r="L58" s="5" t="s">
        <v>329</v>
      </c>
      <c r="M58" s="5"/>
      <c r="N58" s="5" t="s">
        <v>358</v>
      </c>
      <c r="O58" s="5"/>
      <c r="P58" s="5"/>
      <c r="Q58" s="5"/>
      <c r="R58" s="5"/>
      <c r="S58" s="5"/>
      <c r="T58" s="5"/>
      <c r="U58" s="5"/>
      <c r="V58" s="5" t="s">
        <v>359</v>
      </c>
    </row>
    <row r="59" customFormat="false" ht="15" hidden="false" customHeight="true" outlineLevel="0" collapsed="false">
      <c r="A59" s="10" t="s">
        <v>360</v>
      </c>
      <c r="B59" s="5" t="s">
        <v>361</v>
      </c>
      <c r="C59" s="5" t="s">
        <v>362</v>
      </c>
      <c r="D59" s="5" t="s">
        <v>328</v>
      </c>
      <c r="E59" s="5"/>
      <c r="F59" s="5" t="s">
        <v>363</v>
      </c>
      <c r="G59" s="5"/>
      <c r="H59" s="30" t="n">
        <v>250000</v>
      </c>
      <c r="I59" s="30" t="n">
        <v>800000</v>
      </c>
      <c r="J59" s="5"/>
      <c r="K59" s="30" t="n">
        <v>1925</v>
      </c>
      <c r="L59" s="5" t="s">
        <v>329</v>
      </c>
      <c r="M59" s="5"/>
      <c r="N59" s="5" t="s">
        <v>364</v>
      </c>
      <c r="O59" s="5"/>
      <c r="P59" s="5"/>
      <c r="Q59" s="5"/>
      <c r="R59" s="5"/>
      <c r="S59" s="5"/>
      <c r="T59" s="5"/>
      <c r="U59" s="5"/>
      <c r="V59" s="5" t="s">
        <v>365</v>
      </c>
    </row>
    <row r="60" customFormat="false" ht="15" hidden="false" customHeight="true" outlineLevel="0" collapsed="false">
      <c r="A60" s="10" t="s">
        <v>366</v>
      </c>
      <c r="B60" s="5" t="s">
        <v>367</v>
      </c>
      <c r="C60" s="5" t="s">
        <v>75</v>
      </c>
      <c r="D60" s="5" t="s">
        <v>368</v>
      </c>
      <c r="E60" s="5"/>
      <c r="F60" s="5" t="s">
        <v>280</v>
      </c>
      <c r="G60" s="5"/>
      <c r="H60" s="5"/>
      <c r="I60" s="5"/>
      <c r="J60" s="5"/>
      <c r="K60" s="5"/>
      <c r="L60" s="5" t="s">
        <v>369</v>
      </c>
      <c r="M60" s="5"/>
      <c r="N60" s="5" t="s">
        <v>370</v>
      </c>
      <c r="O60" s="5"/>
      <c r="P60" s="5"/>
      <c r="Q60" s="5"/>
      <c r="R60" s="5"/>
      <c r="S60" s="5"/>
      <c r="T60" s="5"/>
      <c r="U60" s="5"/>
      <c r="V60" s="5" t="s">
        <v>371</v>
      </c>
    </row>
    <row r="61" customFormat="false" ht="15" hidden="false" customHeight="true" outlineLevel="0" collapsed="false">
      <c r="A61" s="10" t="s">
        <v>372</v>
      </c>
      <c r="B61" s="5" t="s">
        <v>373</v>
      </c>
      <c r="C61" s="5" t="s">
        <v>78</v>
      </c>
      <c r="D61" s="5" t="s">
        <v>328</v>
      </c>
      <c r="E61" s="5"/>
      <c r="F61" s="5" t="s">
        <v>374</v>
      </c>
      <c r="G61" s="5"/>
      <c r="H61" s="30" t="n">
        <v>250000</v>
      </c>
      <c r="I61" s="30" t="n">
        <v>250000</v>
      </c>
      <c r="J61" s="30" t="n">
        <v>1750000</v>
      </c>
      <c r="K61" s="5"/>
      <c r="L61" s="5" t="s">
        <v>329</v>
      </c>
      <c r="M61" s="5"/>
      <c r="N61" s="5" t="s">
        <v>375</v>
      </c>
      <c r="O61" s="5"/>
      <c r="P61" s="5"/>
      <c r="Q61" s="5"/>
      <c r="R61" s="5"/>
      <c r="S61" s="5"/>
      <c r="T61" s="5"/>
      <c r="U61" s="5"/>
      <c r="V61" s="5" t="s">
        <v>211</v>
      </c>
    </row>
    <row r="62" customFormat="false" ht="15" hidden="false" customHeight="true" outlineLevel="0" collapsed="false">
      <c r="A62" s="10" t="s">
        <v>376</v>
      </c>
      <c r="B62" s="5" t="s">
        <v>377</v>
      </c>
      <c r="C62" s="5" t="s">
        <v>80</v>
      </c>
      <c r="D62" s="5" t="s">
        <v>328</v>
      </c>
      <c r="E62" s="5"/>
      <c r="F62" s="5" t="s">
        <v>378</v>
      </c>
      <c r="G62" s="5"/>
      <c r="H62" s="30" t="n">
        <v>250000</v>
      </c>
      <c r="I62" s="30" t="n">
        <v>500000</v>
      </c>
      <c r="J62" s="30" t="n">
        <v>2000000</v>
      </c>
      <c r="K62" s="5"/>
      <c r="L62" s="5" t="s">
        <v>329</v>
      </c>
      <c r="M62" s="5"/>
      <c r="N62" s="5" t="s">
        <v>379</v>
      </c>
      <c r="O62" s="5"/>
      <c r="P62" s="5"/>
      <c r="Q62" s="5"/>
      <c r="R62" s="5"/>
      <c r="S62" s="5"/>
      <c r="T62" s="5"/>
      <c r="U62" s="5"/>
      <c r="V62" s="5" t="s">
        <v>209</v>
      </c>
    </row>
    <row r="63" customFormat="false" ht="15" hidden="false" customHeight="true" outlineLevel="0" collapsed="false">
      <c r="A63" s="10" t="s">
        <v>380</v>
      </c>
      <c r="B63" s="5" t="s">
        <v>381</v>
      </c>
      <c r="C63" s="5" t="s">
        <v>83</v>
      </c>
      <c r="D63" s="5" t="s">
        <v>328</v>
      </c>
      <c r="E63" s="5"/>
      <c r="F63" s="5" t="s">
        <v>382</v>
      </c>
      <c r="G63" s="5"/>
      <c r="H63" s="30" t="n">
        <v>250000</v>
      </c>
      <c r="I63" s="30" t="n">
        <v>750000</v>
      </c>
      <c r="J63" s="30" t="n">
        <v>2250000</v>
      </c>
      <c r="K63" s="5"/>
      <c r="L63" s="5" t="s">
        <v>329</v>
      </c>
      <c r="M63" s="5"/>
      <c r="N63" s="5" t="s">
        <v>383</v>
      </c>
      <c r="O63" s="5"/>
      <c r="P63" s="5"/>
      <c r="Q63" s="5"/>
      <c r="R63" s="5"/>
      <c r="S63" s="5"/>
      <c r="T63" s="5"/>
      <c r="U63" s="5"/>
      <c r="V63" s="5" t="s">
        <v>211</v>
      </c>
    </row>
    <row r="64" customFormat="false" ht="15" hidden="false" customHeight="true" outlineLevel="0" collapsed="false">
      <c r="A64" s="10" t="s">
        <v>384</v>
      </c>
      <c r="B64" s="5" t="s">
        <v>385</v>
      </c>
      <c r="C64" s="5" t="s">
        <v>83</v>
      </c>
      <c r="D64" s="5" t="s">
        <v>386</v>
      </c>
      <c r="E64" s="5"/>
      <c r="F64" s="5" t="s">
        <v>289</v>
      </c>
      <c r="G64" s="5"/>
      <c r="H64" s="5"/>
      <c r="I64" s="5"/>
      <c r="J64" s="5"/>
      <c r="K64" s="30" t="n">
        <v>18000</v>
      </c>
      <c r="L64" s="5" t="s">
        <v>387</v>
      </c>
      <c r="M64" s="5"/>
      <c r="N64" s="5" t="s">
        <v>388</v>
      </c>
      <c r="O64" s="5"/>
      <c r="P64" s="5"/>
      <c r="Q64" s="5"/>
      <c r="R64" s="5"/>
      <c r="S64" s="5"/>
      <c r="T64" s="5"/>
      <c r="U64" s="5"/>
      <c r="V64" s="5" t="s">
        <v>389</v>
      </c>
    </row>
    <row r="65" customFormat="false" ht="15" hidden="false" customHeight="true" outlineLevel="0" collapsed="false">
      <c r="A65" s="10" t="s">
        <v>390</v>
      </c>
      <c r="B65" s="5" t="s">
        <v>391</v>
      </c>
      <c r="C65" s="5" t="s">
        <v>84</v>
      </c>
      <c r="D65" s="5" t="s">
        <v>392</v>
      </c>
      <c r="E65" s="5"/>
      <c r="F65" s="5" t="s">
        <v>289</v>
      </c>
      <c r="G65" s="5"/>
      <c r="H65" s="5"/>
      <c r="I65" s="5"/>
      <c r="J65" s="5"/>
      <c r="K65" s="30" t="n">
        <v>11000</v>
      </c>
      <c r="L65" s="5" t="s">
        <v>393</v>
      </c>
      <c r="M65" s="5"/>
      <c r="N65" s="5" t="s">
        <v>394</v>
      </c>
      <c r="O65" s="5"/>
      <c r="P65" s="5"/>
      <c r="Q65" s="5"/>
      <c r="R65" s="5"/>
      <c r="S65" s="5"/>
      <c r="T65" s="5"/>
      <c r="U65" s="5"/>
      <c r="V65" s="5" t="s">
        <v>395</v>
      </c>
    </row>
    <row r="66" customFormat="false" ht="15" hidden="false" customHeight="true" outlineLevel="0" collapsed="false">
      <c r="A66" s="10" t="s">
        <v>396</v>
      </c>
      <c r="B66" s="5" t="s">
        <v>397</v>
      </c>
      <c r="C66" s="5" t="s">
        <v>85</v>
      </c>
      <c r="D66" s="5" t="s">
        <v>398</v>
      </c>
      <c r="E66" s="5"/>
      <c r="F66" s="5" t="s">
        <v>280</v>
      </c>
      <c r="G66" s="5"/>
      <c r="H66" s="5"/>
      <c r="I66" s="5"/>
      <c r="J66" s="5"/>
      <c r="K66" s="5"/>
      <c r="L66" s="5" t="s">
        <v>399</v>
      </c>
      <c r="M66" s="5"/>
      <c r="N66" s="5" t="s">
        <v>400</v>
      </c>
      <c r="O66" s="5"/>
      <c r="P66" s="5"/>
      <c r="Q66" s="5"/>
      <c r="R66" s="5"/>
      <c r="S66" s="5"/>
      <c r="T66" s="5"/>
      <c r="U66" s="5"/>
      <c r="V66" s="5" t="s">
        <v>401</v>
      </c>
    </row>
    <row r="67" customFormat="false" ht="27.75" hidden="false" customHeight="true" outlineLevel="0" collapsed="false">
      <c r="A67" s="10" t="s">
        <v>402</v>
      </c>
      <c r="B67" s="5" t="s">
        <v>403</v>
      </c>
      <c r="C67" s="5" t="s">
        <v>86</v>
      </c>
      <c r="D67" s="5" t="s">
        <v>404</v>
      </c>
      <c r="E67" s="5"/>
      <c r="F67" s="5" t="s">
        <v>405</v>
      </c>
      <c r="G67" s="5"/>
      <c r="H67" s="30" t="n">
        <v>100000</v>
      </c>
      <c r="I67" s="30" t="n">
        <v>900000</v>
      </c>
      <c r="J67" s="30" t="n">
        <v>2350000</v>
      </c>
      <c r="K67" s="5"/>
      <c r="L67" s="5" t="s">
        <v>329</v>
      </c>
      <c r="M67" s="5"/>
      <c r="N67" s="5" t="s">
        <v>406</v>
      </c>
      <c r="O67" s="5"/>
      <c r="P67" s="5"/>
      <c r="Q67" s="5"/>
      <c r="R67" s="5"/>
      <c r="S67" s="5"/>
      <c r="T67" s="5"/>
      <c r="U67" s="5"/>
      <c r="V67" s="5" t="s">
        <v>407</v>
      </c>
    </row>
    <row r="68" customFormat="false" ht="15" hidden="false" customHeight="true" outlineLevel="0" collapsed="false">
      <c r="A68" s="10" t="s">
        <v>408</v>
      </c>
      <c r="B68" s="5" t="s">
        <v>409</v>
      </c>
      <c r="C68" s="5" t="s">
        <v>86</v>
      </c>
      <c r="D68" s="5" t="s">
        <v>328</v>
      </c>
      <c r="E68" s="5"/>
      <c r="F68" s="5" t="s">
        <v>410</v>
      </c>
      <c r="G68" s="5"/>
      <c r="H68" s="30" t="n">
        <v>250000</v>
      </c>
      <c r="I68" s="30" t="n">
        <v>250000</v>
      </c>
      <c r="J68" s="30" t="n">
        <v>2600000</v>
      </c>
      <c r="K68" s="30" t="n">
        <v>11000</v>
      </c>
      <c r="L68" s="5" t="s">
        <v>329</v>
      </c>
      <c r="M68" s="5"/>
      <c r="N68" s="5" t="s">
        <v>411</v>
      </c>
      <c r="O68" s="5"/>
      <c r="P68" s="5"/>
      <c r="Q68" s="5"/>
      <c r="R68" s="5"/>
      <c r="S68" s="5"/>
      <c r="T68" s="5"/>
      <c r="U68" s="5"/>
      <c r="V68" s="5" t="s">
        <v>412</v>
      </c>
    </row>
    <row r="69" customFormat="false" ht="27.75" hidden="false" customHeight="true" outlineLevel="0" collapsed="false">
      <c r="A69" s="10" t="s">
        <v>413</v>
      </c>
      <c r="B69" s="5" t="s">
        <v>414</v>
      </c>
      <c r="C69" s="5" t="s">
        <v>87</v>
      </c>
      <c r="D69" s="5" t="s">
        <v>415</v>
      </c>
      <c r="E69" s="5"/>
      <c r="F69" s="5" t="s">
        <v>261</v>
      </c>
      <c r="G69" s="5"/>
      <c r="H69" s="30" t="n">
        <v>-200000</v>
      </c>
      <c r="I69" s="30" t="n">
        <v>500000</v>
      </c>
      <c r="J69" s="30" t="n">
        <v>2400000</v>
      </c>
      <c r="K69" s="5"/>
      <c r="L69" s="5" t="s">
        <v>416</v>
      </c>
      <c r="M69" s="5"/>
      <c r="N69" s="5" t="s">
        <v>417</v>
      </c>
      <c r="O69" s="5"/>
      <c r="P69" s="5"/>
      <c r="Q69" s="5"/>
      <c r="R69" s="5"/>
      <c r="S69" s="5"/>
      <c r="T69" s="5"/>
      <c r="U69" s="5"/>
      <c r="V69" s="5" t="s">
        <v>418</v>
      </c>
    </row>
    <row r="70" customFormat="false" ht="15" hidden="false" customHeight="true" outlineLevel="0" collapsed="false">
      <c r="A70" s="10" t="s">
        <v>419</v>
      </c>
      <c r="B70" s="5" t="s">
        <v>303</v>
      </c>
      <c r="C70" s="5" t="s">
        <v>87</v>
      </c>
      <c r="D70" s="5" t="s">
        <v>386</v>
      </c>
      <c r="E70" s="5"/>
      <c r="F70" s="5" t="s">
        <v>420</v>
      </c>
      <c r="G70" s="5"/>
      <c r="H70" s="30" t="n">
        <v>1000000</v>
      </c>
      <c r="I70" s="5"/>
      <c r="J70" s="5"/>
      <c r="K70" s="30" t="n">
        <v>4960</v>
      </c>
      <c r="L70" s="5" t="s">
        <v>421</v>
      </c>
      <c r="M70" s="5"/>
      <c r="N70" s="5" t="s">
        <v>422</v>
      </c>
      <c r="O70" s="5"/>
      <c r="P70" s="5"/>
      <c r="Q70" s="5"/>
      <c r="R70" s="5"/>
      <c r="S70" s="5"/>
      <c r="T70" s="5"/>
      <c r="U70" s="5"/>
      <c r="V70" s="5" t="s">
        <v>423</v>
      </c>
    </row>
    <row r="71" customFormat="false" ht="15" hidden="false" customHeight="true" outlineLevel="0" collapsed="false">
      <c r="A71" s="10" t="s">
        <v>424</v>
      </c>
      <c r="B71" s="5" t="s">
        <v>294</v>
      </c>
      <c r="C71" s="5" t="s">
        <v>425</v>
      </c>
      <c r="D71" s="5" t="s">
        <v>328</v>
      </c>
      <c r="E71" s="5"/>
      <c r="F71" s="5" t="s">
        <v>426</v>
      </c>
      <c r="G71" s="5"/>
      <c r="H71" s="30" t="n">
        <v>250000</v>
      </c>
      <c r="I71" s="30" t="n">
        <v>500000</v>
      </c>
      <c r="J71" s="30" t="n">
        <v>2650000</v>
      </c>
      <c r="K71" s="5"/>
      <c r="L71" s="5" t="s">
        <v>329</v>
      </c>
      <c r="M71" s="5"/>
      <c r="N71" s="5" t="s">
        <v>427</v>
      </c>
      <c r="O71" s="5"/>
      <c r="P71" s="5"/>
      <c r="Q71" s="5"/>
      <c r="R71" s="5"/>
      <c r="S71" s="5"/>
      <c r="T71" s="5"/>
      <c r="U71" s="5"/>
      <c r="V71" s="5" t="s">
        <v>428</v>
      </c>
    </row>
    <row r="72" customFormat="false" ht="15" hidden="false" customHeight="true" outlineLevel="0" collapsed="false">
      <c r="A72" s="10" t="s">
        <v>429</v>
      </c>
      <c r="B72" s="5" t="s">
        <v>154</v>
      </c>
      <c r="C72" s="5" t="s">
        <v>425</v>
      </c>
      <c r="D72" s="5" t="s">
        <v>328</v>
      </c>
      <c r="E72" s="5"/>
      <c r="F72" s="5" t="s">
        <v>430</v>
      </c>
      <c r="G72" s="5"/>
      <c r="H72" s="30" t="n">
        <v>250000</v>
      </c>
      <c r="I72" s="30" t="n">
        <v>1000000</v>
      </c>
      <c r="J72" s="30" t="n">
        <v>2900000</v>
      </c>
      <c r="K72" s="30" t="n">
        <v>3900</v>
      </c>
      <c r="L72" s="5" t="s">
        <v>329</v>
      </c>
      <c r="M72" s="5"/>
      <c r="N72" s="5" t="s">
        <v>431</v>
      </c>
      <c r="O72" s="5"/>
      <c r="P72" s="5"/>
      <c r="Q72" s="5"/>
      <c r="R72" s="5"/>
      <c r="S72" s="5"/>
      <c r="T72" s="5"/>
      <c r="U72" s="5"/>
      <c r="V72" s="5" t="s">
        <v>432</v>
      </c>
    </row>
    <row r="74" customFormat="false" ht="18" hidden="false" customHeight="true" outlineLevel="0" collapsed="false">
      <c r="A74" s="6" t="s">
        <v>433</v>
      </c>
      <c r="B74" s="6"/>
      <c r="C74" s="6"/>
      <c r="D74" s="6"/>
      <c r="E74" s="6"/>
      <c r="F74" s="6"/>
      <c r="G74" s="6"/>
      <c r="H74" s="6"/>
      <c r="I74" s="6"/>
      <c r="J74" s="6"/>
      <c r="K74" s="6"/>
      <c r="L74" s="6"/>
      <c r="M74" s="6"/>
      <c r="N74" s="6"/>
      <c r="O74" s="6"/>
      <c r="P74" s="6"/>
      <c r="Q74" s="6"/>
      <c r="R74" s="6"/>
      <c r="S74" s="6"/>
      <c r="T74" s="6"/>
      <c r="U74" s="6"/>
      <c r="V74" s="6"/>
    </row>
    <row r="75" customFormat="false" ht="15" hidden="false" customHeight="true" outlineLevel="0" collapsed="false">
      <c r="A75" s="9" t="s">
        <v>434</v>
      </c>
      <c r="B75" s="9" t="s">
        <v>435</v>
      </c>
      <c r="C75" s="9"/>
      <c r="D75" s="9" t="s">
        <v>70</v>
      </c>
      <c r="E75" s="9"/>
      <c r="F75" s="9" t="s">
        <v>436</v>
      </c>
      <c r="G75" s="9"/>
      <c r="H75" s="9"/>
      <c r="I75" s="9"/>
      <c r="J75" s="9"/>
      <c r="K75" s="9"/>
      <c r="L75" s="9" t="s">
        <v>437</v>
      </c>
      <c r="M75" s="9"/>
      <c r="N75" s="9"/>
      <c r="O75" s="9" t="s">
        <v>438</v>
      </c>
      <c r="P75" s="9" t="s">
        <v>171</v>
      </c>
      <c r="Q75" s="9"/>
      <c r="R75" s="9"/>
      <c r="S75" s="9"/>
      <c r="T75" s="9"/>
      <c r="U75" s="9"/>
      <c r="V75" s="9" t="s">
        <v>260</v>
      </c>
    </row>
    <row r="76" customFormat="false" ht="27.75" hidden="false" customHeight="true" outlineLevel="0" collapsed="false">
      <c r="A76" s="10" t="s">
        <v>276</v>
      </c>
      <c r="B76" s="5" t="s">
        <v>439</v>
      </c>
      <c r="C76" s="5"/>
      <c r="D76" s="5" t="s">
        <v>440</v>
      </c>
      <c r="E76" s="5"/>
      <c r="F76" s="5" t="s">
        <v>441</v>
      </c>
      <c r="G76" s="5"/>
      <c r="H76" s="5"/>
      <c r="I76" s="5"/>
      <c r="J76" s="5"/>
      <c r="K76" s="5"/>
      <c r="L76" s="5" t="s">
        <v>442</v>
      </c>
      <c r="M76" s="5"/>
      <c r="N76" s="5"/>
      <c r="O76" s="5" t="s">
        <v>443</v>
      </c>
      <c r="P76" s="5" t="s">
        <v>444</v>
      </c>
      <c r="Q76" s="5"/>
      <c r="R76" s="5"/>
      <c r="S76" s="5"/>
      <c r="T76" s="5"/>
      <c r="U76" s="5"/>
      <c r="V76" s="5" t="s">
        <v>445</v>
      </c>
    </row>
    <row r="77" customFormat="false" ht="15" hidden="false" customHeight="true" outlineLevel="0" collapsed="false">
      <c r="A77" s="10" t="s">
        <v>446</v>
      </c>
      <c r="B77" s="5" t="s">
        <v>447</v>
      </c>
      <c r="C77" s="5"/>
      <c r="D77" s="5" t="s">
        <v>448</v>
      </c>
      <c r="E77" s="5"/>
      <c r="F77" s="5" t="s">
        <v>449</v>
      </c>
      <c r="G77" s="5"/>
      <c r="H77" s="5"/>
      <c r="I77" s="5"/>
      <c r="J77" s="5"/>
      <c r="K77" s="5"/>
      <c r="L77" s="5" t="s">
        <v>450</v>
      </c>
      <c r="M77" s="5"/>
      <c r="N77" s="5"/>
      <c r="O77" s="5" t="s">
        <v>87</v>
      </c>
      <c r="P77" s="5" t="s">
        <v>451</v>
      </c>
      <c r="Q77" s="5"/>
      <c r="R77" s="5"/>
      <c r="S77" s="5"/>
      <c r="T77" s="5"/>
      <c r="U77" s="5"/>
      <c r="V77" s="5" t="s">
        <v>452</v>
      </c>
    </row>
    <row r="78" customFormat="false" ht="15" hidden="false" customHeight="true" outlineLevel="0" collapsed="false">
      <c r="A78" s="10" t="s">
        <v>453</v>
      </c>
      <c r="B78" s="5" t="s">
        <v>454</v>
      </c>
      <c r="C78" s="5"/>
      <c r="D78" s="5" t="s">
        <v>455</v>
      </c>
      <c r="E78" s="5"/>
      <c r="F78" s="5" t="s">
        <v>293</v>
      </c>
      <c r="G78" s="5"/>
      <c r="H78" s="5"/>
      <c r="I78" s="5"/>
      <c r="J78" s="5"/>
      <c r="K78" s="5"/>
      <c r="L78" s="5" t="s">
        <v>456</v>
      </c>
      <c r="M78" s="5"/>
      <c r="N78" s="5"/>
      <c r="O78" s="5" t="s">
        <v>457</v>
      </c>
      <c r="P78" s="5" t="s">
        <v>458</v>
      </c>
      <c r="Q78" s="5"/>
      <c r="R78" s="5"/>
      <c r="S78" s="5"/>
      <c r="T78" s="5"/>
      <c r="U78" s="5"/>
      <c r="V78" s="5" t="s">
        <v>459</v>
      </c>
    </row>
    <row r="79" customFormat="false" ht="15" hidden="false" customHeight="true" outlineLevel="0" collapsed="false">
      <c r="A79" s="10" t="s">
        <v>460</v>
      </c>
      <c r="B79" s="5" t="s">
        <v>461</v>
      </c>
      <c r="C79" s="5"/>
      <c r="D79" s="5" t="s">
        <v>462</v>
      </c>
      <c r="E79" s="5"/>
      <c r="F79" s="5" t="s">
        <v>463</v>
      </c>
      <c r="G79" s="5"/>
      <c r="H79" s="5"/>
      <c r="I79" s="5"/>
      <c r="J79" s="5"/>
      <c r="K79" s="5"/>
      <c r="L79" s="5" t="s">
        <v>464</v>
      </c>
      <c r="M79" s="5"/>
      <c r="N79" s="5"/>
      <c r="O79" s="5" t="s">
        <v>465</v>
      </c>
      <c r="P79" s="5" t="s">
        <v>466</v>
      </c>
      <c r="Q79" s="5"/>
      <c r="R79" s="5"/>
      <c r="S79" s="5"/>
      <c r="T79" s="5"/>
      <c r="U79" s="5"/>
      <c r="V79" s="5" t="s">
        <v>467</v>
      </c>
    </row>
    <row r="81" customFormat="false" ht="18" hidden="false" customHeight="true" outlineLevel="0" collapsed="false">
      <c r="A81" s="6" t="s">
        <v>468</v>
      </c>
      <c r="B81" s="6"/>
      <c r="C81" s="6"/>
      <c r="D81" s="6"/>
      <c r="E81" s="6"/>
      <c r="F81" s="6"/>
      <c r="G81" s="6"/>
      <c r="H81" s="6"/>
      <c r="I81" s="6"/>
      <c r="J81" s="6"/>
      <c r="K81" s="6"/>
      <c r="L81" s="6"/>
      <c r="M81" s="6"/>
      <c r="N81" s="6"/>
      <c r="O81" s="6"/>
      <c r="P81" s="6"/>
      <c r="Q81" s="6"/>
      <c r="R81" s="6"/>
      <c r="S81" s="6"/>
      <c r="T81" s="6"/>
      <c r="U81" s="6"/>
      <c r="V81" s="6"/>
    </row>
    <row r="82" customFormat="false" ht="40.5" hidden="false" customHeight="true" outlineLevel="0" collapsed="false">
      <c r="A82" s="9" t="s">
        <v>469</v>
      </c>
      <c r="B82" s="9" t="s">
        <v>251</v>
      </c>
      <c r="C82" s="9"/>
      <c r="D82" s="9" t="s">
        <v>470</v>
      </c>
      <c r="E82" s="9" t="s">
        <v>471</v>
      </c>
      <c r="F82" s="9" t="s">
        <v>324</v>
      </c>
      <c r="G82" s="9" t="s">
        <v>472</v>
      </c>
      <c r="H82" s="9" t="s">
        <v>473</v>
      </c>
      <c r="I82" s="9"/>
      <c r="J82" s="9" t="s">
        <v>171</v>
      </c>
      <c r="K82" s="9"/>
      <c r="L82" s="9"/>
      <c r="M82" s="9"/>
      <c r="N82" s="9"/>
      <c r="O82" s="9"/>
      <c r="P82" s="9"/>
      <c r="Q82" s="9"/>
      <c r="R82" s="9"/>
      <c r="S82" s="9"/>
      <c r="T82" s="9"/>
      <c r="U82" s="9"/>
      <c r="V82" s="9" t="s">
        <v>325</v>
      </c>
    </row>
    <row r="83" customFormat="false" ht="27.75" hidden="false" customHeight="true" outlineLevel="0" collapsed="false">
      <c r="A83" s="10" t="s">
        <v>474</v>
      </c>
      <c r="B83" s="5" t="s">
        <v>475</v>
      </c>
      <c r="C83" s="5"/>
      <c r="D83" s="30" t="n">
        <v>250000</v>
      </c>
      <c r="E83" s="5" t="s">
        <v>476</v>
      </c>
      <c r="F83" s="5"/>
      <c r="G83" s="5" t="s">
        <v>477</v>
      </c>
      <c r="H83" s="5" t="s">
        <v>329</v>
      </c>
      <c r="I83" s="5"/>
      <c r="J83" s="5" t="s">
        <v>427</v>
      </c>
      <c r="K83" s="5"/>
      <c r="L83" s="5"/>
      <c r="M83" s="5"/>
      <c r="N83" s="5"/>
      <c r="O83" s="5"/>
      <c r="P83" s="5"/>
      <c r="Q83" s="5"/>
      <c r="R83" s="5"/>
      <c r="S83" s="5"/>
      <c r="T83" s="5"/>
      <c r="U83" s="5"/>
      <c r="V83" s="5" t="s">
        <v>428</v>
      </c>
    </row>
    <row r="84" customFormat="false" ht="27.75" hidden="false" customHeight="true" outlineLevel="0" collapsed="false">
      <c r="A84" s="10" t="s">
        <v>478</v>
      </c>
      <c r="B84" s="5" t="s">
        <v>479</v>
      </c>
      <c r="C84" s="5"/>
      <c r="D84" s="30" t="n">
        <v>250000</v>
      </c>
      <c r="E84" s="5" t="s">
        <v>480</v>
      </c>
      <c r="F84" s="30" t="n">
        <v>3900</v>
      </c>
      <c r="G84" s="5" t="s">
        <v>477</v>
      </c>
      <c r="H84" s="5" t="s">
        <v>329</v>
      </c>
      <c r="I84" s="5"/>
      <c r="J84" s="5" t="s">
        <v>481</v>
      </c>
      <c r="K84" s="5"/>
      <c r="L84" s="5"/>
      <c r="M84" s="5"/>
      <c r="N84" s="5"/>
      <c r="O84" s="5"/>
      <c r="P84" s="5"/>
      <c r="Q84" s="5"/>
      <c r="R84" s="5"/>
      <c r="S84" s="5"/>
      <c r="T84" s="5"/>
      <c r="U84" s="5"/>
      <c r="V84" s="5" t="s">
        <v>432</v>
      </c>
    </row>
    <row r="85" customFormat="false" ht="52.5" hidden="false" customHeight="true" outlineLevel="0" collapsed="false">
      <c r="A85" s="10" t="s">
        <v>482</v>
      </c>
      <c r="B85" s="5" t="s">
        <v>475</v>
      </c>
      <c r="C85" s="5"/>
      <c r="D85" s="30" t="n">
        <v>500000</v>
      </c>
      <c r="E85" s="5" t="s">
        <v>483</v>
      </c>
      <c r="F85" s="5"/>
      <c r="G85" s="5" t="s">
        <v>484</v>
      </c>
      <c r="H85" s="5" t="s">
        <v>485</v>
      </c>
      <c r="I85" s="5"/>
      <c r="J85" s="5" t="s">
        <v>486</v>
      </c>
      <c r="K85" s="5"/>
      <c r="L85" s="5"/>
      <c r="M85" s="5"/>
      <c r="N85" s="5"/>
      <c r="O85" s="5"/>
      <c r="P85" s="5"/>
      <c r="Q85" s="5"/>
      <c r="R85" s="5"/>
      <c r="S85" s="5"/>
      <c r="T85" s="5"/>
      <c r="U85" s="5"/>
      <c r="V85" s="5" t="s">
        <v>487</v>
      </c>
    </row>
    <row r="86" customFormat="false" ht="27.75" hidden="false" customHeight="true" outlineLevel="0" collapsed="false">
      <c r="A86" s="10" t="s">
        <v>488</v>
      </c>
      <c r="B86" s="5" t="s">
        <v>479</v>
      </c>
      <c r="C86" s="5"/>
      <c r="D86" s="30" t="n">
        <v>1000000</v>
      </c>
      <c r="E86" s="5" t="s">
        <v>489</v>
      </c>
      <c r="F86" s="30" t="n">
        <v>4960</v>
      </c>
      <c r="G86" s="5" t="s">
        <v>484</v>
      </c>
      <c r="H86" s="5" t="s">
        <v>490</v>
      </c>
      <c r="I86" s="5"/>
      <c r="J86" s="5" t="s">
        <v>491</v>
      </c>
      <c r="K86" s="5"/>
      <c r="L86" s="5"/>
      <c r="M86" s="5"/>
      <c r="N86" s="5"/>
      <c r="O86" s="5"/>
      <c r="P86" s="5"/>
      <c r="Q86" s="5"/>
      <c r="R86" s="5"/>
      <c r="S86" s="5"/>
      <c r="T86" s="5"/>
      <c r="U86" s="5"/>
      <c r="V86" s="5" t="s">
        <v>423</v>
      </c>
    </row>
    <row r="87" customFormat="false" ht="27.75" hidden="false" customHeight="true" outlineLevel="0" collapsed="false">
      <c r="A87" s="10" t="s">
        <v>492</v>
      </c>
      <c r="B87" s="5" t="s">
        <v>475</v>
      </c>
      <c r="C87" s="5"/>
      <c r="D87" s="30" t="n">
        <v>-500000</v>
      </c>
      <c r="E87" s="5" t="s">
        <v>121</v>
      </c>
      <c r="F87" s="5"/>
      <c r="G87" s="5" t="s">
        <v>484</v>
      </c>
      <c r="H87" s="5" t="s">
        <v>493</v>
      </c>
      <c r="I87" s="5"/>
      <c r="J87" s="5" t="s">
        <v>494</v>
      </c>
      <c r="K87" s="5"/>
      <c r="L87" s="5"/>
      <c r="M87" s="5"/>
      <c r="N87" s="5"/>
      <c r="O87" s="5"/>
      <c r="P87" s="5"/>
      <c r="Q87" s="5"/>
      <c r="R87" s="5"/>
      <c r="S87" s="5"/>
      <c r="T87" s="5"/>
      <c r="U87" s="5"/>
      <c r="V87" s="5" t="s">
        <v>495</v>
      </c>
    </row>
    <row r="88" customFormat="false" ht="15" hidden="false" customHeight="true" outlineLevel="0" collapsed="false">
      <c r="A88" s="10" t="s">
        <v>496</v>
      </c>
      <c r="B88" s="5" t="s">
        <v>497</v>
      </c>
      <c r="C88" s="5"/>
      <c r="D88" s="5"/>
      <c r="E88" s="5" t="s">
        <v>166</v>
      </c>
      <c r="F88" s="30" t="n">
        <v>45000</v>
      </c>
      <c r="G88" s="5" t="s">
        <v>498</v>
      </c>
      <c r="H88" s="5" t="s">
        <v>499</v>
      </c>
      <c r="I88" s="5"/>
      <c r="J88" s="5" t="s">
        <v>500</v>
      </c>
      <c r="K88" s="5"/>
      <c r="L88" s="5"/>
      <c r="M88" s="5"/>
      <c r="N88" s="5"/>
      <c r="O88" s="5"/>
      <c r="P88" s="5"/>
      <c r="Q88" s="5"/>
      <c r="R88" s="5"/>
      <c r="S88" s="5"/>
      <c r="T88" s="5"/>
      <c r="U88" s="5"/>
      <c r="V88" s="5" t="s">
        <v>501</v>
      </c>
    </row>
    <row r="90" customFormat="false" ht="18" hidden="false" customHeight="true" outlineLevel="0" collapsed="false">
      <c r="A90" s="6" t="s">
        <v>502</v>
      </c>
      <c r="B90" s="6"/>
      <c r="C90" s="6"/>
      <c r="D90" s="6"/>
      <c r="E90" s="6"/>
      <c r="F90" s="6"/>
      <c r="G90" s="6"/>
      <c r="H90" s="6"/>
      <c r="I90" s="6"/>
      <c r="J90" s="6"/>
      <c r="K90" s="6"/>
      <c r="L90" s="6"/>
      <c r="M90" s="6"/>
      <c r="N90" s="6"/>
      <c r="O90" s="6"/>
      <c r="P90" s="6"/>
      <c r="Q90" s="6"/>
      <c r="R90" s="6"/>
      <c r="S90" s="6"/>
      <c r="T90" s="6"/>
      <c r="U90" s="6"/>
      <c r="V90" s="6"/>
    </row>
    <row r="91" customFormat="false" ht="15" hidden="false" customHeight="true" outlineLevel="0" collapsed="false">
      <c r="A91" s="10" t="s">
        <v>503</v>
      </c>
      <c r="B91" s="10"/>
      <c r="C91" s="10"/>
      <c r="D91" s="10"/>
      <c r="E91" s="10"/>
      <c r="F91" s="10"/>
      <c r="G91" s="10"/>
      <c r="H91" s="10"/>
      <c r="I91" s="10"/>
      <c r="J91" s="10"/>
      <c r="K91" s="10"/>
      <c r="L91" s="10"/>
      <c r="M91" s="10"/>
      <c r="N91" s="10"/>
      <c r="O91" s="10"/>
      <c r="P91" s="10"/>
      <c r="Q91" s="10"/>
      <c r="R91" s="10"/>
      <c r="S91" s="10"/>
      <c r="T91" s="10"/>
      <c r="U91" s="10"/>
      <c r="V91" s="10"/>
    </row>
    <row r="92" customFormat="false" ht="15" hidden="false" customHeight="true" outlineLevel="0" collapsed="false">
      <c r="A92" s="10" t="s">
        <v>504</v>
      </c>
      <c r="B92" s="10"/>
      <c r="C92" s="10"/>
      <c r="D92" s="10"/>
      <c r="E92" s="10"/>
      <c r="F92" s="10"/>
      <c r="G92" s="10"/>
      <c r="H92" s="10"/>
      <c r="I92" s="10"/>
      <c r="J92" s="10"/>
      <c r="K92" s="10"/>
      <c r="L92" s="10"/>
      <c r="M92" s="10"/>
      <c r="N92" s="10"/>
      <c r="O92" s="10"/>
      <c r="P92" s="10"/>
      <c r="Q92" s="10"/>
      <c r="R92" s="10"/>
      <c r="S92" s="10"/>
      <c r="T92" s="10"/>
      <c r="U92" s="10"/>
      <c r="V92" s="10"/>
    </row>
    <row r="93" customFormat="false" ht="15" hidden="false" customHeight="true" outlineLevel="0" collapsed="false">
      <c r="A93" s="10" t="s">
        <v>505</v>
      </c>
      <c r="B93" s="10"/>
      <c r="C93" s="10"/>
      <c r="D93" s="10"/>
      <c r="E93" s="10"/>
      <c r="F93" s="10"/>
      <c r="G93" s="10"/>
      <c r="H93" s="10"/>
      <c r="I93" s="10"/>
      <c r="J93" s="10"/>
      <c r="K93" s="10"/>
      <c r="L93" s="10"/>
      <c r="M93" s="10"/>
      <c r="N93" s="10"/>
      <c r="O93" s="10"/>
      <c r="P93" s="10"/>
      <c r="Q93" s="10"/>
      <c r="R93" s="10"/>
      <c r="S93" s="10"/>
      <c r="T93" s="10"/>
      <c r="U93" s="10"/>
      <c r="V93" s="10"/>
    </row>
    <row r="94" customFormat="false" ht="15" hidden="false" customHeight="true" outlineLevel="0" collapsed="false">
      <c r="A94" s="10" t="s">
        <v>506</v>
      </c>
      <c r="B94" s="10"/>
      <c r="C94" s="10"/>
      <c r="D94" s="10"/>
      <c r="E94" s="10"/>
      <c r="F94" s="10"/>
      <c r="G94" s="10"/>
      <c r="H94" s="10"/>
      <c r="I94" s="10"/>
      <c r="J94" s="10"/>
      <c r="K94" s="10"/>
      <c r="L94" s="10"/>
      <c r="M94" s="10"/>
      <c r="N94" s="10"/>
      <c r="O94" s="10"/>
      <c r="P94" s="10"/>
      <c r="Q94" s="10"/>
      <c r="R94" s="10"/>
      <c r="S94" s="10"/>
      <c r="T94" s="10"/>
      <c r="U94" s="10"/>
      <c r="V94" s="10"/>
    </row>
    <row r="95" customFormat="false" ht="15" hidden="false" customHeight="true" outlineLevel="0" collapsed="false">
      <c r="A95" s="10" t="s">
        <v>507</v>
      </c>
      <c r="B95" s="10"/>
      <c r="C95" s="10"/>
      <c r="D95" s="10"/>
      <c r="E95" s="10"/>
      <c r="F95" s="10"/>
      <c r="G95" s="10"/>
      <c r="H95" s="10"/>
      <c r="I95" s="10"/>
      <c r="J95" s="10"/>
      <c r="K95" s="10"/>
      <c r="L95" s="10"/>
      <c r="M95" s="10"/>
      <c r="N95" s="10"/>
      <c r="O95" s="10"/>
      <c r="P95" s="10"/>
      <c r="Q95" s="10"/>
      <c r="R95" s="10"/>
      <c r="S95" s="10"/>
      <c r="T95" s="10"/>
      <c r="U95" s="10"/>
      <c r="V95" s="10"/>
    </row>
  </sheetData>
  <mergeCells count="239">
    <mergeCell ref="A3:V3"/>
    <mergeCell ref="A4:V4"/>
    <mergeCell ref="A5:B5"/>
    <mergeCell ref="C5:E5"/>
    <mergeCell ref="F5:V5"/>
    <mergeCell ref="A6:B6"/>
    <mergeCell ref="C6:E6"/>
    <mergeCell ref="F6:V6"/>
    <mergeCell ref="A7:B7"/>
    <mergeCell ref="C7:E7"/>
    <mergeCell ref="F7:V7"/>
    <mergeCell ref="A8:B8"/>
    <mergeCell ref="C8:E8"/>
    <mergeCell ref="F8:V8"/>
    <mergeCell ref="A9:B9"/>
    <mergeCell ref="C9:E9"/>
    <mergeCell ref="F9:V9"/>
    <mergeCell ref="A10:B10"/>
    <mergeCell ref="C10:E10"/>
    <mergeCell ref="F10:V10"/>
    <mergeCell ref="A11:B11"/>
    <mergeCell ref="C11:E11"/>
    <mergeCell ref="F11:V11"/>
    <mergeCell ref="A12:B12"/>
    <mergeCell ref="C12:E12"/>
    <mergeCell ref="F12:V12"/>
    <mergeCell ref="A13:B13"/>
    <mergeCell ref="C13:E13"/>
    <mergeCell ref="F13:V13"/>
    <mergeCell ref="A14:B14"/>
    <mergeCell ref="C14:E14"/>
    <mergeCell ref="F14:V14"/>
    <mergeCell ref="A15:B15"/>
    <mergeCell ref="C15:V15"/>
    <mergeCell ref="A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A33:V33"/>
    <mergeCell ref="T34:V34"/>
    <mergeCell ref="T35:V35"/>
    <mergeCell ref="T36:V36"/>
    <mergeCell ref="T37:V37"/>
    <mergeCell ref="T38:V38"/>
    <mergeCell ref="T39:V39"/>
    <mergeCell ref="T40:V40"/>
    <mergeCell ref="A42:V42"/>
    <mergeCell ref="B43:C43"/>
    <mergeCell ref="D43:E43"/>
    <mergeCell ref="G43:H43"/>
    <mergeCell ref="I43:L43"/>
    <mergeCell ref="M43:N43"/>
    <mergeCell ref="S43:U43"/>
    <mergeCell ref="B44:C44"/>
    <mergeCell ref="D44:E44"/>
    <mergeCell ref="G44:H44"/>
    <mergeCell ref="I44:L44"/>
    <mergeCell ref="M44:N44"/>
    <mergeCell ref="S44:U44"/>
    <mergeCell ref="B45:C45"/>
    <mergeCell ref="D45:E45"/>
    <mergeCell ref="G45:H45"/>
    <mergeCell ref="I45:L45"/>
    <mergeCell ref="M45:N45"/>
    <mergeCell ref="S45:U45"/>
    <mergeCell ref="B46:C46"/>
    <mergeCell ref="D46:E46"/>
    <mergeCell ref="G46:H46"/>
    <mergeCell ref="I46:L46"/>
    <mergeCell ref="M46:N46"/>
    <mergeCell ref="S46:U46"/>
    <mergeCell ref="B47:C47"/>
    <mergeCell ref="D47:E47"/>
    <mergeCell ref="G47:H47"/>
    <mergeCell ref="I47:L47"/>
    <mergeCell ref="M47:N47"/>
    <mergeCell ref="S47:U47"/>
    <mergeCell ref="B48:C48"/>
    <mergeCell ref="D48:E48"/>
    <mergeCell ref="G48:H48"/>
    <mergeCell ref="I48:L48"/>
    <mergeCell ref="M48:N48"/>
    <mergeCell ref="S48:U48"/>
    <mergeCell ref="B49:C49"/>
    <mergeCell ref="D49:E49"/>
    <mergeCell ref="G49:H49"/>
    <mergeCell ref="I49:L49"/>
    <mergeCell ref="M49:N49"/>
    <mergeCell ref="S49:U49"/>
    <mergeCell ref="A51:V51"/>
    <mergeCell ref="D52:E52"/>
    <mergeCell ref="F52:G52"/>
    <mergeCell ref="L52:M52"/>
    <mergeCell ref="N52:U52"/>
    <mergeCell ref="D53:E53"/>
    <mergeCell ref="F53:G53"/>
    <mergeCell ref="L53:M53"/>
    <mergeCell ref="N53:U53"/>
    <mergeCell ref="D54:E54"/>
    <mergeCell ref="F54:G54"/>
    <mergeCell ref="L54:M54"/>
    <mergeCell ref="N54:U54"/>
    <mergeCell ref="D55:E55"/>
    <mergeCell ref="F55:G55"/>
    <mergeCell ref="L55:M55"/>
    <mergeCell ref="N55:U55"/>
    <mergeCell ref="D56:E56"/>
    <mergeCell ref="F56:G56"/>
    <mergeCell ref="L56:M56"/>
    <mergeCell ref="N56:U56"/>
    <mergeCell ref="D57:E57"/>
    <mergeCell ref="F57:G57"/>
    <mergeCell ref="L57:M57"/>
    <mergeCell ref="N57:U57"/>
    <mergeCell ref="D58:E58"/>
    <mergeCell ref="F58:G58"/>
    <mergeCell ref="L58:M58"/>
    <mergeCell ref="N58:U58"/>
    <mergeCell ref="D59:E59"/>
    <mergeCell ref="F59:G59"/>
    <mergeCell ref="L59:M59"/>
    <mergeCell ref="N59:U59"/>
    <mergeCell ref="D60:E60"/>
    <mergeCell ref="F60:G60"/>
    <mergeCell ref="L60:M60"/>
    <mergeCell ref="N60:U60"/>
    <mergeCell ref="D61:E61"/>
    <mergeCell ref="F61:G61"/>
    <mergeCell ref="L61:M61"/>
    <mergeCell ref="N61:U61"/>
    <mergeCell ref="D62:E62"/>
    <mergeCell ref="F62:G62"/>
    <mergeCell ref="L62:M62"/>
    <mergeCell ref="N62:U62"/>
    <mergeCell ref="D63:E63"/>
    <mergeCell ref="F63:G63"/>
    <mergeCell ref="L63:M63"/>
    <mergeCell ref="N63:U63"/>
    <mergeCell ref="D64:E64"/>
    <mergeCell ref="F64:G64"/>
    <mergeCell ref="L64:M64"/>
    <mergeCell ref="N64:U64"/>
    <mergeCell ref="D65:E65"/>
    <mergeCell ref="F65:G65"/>
    <mergeCell ref="L65:M65"/>
    <mergeCell ref="N65:U65"/>
    <mergeCell ref="D66:E66"/>
    <mergeCell ref="F66:G66"/>
    <mergeCell ref="L66:M66"/>
    <mergeCell ref="N66:U66"/>
    <mergeCell ref="D67:E67"/>
    <mergeCell ref="F67:G67"/>
    <mergeCell ref="L67:M67"/>
    <mergeCell ref="N67:U67"/>
    <mergeCell ref="D68:E68"/>
    <mergeCell ref="F68:G68"/>
    <mergeCell ref="L68:M68"/>
    <mergeCell ref="N68:U68"/>
    <mergeCell ref="D69:E69"/>
    <mergeCell ref="F69:G69"/>
    <mergeCell ref="L69:M69"/>
    <mergeCell ref="N69:U69"/>
    <mergeCell ref="D70:E70"/>
    <mergeCell ref="F70:G70"/>
    <mergeCell ref="L70:M70"/>
    <mergeCell ref="N70:U70"/>
    <mergeCell ref="D71:E71"/>
    <mergeCell ref="F71:G71"/>
    <mergeCell ref="L71:M71"/>
    <mergeCell ref="N71:U71"/>
    <mergeCell ref="D72:E72"/>
    <mergeCell ref="F72:G72"/>
    <mergeCell ref="L72:M72"/>
    <mergeCell ref="N72:U72"/>
    <mergeCell ref="A74:V74"/>
    <mergeCell ref="B75:C75"/>
    <mergeCell ref="D75:E75"/>
    <mergeCell ref="F75:K75"/>
    <mergeCell ref="L75:N75"/>
    <mergeCell ref="P75:U75"/>
    <mergeCell ref="B76:C76"/>
    <mergeCell ref="D76:E76"/>
    <mergeCell ref="F76:K76"/>
    <mergeCell ref="L76:N76"/>
    <mergeCell ref="P76:U76"/>
    <mergeCell ref="B77:C77"/>
    <mergeCell ref="D77:E77"/>
    <mergeCell ref="F77:K77"/>
    <mergeCell ref="L77:N77"/>
    <mergeCell ref="P77:U77"/>
    <mergeCell ref="B78:C78"/>
    <mergeCell ref="D78:E78"/>
    <mergeCell ref="F78:K78"/>
    <mergeCell ref="L78:N78"/>
    <mergeCell ref="P78:U78"/>
    <mergeCell ref="B79:C79"/>
    <mergeCell ref="D79:E79"/>
    <mergeCell ref="F79:K79"/>
    <mergeCell ref="L79:N79"/>
    <mergeCell ref="P79:U79"/>
    <mergeCell ref="A81:V81"/>
    <mergeCell ref="B82:C82"/>
    <mergeCell ref="H82:I82"/>
    <mergeCell ref="J82:U82"/>
    <mergeCell ref="B83:C83"/>
    <mergeCell ref="H83:I83"/>
    <mergeCell ref="J83:U83"/>
    <mergeCell ref="B84:C84"/>
    <mergeCell ref="H84:I84"/>
    <mergeCell ref="J84:U84"/>
    <mergeCell ref="B85:C85"/>
    <mergeCell ref="H85:I85"/>
    <mergeCell ref="J85:U85"/>
    <mergeCell ref="B86:C86"/>
    <mergeCell ref="H86:I86"/>
    <mergeCell ref="J86:U86"/>
    <mergeCell ref="B87:C87"/>
    <mergeCell ref="H87:I87"/>
    <mergeCell ref="J87:U87"/>
    <mergeCell ref="B88:C88"/>
    <mergeCell ref="H88:I88"/>
    <mergeCell ref="J88:U88"/>
    <mergeCell ref="A90:V90"/>
    <mergeCell ref="A91:V91"/>
    <mergeCell ref="A92:V92"/>
    <mergeCell ref="A93:V93"/>
    <mergeCell ref="A94:V94"/>
    <mergeCell ref="A95:V95"/>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1" min="3" style="0" width="11"/>
    <col collapsed="false" customWidth="true" hidden="false" outlineLevel="0" max="22" min="22" style="0" width="36"/>
  </cols>
  <sheetData>
    <row r="1" customFormat="false" ht="18.55" hidden="false" customHeight="false" outlineLevel="0" collapsed="false">
      <c r="A1" s="1" t="s">
        <v>508</v>
      </c>
    </row>
    <row r="2" customFormat="false" ht="15" hidden="false" customHeight="false" outlineLevel="0" collapsed="false">
      <c r="A2" s="2" t="s">
        <v>509</v>
      </c>
    </row>
    <row r="3" customFormat="false" ht="15" hidden="false" customHeight="true" outlineLevel="0" collapsed="false">
      <c r="A3" s="23" t="s">
        <v>510</v>
      </c>
      <c r="B3" s="23"/>
      <c r="C3" s="23"/>
      <c r="D3" s="23"/>
      <c r="E3" s="23"/>
      <c r="F3" s="23"/>
      <c r="G3" s="23"/>
      <c r="H3" s="23"/>
      <c r="I3" s="23"/>
      <c r="J3" s="23"/>
      <c r="K3" s="23"/>
      <c r="L3" s="23"/>
      <c r="M3" s="23"/>
      <c r="N3" s="23"/>
      <c r="O3" s="23"/>
      <c r="P3" s="23"/>
      <c r="Q3" s="23"/>
      <c r="R3" s="23"/>
      <c r="S3" s="23"/>
      <c r="T3" s="23"/>
      <c r="U3" s="23"/>
      <c r="V3" s="23"/>
    </row>
    <row r="4" customFormat="false" ht="18" hidden="false" customHeight="true" outlineLevel="0" collapsed="false">
      <c r="A4" s="6" t="s">
        <v>151</v>
      </c>
      <c r="B4" s="6"/>
      <c r="C4" s="6"/>
      <c r="D4" s="6"/>
      <c r="E4" s="6"/>
      <c r="F4" s="6"/>
      <c r="G4" s="6"/>
      <c r="H4" s="6"/>
      <c r="I4" s="6"/>
      <c r="J4" s="6"/>
      <c r="K4" s="6"/>
      <c r="L4" s="6"/>
      <c r="M4" s="6"/>
      <c r="N4" s="6"/>
      <c r="O4" s="6"/>
      <c r="P4" s="6"/>
      <c r="Q4" s="6"/>
      <c r="R4" s="6"/>
      <c r="S4" s="6"/>
      <c r="T4" s="6"/>
      <c r="U4" s="6"/>
      <c r="V4" s="6"/>
    </row>
    <row r="5" customFormat="false" ht="15" hidden="false" customHeight="true" outlineLevel="0" collapsed="false">
      <c r="A5" s="4" t="s">
        <v>152</v>
      </c>
      <c r="B5" s="4"/>
      <c r="C5" s="24" t="n">
        <v>994000</v>
      </c>
      <c r="D5" s="24"/>
      <c r="E5" s="24"/>
      <c r="F5" s="25" t="s">
        <v>511</v>
      </c>
      <c r="G5" s="25"/>
      <c r="H5" s="25"/>
      <c r="I5" s="25"/>
      <c r="J5" s="25"/>
      <c r="K5" s="25"/>
      <c r="L5" s="25"/>
      <c r="M5" s="25"/>
      <c r="N5" s="25"/>
      <c r="O5" s="25"/>
      <c r="P5" s="25"/>
      <c r="Q5" s="25"/>
      <c r="R5" s="25"/>
      <c r="S5" s="25"/>
      <c r="T5" s="25"/>
      <c r="U5" s="25"/>
      <c r="V5" s="25"/>
    </row>
    <row r="6" customFormat="false" ht="15" hidden="false" customHeight="true" outlineLevel="0" collapsed="false">
      <c r="A6" s="4" t="s">
        <v>110</v>
      </c>
      <c r="B6" s="4"/>
      <c r="C6" s="5" t="s">
        <v>512</v>
      </c>
      <c r="D6" s="5"/>
      <c r="E6" s="5"/>
      <c r="F6" s="25"/>
      <c r="G6" s="25"/>
      <c r="H6" s="25"/>
      <c r="I6" s="25"/>
      <c r="J6" s="25"/>
      <c r="K6" s="25"/>
      <c r="L6" s="25"/>
      <c r="M6" s="25"/>
      <c r="N6" s="25"/>
      <c r="O6" s="25"/>
      <c r="P6" s="25"/>
      <c r="Q6" s="25"/>
      <c r="R6" s="25"/>
      <c r="S6" s="25"/>
      <c r="T6" s="25"/>
      <c r="U6" s="25"/>
      <c r="V6" s="25"/>
    </row>
    <row r="7" customFormat="false" ht="27.75" hidden="false" customHeight="true" outlineLevel="0" collapsed="false">
      <c r="A7" s="4" t="s">
        <v>155</v>
      </c>
      <c r="B7" s="4"/>
      <c r="C7" s="5" t="s">
        <v>513</v>
      </c>
      <c r="D7" s="5"/>
      <c r="E7" s="5"/>
      <c r="F7" s="25"/>
      <c r="G7" s="25"/>
      <c r="H7" s="25"/>
      <c r="I7" s="25"/>
      <c r="J7" s="25"/>
      <c r="K7" s="25"/>
      <c r="L7" s="25"/>
      <c r="M7" s="25"/>
      <c r="N7" s="25"/>
      <c r="O7" s="25"/>
      <c r="P7" s="25"/>
      <c r="Q7" s="25"/>
      <c r="R7" s="25"/>
      <c r="S7" s="25"/>
      <c r="T7" s="25"/>
      <c r="U7" s="25"/>
      <c r="V7" s="25"/>
    </row>
    <row r="8" customFormat="false" ht="27.75" hidden="false" customHeight="true" outlineLevel="0" collapsed="false">
      <c r="A8" s="4" t="s">
        <v>111</v>
      </c>
      <c r="B8" s="4"/>
      <c r="C8" s="5" t="s">
        <v>514</v>
      </c>
      <c r="D8" s="5"/>
      <c r="E8" s="5"/>
      <c r="F8" s="25"/>
      <c r="G8" s="25"/>
      <c r="H8" s="25"/>
      <c r="I8" s="25"/>
      <c r="J8" s="25"/>
      <c r="K8" s="25"/>
      <c r="L8" s="25"/>
      <c r="M8" s="25"/>
      <c r="N8" s="25"/>
      <c r="O8" s="25"/>
      <c r="P8" s="25"/>
      <c r="Q8" s="25"/>
      <c r="R8" s="25"/>
      <c r="S8" s="25"/>
      <c r="T8" s="25"/>
      <c r="U8" s="25"/>
      <c r="V8" s="25"/>
    </row>
    <row r="9" customFormat="false" ht="15" hidden="false" customHeight="true" outlineLevel="0" collapsed="false">
      <c r="A9" s="4" t="s">
        <v>158</v>
      </c>
      <c r="B9" s="4"/>
      <c r="C9" s="26" t="n">
        <f aca="false">IF(ISNUMBER(S21),S21,"n.d.")</f>
        <v>769280</v>
      </c>
      <c r="D9" s="26"/>
      <c r="E9" s="26"/>
      <c r="F9" s="25" t="s">
        <v>515</v>
      </c>
      <c r="G9" s="25"/>
      <c r="H9" s="25"/>
      <c r="I9" s="25"/>
      <c r="J9" s="25"/>
      <c r="K9" s="25"/>
      <c r="L9" s="25"/>
      <c r="M9" s="25"/>
      <c r="N9" s="25"/>
      <c r="O9" s="25"/>
      <c r="P9" s="25"/>
      <c r="Q9" s="25"/>
      <c r="R9" s="25"/>
      <c r="S9" s="25"/>
      <c r="T9" s="25"/>
      <c r="U9" s="25"/>
      <c r="V9" s="25"/>
    </row>
    <row r="10" customFormat="false" ht="15" hidden="false" customHeight="true" outlineLevel="0" collapsed="false">
      <c r="A10" s="4" t="s">
        <v>160</v>
      </c>
      <c r="B10" s="4"/>
      <c r="C10" s="5" t="s">
        <v>515</v>
      </c>
      <c r="D10" s="5"/>
      <c r="E10" s="5"/>
      <c r="F10" s="25"/>
      <c r="G10" s="25"/>
      <c r="H10" s="25"/>
      <c r="I10" s="25"/>
      <c r="J10" s="25"/>
      <c r="K10" s="25"/>
      <c r="L10" s="25"/>
      <c r="M10" s="25"/>
      <c r="N10" s="25"/>
      <c r="O10" s="25"/>
      <c r="P10" s="25"/>
      <c r="Q10" s="25"/>
      <c r="R10" s="25"/>
      <c r="S10" s="25"/>
      <c r="T10" s="25"/>
      <c r="U10" s="25"/>
      <c r="V10" s="25"/>
    </row>
    <row r="11" customFormat="false" ht="15" hidden="false" customHeight="true" outlineLevel="0" collapsed="false">
      <c r="A11" s="4" t="s">
        <v>114</v>
      </c>
      <c r="B11" s="4"/>
      <c r="C11" s="27" t="n">
        <f aca="false">IFERROR(C9/S19,"n.d.")</f>
        <v>0.773923541247485</v>
      </c>
      <c r="D11" s="27"/>
      <c r="E11" s="27"/>
      <c r="F11" s="25" t="s">
        <v>161</v>
      </c>
      <c r="G11" s="25"/>
      <c r="H11" s="25"/>
      <c r="I11" s="25"/>
      <c r="J11" s="25"/>
      <c r="K11" s="25"/>
      <c r="L11" s="25"/>
      <c r="M11" s="25"/>
      <c r="N11" s="25"/>
      <c r="O11" s="25"/>
      <c r="P11" s="25"/>
      <c r="Q11" s="25"/>
      <c r="R11" s="25"/>
      <c r="S11" s="25"/>
      <c r="T11" s="25"/>
      <c r="U11" s="25"/>
      <c r="V11" s="25"/>
    </row>
    <row r="12" customFormat="false" ht="15" hidden="false" customHeight="true" outlineLevel="0" collapsed="false">
      <c r="A12" s="4" t="s">
        <v>162</v>
      </c>
      <c r="B12" s="4"/>
      <c r="C12" s="26" t="n">
        <f aca="false">S19</f>
        <v>994000</v>
      </c>
      <c r="D12" s="26"/>
      <c r="E12" s="26"/>
      <c r="F12" s="25" t="s">
        <v>163</v>
      </c>
      <c r="G12" s="25"/>
      <c r="H12" s="25"/>
      <c r="I12" s="25"/>
      <c r="J12" s="25"/>
      <c r="K12" s="25"/>
      <c r="L12" s="25"/>
      <c r="M12" s="25"/>
      <c r="N12" s="25"/>
      <c r="O12" s="25"/>
      <c r="P12" s="25"/>
      <c r="Q12" s="25"/>
      <c r="R12" s="25"/>
      <c r="S12" s="25"/>
      <c r="T12" s="25"/>
      <c r="U12" s="25"/>
      <c r="V12" s="25"/>
    </row>
    <row r="13" customFormat="false" ht="15" hidden="false" customHeight="true" outlineLevel="0" collapsed="false">
      <c r="A13" s="4" t="s">
        <v>164</v>
      </c>
      <c r="B13" s="4"/>
      <c r="C13" s="24" t="n">
        <v>1074000</v>
      </c>
      <c r="D13" s="24"/>
      <c r="E13" s="24"/>
      <c r="F13" s="25" t="s">
        <v>516</v>
      </c>
      <c r="G13" s="25"/>
      <c r="H13" s="25"/>
      <c r="I13" s="25"/>
      <c r="J13" s="25"/>
      <c r="K13" s="25"/>
      <c r="L13" s="25"/>
      <c r="M13" s="25"/>
      <c r="N13" s="25"/>
      <c r="O13" s="25"/>
      <c r="P13" s="25"/>
      <c r="Q13" s="25"/>
      <c r="R13" s="25"/>
      <c r="S13" s="25"/>
      <c r="T13" s="25"/>
      <c r="U13" s="25"/>
      <c r="V13" s="25"/>
    </row>
    <row r="14" customFormat="false" ht="15" hidden="false" customHeight="true" outlineLevel="0" collapsed="false">
      <c r="A14" s="4" t="s">
        <v>130</v>
      </c>
      <c r="B14" s="4"/>
      <c r="C14" s="5" t="s">
        <v>517</v>
      </c>
      <c r="D14" s="5"/>
      <c r="E14" s="5"/>
      <c r="F14" s="25"/>
      <c r="G14" s="25"/>
      <c r="H14" s="25"/>
      <c r="I14" s="25"/>
      <c r="J14" s="25"/>
      <c r="K14" s="25"/>
      <c r="L14" s="25"/>
      <c r="M14" s="25"/>
      <c r="N14" s="25"/>
      <c r="O14" s="25"/>
      <c r="P14" s="25"/>
      <c r="Q14" s="25"/>
      <c r="R14" s="25"/>
      <c r="S14" s="25"/>
      <c r="T14" s="25"/>
      <c r="U14" s="25"/>
      <c r="V14" s="25"/>
    </row>
    <row r="15" customFormat="false" ht="20.25" hidden="false" customHeight="true" outlineLevel="0" collapsed="false">
      <c r="A15" s="4" t="s">
        <v>120</v>
      </c>
      <c r="B15" s="4"/>
      <c r="C15" s="28" t="s">
        <v>518</v>
      </c>
      <c r="D15" s="28"/>
      <c r="E15" s="28"/>
      <c r="F15" s="28"/>
      <c r="G15" s="28"/>
      <c r="H15" s="28"/>
      <c r="I15" s="28"/>
      <c r="J15" s="28"/>
      <c r="K15" s="28"/>
      <c r="L15" s="28"/>
      <c r="M15" s="28"/>
      <c r="N15" s="28"/>
      <c r="O15" s="28"/>
      <c r="P15" s="28"/>
      <c r="Q15" s="28"/>
      <c r="R15" s="28"/>
      <c r="S15" s="28"/>
      <c r="T15" s="28"/>
      <c r="U15" s="28"/>
      <c r="V15" s="28"/>
    </row>
    <row r="17" customFormat="false" ht="18" hidden="false" customHeight="true" outlineLevel="0" collapsed="false">
      <c r="A17" s="6" t="s">
        <v>168</v>
      </c>
      <c r="B17" s="6"/>
      <c r="C17" s="6"/>
      <c r="D17" s="6"/>
      <c r="E17" s="6"/>
      <c r="F17" s="6"/>
      <c r="G17" s="6"/>
      <c r="H17" s="6"/>
      <c r="I17" s="6"/>
      <c r="J17" s="6"/>
      <c r="K17" s="6"/>
      <c r="L17" s="6"/>
      <c r="M17" s="6"/>
      <c r="N17" s="6"/>
      <c r="O17" s="6"/>
      <c r="P17" s="6"/>
      <c r="Q17" s="6"/>
      <c r="R17" s="6"/>
      <c r="S17" s="6"/>
      <c r="T17" s="6"/>
      <c r="U17" s="6"/>
      <c r="V17" s="6"/>
    </row>
    <row r="18" customFormat="false" ht="15" hidden="false" customHeight="true" outlineLevel="0" collapsed="false">
      <c r="A18" s="8" t="s">
        <v>169</v>
      </c>
      <c r="B18" s="9" t="s">
        <v>170</v>
      </c>
      <c r="C18" s="9" t="s">
        <v>71</v>
      </c>
      <c r="D18" s="9" t="s">
        <v>72</v>
      </c>
      <c r="E18" s="9" t="s">
        <v>73</v>
      </c>
      <c r="F18" s="9" t="s">
        <v>74</v>
      </c>
      <c r="G18" s="9" t="s">
        <v>75</v>
      </c>
      <c r="H18" s="9" t="s">
        <v>76</v>
      </c>
      <c r="I18" s="9" t="s">
        <v>77</v>
      </c>
      <c r="J18" s="9" t="s">
        <v>78</v>
      </c>
      <c r="K18" s="9" t="s">
        <v>79</v>
      </c>
      <c r="L18" s="9" t="s">
        <v>80</v>
      </c>
      <c r="M18" s="9" t="s">
        <v>81</v>
      </c>
      <c r="N18" s="9" t="s">
        <v>82</v>
      </c>
      <c r="O18" s="9" t="s">
        <v>83</v>
      </c>
      <c r="P18" s="9" t="s">
        <v>84</v>
      </c>
      <c r="Q18" s="9" t="s">
        <v>85</v>
      </c>
      <c r="R18" s="9" t="s">
        <v>86</v>
      </c>
      <c r="S18" s="9" t="s">
        <v>87</v>
      </c>
      <c r="T18" s="8" t="s">
        <v>171</v>
      </c>
      <c r="U18" s="8"/>
      <c r="V18" s="8"/>
    </row>
    <row r="19" customFormat="false" ht="24.75" hidden="false" customHeight="true" outlineLevel="0" collapsed="false">
      <c r="A19" s="10" t="s">
        <v>172</v>
      </c>
      <c r="B19" s="29" t="s">
        <v>173</v>
      </c>
      <c r="C19" s="30" t="n">
        <v>600000</v>
      </c>
      <c r="D19" s="5"/>
      <c r="E19" s="5"/>
      <c r="F19" s="5"/>
      <c r="G19" s="5"/>
      <c r="H19" s="5"/>
      <c r="I19" s="30" t="n">
        <v>680000</v>
      </c>
      <c r="J19" s="5"/>
      <c r="K19" s="30" t="n">
        <v>700000</v>
      </c>
      <c r="L19" s="30" t="n">
        <v>750000</v>
      </c>
      <c r="M19" s="33" t="n">
        <v>750000</v>
      </c>
      <c r="N19" s="33" t="n">
        <v>750000</v>
      </c>
      <c r="O19" s="30" t="n">
        <v>758000</v>
      </c>
      <c r="P19" s="30" t="n">
        <v>770000</v>
      </c>
      <c r="Q19" s="30" t="n">
        <v>824000</v>
      </c>
      <c r="R19" s="30" t="n">
        <v>824000</v>
      </c>
      <c r="S19" s="30" t="n">
        <v>994000</v>
      </c>
      <c r="T19" s="25" t="s">
        <v>519</v>
      </c>
      <c r="U19" s="25"/>
      <c r="V19" s="25"/>
    </row>
    <row r="20" customFormat="false" ht="24.75" hidden="false" customHeight="true" outlineLevel="0" collapsed="false">
      <c r="A20" s="10" t="s">
        <v>175</v>
      </c>
      <c r="B20" s="29" t="s">
        <v>176</v>
      </c>
      <c r="C20" s="29" t="s">
        <v>520</v>
      </c>
      <c r="D20" s="5"/>
      <c r="E20" s="5"/>
      <c r="F20" s="5"/>
      <c r="G20" s="5"/>
      <c r="H20" s="5"/>
      <c r="I20" s="29" t="s">
        <v>520</v>
      </c>
      <c r="J20" s="5"/>
      <c r="K20" s="29" t="s">
        <v>520</v>
      </c>
      <c r="L20" s="29" t="s">
        <v>520</v>
      </c>
      <c r="M20" s="29" t="s">
        <v>521</v>
      </c>
      <c r="N20" s="29" t="s">
        <v>521</v>
      </c>
      <c r="O20" s="29" t="s">
        <v>51</v>
      </c>
      <c r="P20" s="29" t="s">
        <v>51</v>
      </c>
      <c r="Q20" s="29" t="s">
        <v>51</v>
      </c>
      <c r="R20" s="29" t="s">
        <v>177</v>
      </c>
      <c r="S20" s="29" t="s">
        <v>177</v>
      </c>
      <c r="T20" s="25" t="s">
        <v>179</v>
      </c>
      <c r="U20" s="25"/>
      <c r="V20" s="25"/>
    </row>
    <row r="21" customFormat="false" ht="24.75" hidden="false" customHeight="true" outlineLevel="0" collapsed="false">
      <c r="A21" s="10" t="s">
        <v>180</v>
      </c>
      <c r="B21" s="29" t="s">
        <v>181</v>
      </c>
      <c r="C21" s="5"/>
      <c r="D21" s="5"/>
      <c r="E21" s="5"/>
      <c r="F21" s="5"/>
      <c r="G21" s="5"/>
      <c r="H21" s="5"/>
      <c r="I21" s="5"/>
      <c r="J21" s="5"/>
      <c r="K21" s="5"/>
      <c r="L21" s="5"/>
      <c r="M21" s="5"/>
      <c r="N21" s="5"/>
      <c r="O21" s="30" t="n">
        <v>606100</v>
      </c>
      <c r="P21" s="30" t="n">
        <v>727300</v>
      </c>
      <c r="Q21" s="30" t="n">
        <v>787500</v>
      </c>
      <c r="R21" s="30" t="n">
        <v>762900</v>
      </c>
      <c r="S21" s="30" t="n">
        <v>769280</v>
      </c>
      <c r="T21" s="25" t="s">
        <v>522</v>
      </c>
      <c r="U21" s="25"/>
      <c r="V21" s="25"/>
    </row>
    <row r="22" customFormat="false" ht="15" hidden="false" customHeight="true" outlineLevel="0" collapsed="false">
      <c r="A22" s="10" t="s">
        <v>183</v>
      </c>
      <c r="B22" s="29" t="s">
        <v>181</v>
      </c>
      <c r="C22" s="5"/>
      <c r="D22" s="5"/>
      <c r="E22" s="5"/>
      <c r="F22" s="5"/>
      <c r="G22" s="5"/>
      <c r="H22" s="5"/>
      <c r="I22" s="5"/>
      <c r="J22" s="5"/>
      <c r="K22" s="5"/>
      <c r="L22" s="5"/>
      <c r="M22" s="5"/>
      <c r="N22" s="5"/>
      <c r="O22" s="30" t="n">
        <v>610760</v>
      </c>
      <c r="P22" s="30" t="n">
        <v>720565</v>
      </c>
      <c r="Q22" s="30" t="n">
        <v>777876</v>
      </c>
      <c r="R22" s="30" t="n">
        <v>762052</v>
      </c>
      <c r="S22" s="30" t="n">
        <v>775031</v>
      </c>
      <c r="T22" s="25" t="s">
        <v>523</v>
      </c>
      <c r="U22" s="25"/>
      <c r="V22" s="25"/>
    </row>
    <row r="23" customFormat="false" ht="15" hidden="false" customHeight="true" outlineLevel="0" collapsed="false">
      <c r="A23" s="10" t="s">
        <v>185</v>
      </c>
      <c r="B23" s="29" t="s">
        <v>181</v>
      </c>
      <c r="C23" s="5"/>
      <c r="D23" s="5"/>
      <c r="E23" s="5"/>
      <c r="F23" s="5"/>
      <c r="G23" s="5"/>
      <c r="H23" s="5"/>
      <c r="I23" s="5"/>
      <c r="J23" s="5"/>
      <c r="K23" s="5"/>
      <c r="L23" s="5"/>
      <c r="M23" s="5"/>
      <c r="N23" s="5"/>
      <c r="O23" s="30" t="n">
        <v>481500</v>
      </c>
      <c r="P23" s="30" t="n">
        <v>567546</v>
      </c>
      <c r="Q23" s="30" t="n">
        <v>614721</v>
      </c>
      <c r="R23" s="30" t="n">
        <v>598666</v>
      </c>
      <c r="S23" s="30" t="n">
        <v>584906</v>
      </c>
      <c r="T23" s="25"/>
      <c r="U23" s="25"/>
      <c r="V23" s="25"/>
    </row>
    <row r="24" customFormat="false" ht="15" hidden="false" customHeight="true" outlineLevel="0" collapsed="false">
      <c r="A24" s="10" t="s">
        <v>187</v>
      </c>
      <c r="B24" s="29" t="s">
        <v>181</v>
      </c>
      <c r="C24" s="5"/>
      <c r="D24" s="5"/>
      <c r="E24" s="5"/>
      <c r="F24" s="5"/>
      <c r="G24" s="5"/>
      <c r="H24" s="5"/>
      <c r="I24" s="5"/>
      <c r="J24" s="5"/>
      <c r="K24" s="5"/>
      <c r="L24" s="5"/>
      <c r="M24" s="5"/>
      <c r="N24" s="5"/>
      <c r="O24" s="30" t="n">
        <v>129260</v>
      </c>
      <c r="P24" s="30" t="n">
        <v>153019</v>
      </c>
      <c r="Q24" s="30" t="n">
        <v>163155</v>
      </c>
      <c r="R24" s="30" t="n">
        <v>163386</v>
      </c>
      <c r="S24" s="30" t="n">
        <v>190125</v>
      </c>
      <c r="T24" s="25"/>
      <c r="U24" s="25"/>
      <c r="V24" s="25"/>
    </row>
    <row r="25" customFormat="false" ht="24.75" hidden="false" customHeight="true" outlineLevel="0" collapsed="false">
      <c r="A25" s="10" t="s">
        <v>188</v>
      </c>
      <c r="B25" s="29" t="s">
        <v>189</v>
      </c>
      <c r="C25" s="17" t="str">
        <f aca="false">IF(AND(ISNUMBER(C21),ISNUMBER(C19)),C21/C19,"")</f>
        <v/>
      </c>
      <c r="D25" s="17" t="str">
        <f aca="false">IF(AND(ISNUMBER(D21),ISNUMBER(D19)),D21/D19,"")</f>
        <v/>
      </c>
      <c r="E25" s="17" t="str">
        <f aca="false">IF(AND(ISNUMBER(E21),ISNUMBER(E19)),E21/E19,"")</f>
        <v/>
      </c>
      <c r="F25" s="17" t="str">
        <f aca="false">IF(AND(ISNUMBER(F21),ISNUMBER(F19)),F21/F19,"")</f>
        <v/>
      </c>
      <c r="G25" s="17" t="str">
        <f aca="false">IF(AND(ISNUMBER(G21),ISNUMBER(G19)),G21/G19,"")</f>
        <v/>
      </c>
      <c r="H25" s="17" t="str">
        <f aca="false">IF(AND(ISNUMBER(H21),ISNUMBER(H19)),H21/H19,"")</f>
        <v/>
      </c>
      <c r="I25" s="17" t="str">
        <f aca="false">IF(AND(ISNUMBER(I21),ISNUMBER(I19)),I21/I19,"")</f>
        <v/>
      </c>
      <c r="J25" s="17" t="str">
        <f aca="false">IF(AND(ISNUMBER(J21),ISNUMBER(J19)),J21/J19,"")</f>
        <v/>
      </c>
      <c r="K25" s="17" t="str">
        <f aca="false">IF(AND(ISNUMBER(K21),ISNUMBER(K19)),K21/K19,"")</f>
        <v/>
      </c>
      <c r="L25" s="17" t="str">
        <f aca="false">IF(AND(ISNUMBER(L21),ISNUMBER(L19)),L21/L19,"")</f>
        <v/>
      </c>
      <c r="M25" s="17" t="str">
        <f aca="false">IF(AND(ISNUMBER(M21),ISNUMBER(M19)),M21/M19,"")</f>
        <v/>
      </c>
      <c r="N25" s="17" t="str">
        <f aca="false">IF(AND(ISNUMBER(N21),ISNUMBER(N19)),N21/N19,"")</f>
        <v/>
      </c>
      <c r="O25" s="17" t="n">
        <f aca="false">IF(AND(ISNUMBER(O21),ISNUMBER(O19)),O21/O19,"")</f>
        <v>0.799604221635884</v>
      </c>
      <c r="P25" s="17" t="n">
        <f aca="false">IF(AND(ISNUMBER(P21),ISNUMBER(P19)),P21/P19,"")</f>
        <v>0.944545454545455</v>
      </c>
      <c r="Q25" s="17" t="n">
        <f aca="false">IF(AND(ISNUMBER(Q21),ISNUMBER(Q19)),Q21/Q19,"")</f>
        <v>0.955703883495146</v>
      </c>
      <c r="R25" s="17" t="n">
        <f aca="false">IF(AND(ISNUMBER(R21),ISNUMBER(R19)),R21/R19,"")</f>
        <v>0.925849514563107</v>
      </c>
      <c r="S25" s="17" t="n">
        <f aca="false">IF(AND(ISNUMBER(S21),ISNUMBER(S19)),S21/S19,"")</f>
        <v>0.773923541247485</v>
      </c>
      <c r="T25" s="25" t="s">
        <v>190</v>
      </c>
      <c r="U25" s="25"/>
      <c r="V25" s="25"/>
    </row>
    <row r="26" customFormat="false" ht="15" hidden="false" customHeight="true" outlineLevel="0" collapsed="false">
      <c r="A26" s="10" t="s">
        <v>191</v>
      </c>
      <c r="B26" s="29" t="s">
        <v>189</v>
      </c>
      <c r="C26" s="17" t="str">
        <f aca="false">IF(AND(ISNUMBER(C21),ISNUMBER(C19)),C21/C19,"")</f>
        <v/>
      </c>
      <c r="D26" s="17" t="str">
        <f aca="false">IF(AND(ISNUMBER(D21),ISNUMBER(D19)),D21/IF(ISNUMBER(C19),AVERAGE(C19,D19),D19),"")</f>
        <v/>
      </c>
      <c r="E26" s="17" t="str">
        <f aca="false">IF(AND(ISNUMBER(E21),ISNUMBER(E19)),E21/IF(ISNUMBER(D19),AVERAGE(D19,E19),E19),"")</f>
        <v/>
      </c>
      <c r="F26" s="17" t="str">
        <f aca="false">IF(AND(ISNUMBER(F21),ISNUMBER(F19)),F21/IF(ISNUMBER(E19),AVERAGE(E19,F19),F19),"")</f>
        <v/>
      </c>
      <c r="G26" s="17" t="str">
        <f aca="false">IF(AND(ISNUMBER(G21),ISNUMBER(G19)),G21/IF(ISNUMBER(F19),AVERAGE(F19,G19),G19),"")</f>
        <v/>
      </c>
      <c r="H26" s="17" t="str">
        <f aca="false">IF(AND(ISNUMBER(H21),ISNUMBER(H19)),H21/IF(ISNUMBER(G19),AVERAGE(G19,H19),H19),"")</f>
        <v/>
      </c>
      <c r="I26" s="17" t="str">
        <f aca="false">IF(AND(ISNUMBER(I21),ISNUMBER(I19)),I21/IF(ISNUMBER(H19),AVERAGE(H19,I19),I19),"")</f>
        <v/>
      </c>
      <c r="J26" s="17" t="str">
        <f aca="false">IF(AND(ISNUMBER(J21),ISNUMBER(J19)),J21/IF(ISNUMBER(I19),AVERAGE(I19,J19),J19),"")</f>
        <v/>
      </c>
      <c r="K26" s="17" t="str">
        <f aca="false">IF(AND(ISNUMBER(K21),ISNUMBER(K19)),K21/IF(ISNUMBER(J19),AVERAGE(J19,K19),K19),"")</f>
        <v/>
      </c>
      <c r="L26" s="17" t="str">
        <f aca="false">IF(AND(ISNUMBER(L21),ISNUMBER(L19)),L21/IF(ISNUMBER(K19),AVERAGE(K19,L19),L19),"")</f>
        <v/>
      </c>
      <c r="M26" s="17" t="str">
        <f aca="false">IF(AND(ISNUMBER(M21),ISNUMBER(M19)),M21/IF(ISNUMBER(L19),AVERAGE(L19,M19),M19),"")</f>
        <v/>
      </c>
      <c r="N26" s="17" t="str">
        <f aca="false">IF(AND(ISNUMBER(N21),ISNUMBER(N19)),N21/IF(ISNUMBER(M19),AVERAGE(M19,N19),N19),"")</f>
        <v/>
      </c>
      <c r="O26" s="17" t="n">
        <f aca="false">IF(AND(ISNUMBER(O21),ISNUMBER(O19)),O21/IF(ISNUMBER(N19),AVERAGE(N19,O19),O19),"")</f>
        <v>0.803846153846154</v>
      </c>
      <c r="P26" s="17" t="n">
        <f aca="false">IF(AND(ISNUMBER(P21),ISNUMBER(P19)),P21/IF(ISNUMBER(O19),AVERAGE(O19,P19),P19),"")</f>
        <v>0.95196335078534</v>
      </c>
      <c r="Q26" s="17" t="n">
        <f aca="false">IF(AND(ISNUMBER(Q21),ISNUMBER(Q19)),Q21/IF(ISNUMBER(P19),AVERAGE(P19,Q19),Q19),"")</f>
        <v>0.988080301129235</v>
      </c>
      <c r="R26" s="17" t="n">
        <f aca="false">IF(AND(ISNUMBER(R21),ISNUMBER(R19)),R21/IF(ISNUMBER(Q19),AVERAGE(Q19,R19),R19),"")</f>
        <v>0.925849514563107</v>
      </c>
      <c r="S26" s="17" t="n">
        <f aca="false">IF(AND(ISNUMBER(S21),ISNUMBER(S19)),S21/IF(ISNUMBER(R19),AVERAGE(R19,S19),S19),"")</f>
        <v>0.846292629262926</v>
      </c>
      <c r="T26" s="25" t="s">
        <v>192</v>
      </c>
      <c r="U26" s="25"/>
      <c r="V26" s="25"/>
    </row>
    <row r="27" customFormat="false" ht="24.75" hidden="false" customHeight="true" outlineLevel="0" collapsed="false">
      <c r="A27" s="10" t="s">
        <v>193</v>
      </c>
      <c r="B27" s="29" t="s">
        <v>189</v>
      </c>
      <c r="C27" s="17" t="str">
        <f aca="false">IF(ISNUMBER(C19),IF(ISNUMBER(C22),C22/C19,IF(ISNUMBER(C23),C23/C19,"")),"")</f>
        <v/>
      </c>
      <c r="D27" s="17" t="str">
        <f aca="false">IF(ISNUMBER(D19),IF(ISNUMBER(D22),D22/D19,IF(ISNUMBER(D23),D23/D19,"")),"")</f>
        <v/>
      </c>
      <c r="E27" s="17" t="str">
        <f aca="false">IF(ISNUMBER(E19),IF(ISNUMBER(E22),E22/E19,IF(ISNUMBER(E23),E23/E19,"")),"")</f>
        <v/>
      </c>
      <c r="F27" s="17" t="str">
        <f aca="false">IF(ISNUMBER(F19),IF(ISNUMBER(F22),F22/F19,IF(ISNUMBER(F23),F23/F19,"")),"")</f>
        <v/>
      </c>
      <c r="G27" s="17" t="str">
        <f aca="false">IF(ISNUMBER(G19),IF(ISNUMBER(G22),G22/G19,IF(ISNUMBER(G23),G23/G19,"")),"")</f>
        <v/>
      </c>
      <c r="H27" s="17" t="str">
        <f aca="false">IF(ISNUMBER(H19),IF(ISNUMBER(H22),H22/H19,IF(ISNUMBER(H23),H23/H19,"")),"")</f>
        <v/>
      </c>
      <c r="I27" s="17" t="str">
        <f aca="false">IF(ISNUMBER(I19),IF(ISNUMBER(I22),I22/I19,IF(ISNUMBER(I23),I23/I19,"")),"")</f>
        <v/>
      </c>
      <c r="J27" s="17" t="str">
        <f aca="false">IF(ISNUMBER(J19),IF(ISNUMBER(J22),J22/J19,IF(ISNUMBER(J23),J23/J19,"")),"")</f>
        <v/>
      </c>
      <c r="K27" s="17" t="str">
        <f aca="false">IF(ISNUMBER(K19),IF(ISNUMBER(K22),K22/K19,IF(ISNUMBER(K23),K23/K19,"")),"")</f>
        <v/>
      </c>
      <c r="L27" s="17" t="str">
        <f aca="false">IF(ISNUMBER(L19),IF(ISNUMBER(L22),L22/L19,IF(ISNUMBER(L23),L23/L19,"")),"")</f>
        <v/>
      </c>
      <c r="M27" s="17" t="str">
        <f aca="false">IF(ISNUMBER(M19),IF(ISNUMBER(M22),M22/M19,IF(ISNUMBER(M23),M23/M19,"")),"")</f>
        <v/>
      </c>
      <c r="N27" s="17" t="str">
        <f aca="false">IF(ISNUMBER(N19),IF(ISNUMBER(N22),N22/N19,IF(ISNUMBER(N23),N23/N19,"")),"")</f>
        <v/>
      </c>
      <c r="O27" s="17" t="n">
        <f aca="false">IF(ISNUMBER(O19),IF(ISNUMBER(O22),O22/O19,IF(ISNUMBER(O23),O23/O19,"")),"")</f>
        <v>0.805751978891821</v>
      </c>
      <c r="P27" s="17" t="n">
        <f aca="false">IF(ISNUMBER(P19),IF(ISNUMBER(P22),P22/P19,IF(ISNUMBER(P23),P23/P19,"")),"")</f>
        <v>0.935798701298701</v>
      </c>
      <c r="Q27" s="17" t="n">
        <f aca="false">IF(ISNUMBER(Q19),IF(ISNUMBER(Q22),Q22/Q19,IF(ISNUMBER(Q23),Q23/Q19,"")),"")</f>
        <v>0.94402427184466</v>
      </c>
      <c r="R27" s="17" t="n">
        <f aca="false">IF(ISNUMBER(R19),IF(ISNUMBER(R22),R22/R19,IF(ISNUMBER(R23),R23/R19,"")),"")</f>
        <v>0.924820388349515</v>
      </c>
      <c r="S27" s="17" t="n">
        <f aca="false">IF(ISNUMBER(S19),IF(ISNUMBER(S22),S22/S19,IF(ISNUMBER(S23),S23/S19,"")),"")</f>
        <v>0.779709255533199</v>
      </c>
      <c r="T27" s="25" t="s">
        <v>194</v>
      </c>
      <c r="U27" s="25"/>
      <c r="V27" s="25"/>
    </row>
    <row r="28" customFormat="false" ht="15" hidden="false" customHeight="true" outlineLevel="0" collapsed="false">
      <c r="A28" s="10" t="s">
        <v>195</v>
      </c>
      <c r="B28" s="29" t="s">
        <v>173</v>
      </c>
      <c r="C28" s="5"/>
      <c r="D28" s="18" t="str">
        <f aca="false">IF(AND(ISNUMBER(D19),ISNUMBER(C19)),D19-C19,"")</f>
        <v/>
      </c>
      <c r="E28" s="18" t="str">
        <f aca="false">IF(AND(ISNUMBER(E19),ISNUMBER(D19)),E19-D19,"")</f>
        <v/>
      </c>
      <c r="F28" s="18" t="str">
        <f aca="false">IF(AND(ISNUMBER(F19),ISNUMBER(E19)),F19-E19,"")</f>
        <v/>
      </c>
      <c r="G28" s="18" t="str">
        <f aca="false">IF(AND(ISNUMBER(G19),ISNUMBER(F19)),G19-F19,"")</f>
        <v/>
      </c>
      <c r="H28" s="18" t="str">
        <f aca="false">IF(AND(ISNUMBER(H19),ISNUMBER(G19)),H19-G19,"")</f>
        <v/>
      </c>
      <c r="I28" s="18" t="str">
        <f aca="false">IF(AND(ISNUMBER(I19),ISNUMBER(H19)),I19-H19,"")</f>
        <v/>
      </c>
      <c r="J28" s="18" t="str">
        <f aca="false">IF(AND(ISNUMBER(J19),ISNUMBER(I19)),J19-I19,"")</f>
        <v/>
      </c>
      <c r="K28" s="18" t="str">
        <f aca="false">IF(AND(ISNUMBER(K19),ISNUMBER(J19)),K19-J19,"")</f>
        <v/>
      </c>
      <c r="L28" s="18" t="n">
        <f aca="false">IF(AND(ISNUMBER(L19),ISNUMBER(K19)),L19-K19,"")</f>
        <v>50000</v>
      </c>
      <c r="M28" s="18" t="n">
        <f aca="false">IF(AND(ISNUMBER(M19),ISNUMBER(L19)),M19-L19,"")</f>
        <v>0</v>
      </c>
      <c r="N28" s="18" t="n">
        <f aca="false">IF(AND(ISNUMBER(N19),ISNUMBER(M19)),N19-M19,"")</f>
        <v>0</v>
      </c>
      <c r="O28" s="18" t="n">
        <f aca="false">IF(AND(ISNUMBER(O19),ISNUMBER(N19)),O19-N19,"")</f>
        <v>8000</v>
      </c>
      <c r="P28" s="18" t="n">
        <f aca="false">IF(AND(ISNUMBER(P19),ISNUMBER(O19)),P19-O19,"")</f>
        <v>12000</v>
      </c>
      <c r="Q28" s="18" t="n">
        <f aca="false">IF(AND(ISNUMBER(Q19),ISNUMBER(P19)),Q19-P19,"")</f>
        <v>54000</v>
      </c>
      <c r="R28" s="18" t="n">
        <f aca="false">IF(AND(ISNUMBER(R19),ISNUMBER(Q19)),R19-Q19,"")</f>
        <v>0</v>
      </c>
      <c r="S28" s="18" t="n">
        <f aca="false">IF(AND(ISNUMBER(S19),ISNUMBER(R19)),S19-R19,"")</f>
        <v>170000</v>
      </c>
      <c r="T28" s="25" t="s">
        <v>196</v>
      </c>
      <c r="U28" s="25"/>
      <c r="V28" s="25"/>
    </row>
    <row r="29" customFormat="false" ht="24.75" hidden="false" customHeight="true" outlineLevel="0" collapsed="false">
      <c r="A29" s="10" t="s">
        <v>197</v>
      </c>
      <c r="B29" s="29" t="s">
        <v>189</v>
      </c>
      <c r="C29" s="31"/>
      <c r="D29" s="31"/>
      <c r="E29" s="31"/>
      <c r="F29" s="31"/>
      <c r="G29" s="31"/>
      <c r="H29" s="31"/>
      <c r="I29" s="31"/>
      <c r="J29" s="31"/>
      <c r="K29" s="31"/>
      <c r="L29" s="31"/>
      <c r="M29" s="31"/>
      <c r="N29" s="31"/>
      <c r="O29" s="31" t="n">
        <v>0.7996</v>
      </c>
      <c r="P29" s="31" t="n">
        <v>0.9445</v>
      </c>
      <c r="Q29" s="31"/>
      <c r="R29" s="31"/>
      <c r="S29" s="31"/>
      <c r="T29" s="25" t="s">
        <v>524</v>
      </c>
      <c r="U29" s="25"/>
      <c r="V29" s="25"/>
    </row>
    <row r="30" customFormat="false" ht="24.75" hidden="false" customHeight="true" outlineLevel="0" collapsed="false">
      <c r="A30" s="10" t="s">
        <v>199</v>
      </c>
      <c r="B30" s="29"/>
      <c r="C30" s="29" t="s">
        <v>525</v>
      </c>
      <c r="D30" s="29" t="s">
        <v>525</v>
      </c>
      <c r="E30" s="29"/>
      <c r="F30" s="29"/>
      <c r="G30" s="29"/>
      <c r="H30" s="29"/>
      <c r="I30" s="29" t="s">
        <v>526</v>
      </c>
      <c r="J30" s="29" t="s">
        <v>527</v>
      </c>
      <c r="K30" s="29" t="s">
        <v>528</v>
      </c>
      <c r="L30" s="29" t="s">
        <v>529</v>
      </c>
      <c r="M30" s="29" t="s">
        <v>530</v>
      </c>
      <c r="N30" s="29" t="s">
        <v>530</v>
      </c>
      <c r="O30" s="29" t="s">
        <v>531</v>
      </c>
      <c r="P30" s="29" t="s">
        <v>531</v>
      </c>
      <c r="Q30" s="29" t="s">
        <v>532</v>
      </c>
      <c r="R30" s="29" t="s">
        <v>533</v>
      </c>
      <c r="S30" s="29" t="s">
        <v>534</v>
      </c>
      <c r="T30" s="25"/>
      <c r="U30" s="25"/>
      <c r="V30" s="25"/>
    </row>
    <row r="31" customFormat="false" ht="46.5" hidden="false" customHeight="true" outlineLevel="0" collapsed="false">
      <c r="A31" s="10" t="s">
        <v>216</v>
      </c>
      <c r="B31" s="29"/>
      <c r="C31" s="25" t="s">
        <v>535</v>
      </c>
      <c r="D31" s="25" t="s">
        <v>536</v>
      </c>
      <c r="E31" s="25"/>
      <c r="F31" s="25"/>
      <c r="G31" s="25"/>
      <c r="H31" s="25"/>
      <c r="I31" s="25" t="s">
        <v>537</v>
      </c>
      <c r="J31" s="25" t="s">
        <v>538</v>
      </c>
      <c r="K31" s="25" t="s">
        <v>539</v>
      </c>
      <c r="L31" s="25" t="s">
        <v>540</v>
      </c>
      <c r="M31" s="25" t="s">
        <v>541</v>
      </c>
      <c r="N31" s="25" t="s">
        <v>541</v>
      </c>
      <c r="O31" s="25" t="s">
        <v>542</v>
      </c>
      <c r="P31" s="25" t="s">
        <v>542</v>
      </c>
      <c r="Q31" s="25" t="s">
        <v>543</v>
      </c>
      <c r="R31" s="25" t="s">
        <v>544</v>
      </c>
      <c r="S31" s="25" t="s">
        <v>545</v>
      </c>
      <c r="T31" s="25"/>
      <c r="U31" s="25"/>
      <c r="V31" s="25"/>
    </row>
    <row r="33" customFormat="false" ht="18" hidden="false" customHeight="true" outlineLevel="0" collapsed="false">
      <c r="A33" s="6" t="s">
        <v>233</v>
      </c>
      <c r="B33" s="6"/>
      <c r="C33" s="6"/>
      <c r="D33" s="6"/>
      <c r="E33" s="6"/>
      <c r="F33" s="6"/>
      <c r="G33" s="6"/>
      <c r="H33" s="6"/>
      <c r="I33" s="6"/>
      <c r="J33" s="6"/>
      <c r="K33" s="6"/>
      <c r="L33" s="6"/>
      <c r="M33" s="6"/>
      <c r="N33" s="6"/>
      <c r="O33" s="6"/>
      <c r="P33" s="6"/>
      <c r="Q33" s="6"/>
      <c r="R33" s="6"/>
      <c r="S33" s="6"/>
      <c r="T33" s="6"/>
      <c r="U33" s="6"/>
      <c r="V33" s="6"/>
    </row>
    <row r="34" customFormat="false" ht="15" hidden="false" customHeight="true" outlineLevel="0" collapsed="false">
      <c r="A34" s="8" t="s">
        <v>234</v>
      </c>
      <c r="B34" s="9" t="s">
        <v>170</v>
      </c>
      <c r="C34" s="9" t="s">
        <v>71</v>
      </c>
      <c r="D34" s="9" t="s">
        <v>72</v>
      </c>
      <c r="E34" s="9" t="s">
        <v>73</v>
      </c>
      <c r="F34" s="9" t="s">
        <v>74</v>
      </c>
      <c r="G34" s="9" t="s">
        <v>75</v>
      </c>
      <c r="H34" s="9" t="s">
        <v>76</v>
      </c>
      <c r="I34" s="9" t="s">
        <v>77</v>
      </c>
      <c r="J34" s="9" t="s">
        <v>78</v>
      </c>
      <c r="K34" s="9" t="s">
        <v>79</v>
      </c>
      <c r="L34" s="9" t="s">
        <v>80</v>
      </c>
      <c r="M34" s="9" t="s">
        <v>81</v>
      </c>
      <c r="N34" s="9" t="s">
        <v>82</v>
      </c>
      <c r="O34" s="9" t="s">
        <v>83</v>
      </c>
      <c r="P34" s="9" t="s">
        <v>84</v>
      </c>
      <c r="Q34" s="9" t="s">
        <v>85</v>
      </c>
      <c r="R34" s="9" t="s">
        <v>86</v>
      </c>
      <c r="S34" s="9" t="s">
        <v>87</v>
      </c>
      <c r="T34" s="8" t="s">
        <v>235</v>
      </c>
      <c r="U34" s="8"/>
      <c r="V34" s="8"/>
    </row>
    <row r="35" customFormat="false" ht="24.75" hidden="false" customHeight="true" outlineLevel="0" collapsed="false">
      <c r="A35" s="10" t="s">
        <v>546</v>
      </c>
      <c r="B35" s="29" t="s">
        <v>173</v>
      </c>
      <c r="C35" s="30" t="n">
        <v>600000</v>
      </c>
      <c r="D35" s="32"/>
      <c r="E35" s="32"/>
      <c r="F35" s="32"/>
      <c r="G35" s="32"/>
      <c r="H35" s="32"/>
      <c r="I35" s="30" t="n">
        <v>680000</v>
      </c>
      <c r="J35" s="32"/>
      <c r="K35" s="30" t="n">
        <v>700000</v>
      </c>
      <c r="L35" s="30" t="n">
        <v>750000</v>
      </c>
      <c r="M35" s="33" t="n">
        <v>750000</v>
      </c>
      <c r="N35" s="33" t="n">
        <v>750000</v>
      </c>
      <c r="O35" s="30" t="n">
        <v>758000</v>
      </c>
      <c r="P35" s="30" t="n">
        <v>770000</v>
      </c>
      <c r="Q35" s="30" t="n">
        <v>824000</v>
      </c>
      <c r="R35" s="30" t="n">
        <v>824000</v>
      </c>
      <c r="S35" s="30" t="n">
        <v>824000</v>
      </c>
      <c r="T35" s="25" t="s">
        <v>547</v>
      </c>
      <c r="U35" s="25"/>
      <c r="V35" s="25"/>
    </row>
    <row r="36" customFormat="false" ht="15" hidden="false" customHeight="true" outlineLevel="0" collapsed="false">
      <c r="A36" s="10" t="s">
        <v>548</v>
      </c>
      <c r="B36" s="29" t="s">
        <v>173</v>
      </c>
      <c r="C36" s="32"/>
      <c r="D36" s="32"/>
      <c r="E36" s="32"/>
      <c r="F36" s="32"/>
      <c r="G36" s="32"/>
      <c r="H36" s="32"/>
      <c r="I36" s="32"/>
      <c r="J36" s="32"/>
      <c r="K36" s="32"/>
      <c r="L36" s="32"/>
      <c r="M36" s="32"/>
      <c r="N36" s="32"/>
      <c r="O36" s="32"/>
      <c r="P36" s="32"/>
      <c r="Q36" s="32"/>
      <c r="R36" s="32"/>
      <c r="S36" s="30" t="n">
        <v>170000</v>
      </c>
      <c r="T36" s="25" t="s">
        <v>549</v>
      </c>
      <c r="U36" s="25"/>
      <c r="V36" s="25"/>
    </row>
    <row r="37" customFormat="false" ht="15" hidden="false" customHeight="true" outlineLevel="0" collapsed="false">
      <c r="A37" s="10" t="s">
        <v>550</v>
      </c>
      <c r="B37" s="29" t="s">
        <v>181</v>
      </c>
      <c r="C37" s="32"/>
      <c r="D37" s="32"/>
      <c r="E37" s="32"/>
      <c r="F37" s="32"/>
      <c r="G37" s="32"/>
      <c r="H37" s="32"/>
      <c r="I37" s="32"/>
      <c r="J37" s="32"/>
      <c r="K37" s="32"/>
      <c r="L37" s="32"/>
      <c r="M37" s="32"/>
      <c r="N37" s="32"/>
      <c r="O37" s="30" t="n">
        <v>289308</v>
      </c>
      <c r="P37" s="30" t="n">
        <v>350342</v>
      </c>
      <c r="Q37" s="30" t="n">
        <v>408150</v>
      </c>
      <c r="R37" s="30" t="n">
        <v>408800</v>
      </c>
      <c r="S37" s="30" t="n">
        <v>352375</v>
      </c>
      <c r="T37" s="25" t="s">
        <v>551</v>
      </c>
      <c r="U37" s="25"/>
      <c r="V37" s="25"/>
    </row>
    <row r="38" customFormat="false" ht="15" hidden="false" customHeight="true" outlineLevel="0" collapsed="false">
      <c r="A38" s="10" t="s">
        <v>552</v>
      </c>
      <c r="B38" s="29" t="s">
        <v>181</v>
      </c>
      <c r="C38" s="32"/>
      <c r="D38" s="32"/>
      <c r="E38" s="32"/>
      <c r="F38" s="32"/>
      <c r="G38" s="32"/>
      <c r="H38" s="32"/>
      <c r="I38" s="32"/>
      <c r="J38" s="32"/>
      <c r="K38" s="32"/>
      <c r="L38" s="32"/>
      <c r="M38" s="32"/>
      <c r="N38" s="32"/>
      <c r="O38" s="30" t="n">
        <v>316792</v>
      </c>
      <c r="P38" s="30" t="n">
        <v>376958</v>
      </c>
      <c r="Q38" s="30" t="n">
        <v>379350</v>
      </c>
      <c r="R38" s="30" t="n">
        <v>354100</v>
      </c>
      <c r="S38" s="30" t="n">
        <v>352075</v>
      </c>
      <c r="T38" s="25" t="s">
        <v>551</v>
      </c>
      <c r="U38" s="25"/>
      <c r="V38" s="25"/>
    </row>
    <row r="39" customFormat="false" ht="15" hidden="false" customHeight="true" outlineLevel="0" collapsed="false">
      <c r="A39" s="10" t="s">
        <v>553</v>
      </c>
      <c r="B39" s="29" t="s">
        <v>181</v>
      </c>
      <c r="C39" s="32"/>
      <c r="D39" s="32"/>
      <c r="E39" s="32"/>
      <c r="F39" s="32"/>
      <c r="G39" s="32"/>
      <c r="H39" s="32"/>
      <c r="I39" s="32"/>
      <c r="J39" s="32"/>
      <c r="K39" s="32"/>
      <c r="L39" s="32"/>
      <c r="M39" s="32"/>
      <c r="N39" s="32"/>
      <c r="O39" s="32"/>
      <c r="P39" s="32"/>
      <c r="Q39" s="32"/>
      <c r="R39" s="32"/>
      <c r="S39" s="30" t="n">
        <v>64830</v>
      </c>
      <c r="T39" s="25" t="s">
        <v>554</v>
      </c>
      <c r="U39" s="25"/>
      <c r="V39" s="25"/>
    </row>
    <row r="40" customFormat="false" ht="15" hidden="false" customHeight="true" outlineLevel="0" collapsed="false">
      <c r="A40" s="10" t="s">
        <v>555</v>
      </c>
      <c r="B40" s="29" t="s">
        <v>181</v>
      </c>
      <c r="C40" s="18" t="str">
        <f aca="false">IF(COUNT(C37,C38,C39)=0,"",SUM(C37,C38,C39))</f>
        <v/>
      </c>
      <c r="D40" s="18" t="str">
        <f aca="false">IF(COUNT(D37,D38,D39)=0,"",SUM(D37,D38,D39))</f>
        <v/>
      </c>
      <c r="E40" s="18" t="str">
        <f aca="false">IF(COUNT(E37,E38,E39)=0,"",SUM(E37,E38,E39))</f>
        <v/>
      </c>
      <c r="F40" s="18" t="str">
        <f aca="false">IF(COUNT(F37,F38,F39)=0,"",SUM(F37,F38,F39))</f>
        <v/>
      </c>
      <c r="G40" s="18" t="str">
        <f aca="false">IF(COUNT(G37,G38,G39)=0,"",SUM(G37,G38,G39))</f>
        <v/>
      </c>
      <c r="H40" s="18" t="str">
        <f aca="false">IF(COUNT(H37,H38,H39)=0,"",SUM(H37,H38,H39))</f>
        <v/>
      </c>
      <c r="I40" s="18" t="str">
        <f aca="false">IF(COUNT(I37,I38,I39)=0,"",SUM(I37,I38,I39))</f>
        <v/>
      </c>
      <c r="J40" s="18" t="str">
        <f aca="false">IF(COUNT(J37,J38,J39)=0,"",SUM(J37,J38,J39))</f>
        <v/>
      </c>
      <c r="K40" s="18" t="str">
        <f aca="false">IF(COUNT(K37,K38,K39)=0,"",SUM(K37,K38,K39))</f>
        <v/>
      </c>
      <c r="L40" s="18" t="str">
        <f aca="false">IF(COUNT(L37,L38,L39)=0,"",SUM(L37,L38,L39))</f>
        <v/>
      </c>
      <c r="M40" s="18" t="str">
        <f aca="false">IF(COUNT(M37,M38,M39)=0,"",SUM(M37,M38,M39))</f>
        <v/>
      </c>
      <c r="N40" s="18" t="str">
        <f aca="false">IF(COUNT(N37,N38,N39)=0,"",SUM(N37,N38,N39))</f>
        <v/>
      </c>
      <c r="O40" s="18" t="n">
        <f aca="false">IF(COUNT(O37,O38,O39)=0,"",SUM(O37,O38,O39))</f>
        <v>606100</v>
      </c>
      <c r="P40" s="18" t="n">
        <f aca="false">IF(COUNT(P37,P38,P39)=0,"",SUM(P37,P38,P39))</f>
        <v>727300</v>
      </c>
      <c r="Q40" s="18" t="n">
        <f aca="false">IF(COUNT(Q37,Q38,Q39)=0,"",SUM(Q37,Q38,Q39))</f>
        <v>787500</v>
      </c>
      <c r="R40" s="18" t="n">
        <f aca="false">IF(COUNT(R37,R38,R39)=0,"",SUM(R37,R38,R39))</f>
        <v>762900</v>
      </c>
      <c r="S40" s="18" t="n">
        <f aca="false">IF(COUNT(S37,S38,S39)=0,"",SUM(S37,S38,S39))</f>
        <v>769280</v>
      </c>
      <c r="T40" s="25" t="s">
        <v>556</v>
      </c>
      <c r="U40" s="25"/>
      <c r="V40" s="25"/>
    </row>
    <row r="41" customFormat="false" ht="15" hidden="false" customHeight="true" outlineLevel="0" collapsed="false">
      <c r="A41" s="10" t="s">
        <v>557</v>
      </c>
      <c r="B41" s="29" t="s">
        <v>247</v>
      </c>
      <c r="C41" s="32"/>
      <c r="D41" s="32"/>
      <c r="E41" s="32"/>
      <c r="F41" s="32"/>
      <c r="G41" s="32"/>
      <c r="H41" s="32"/>
      <c r="I41" s="32"/>
      <c r="J41" s="32"/>
      <c r="K41" s="32"/>
      <c r="L41" s="32"/>
      <c r="M41" s="32"/>
      <c r="N41" s="32"/>
      <c r="O41" s="32"/>
      <c r="P41" s="32"/>
      <c r="Q41" s="32"/>
      <c r="R41" s="32"/>
      <c r="S41" s="30" t="n">
        <v>150000</v>
      </c>
      <c r="T41" s="25" t="s">
        <v>558</v>
      </c>
      <c r="U41" s="25"/>
      <c r="V41" s="25"/>
    </row>
    <row r="43" customFormat="false" ht="18" hidden="false" customHeight="true" outlineLevel="0" collapsed="false">
      <c r="A43" s="6" t="s">
        <v>249</v>
      </c>
      <c r="B43" s="6"/>
      <c r="C43" s="6"/>
      <c r="D43" s="6"/>
      <c r="E43" s="6"/>
      <c r="F43" s="6"/>
      <c r="G43" s="6"/>
      <c r="H43" s="6"/>
      <c r="I43" s="6"/>
      <c r="J43" s="6"/>
      <c r="K43" s="6"/>
      <c r="L43" s="6"/>
      <c r="M43" s="6"/>
      <c r="N43" s="6"/>
      <c r="O43" s="6"/>
      <c r="P43" s="6"/>
      <c r="Q43" s="6"/>
      <c r="R43" s="6"/>
      <c r="S43" s="6"/>
      <c r="T43" s="6"/>
      <c r="U43" s="6"/>
      <c r="V43" s="6"/>
    </row>
    <row r="44" customFormat="false" ht="40.5" hidden="false" customHeight="true" outlineLevel="0" collapsed="false">
      <c r="A44" s="9" t="s">
        <v>250</v>
      </c>
      <c r="B44" s="9" t="s">
        <v>251</v>
      </c>
      <c r="C44" s="9"/>
      <c r="D44" s="9" t="s">
        <v>252</v>
      </c>
      <c r="E44" s="9"/>
      <c r="F44" s="9" t="s">
        <v>253</v>
      </c>
      <c r="G44" s="9" t="s">
        <v>254</v>
      </c>
      <c r="H44" s="9"/>
      <c r="I44" s="9" t="s">
        <v>255</v>
      </c>
      <c r="J44" s="9"/>
      <c r="K44" s="9"/>
      <c r="L44" s="9"/>
      <c r="M44" s="9" t="s">
        <v>256</v>
      </c>
      <c r="N44" s="9"/>
      <c r="O44" s="9" t="s">
        <v>257</v>
      </c>
      <c r="P44" s="9" t="s">
        <v>258</v>
      </c>
      <c r="Q44" s="9" t="s">
        <v>110</v>
      </c>
      <c r="R44" s="9" t="s">
        <v>259</v>
      </c>
      <c r="S44" s="9" t="s">
        <v>171</v>
      </c>
      <c r="T44" s="9"/>
      <c r="U44" s="9"/>
      <c r="V44" s="9" t="s">
        <v>260</v>
      </c>
    </row>
    <row r="45" customFormat="false" ht="52.5" hidden="false" customHeight="true" outlineLevel="0" collapsed="false">
      <c r="A45" s="10" t="s">
        <v>559</v>
      </c>
      <c r="B45" s="5" t="s">
        <v>560</v>
      </c>
      <c r="C45" s="5"/>
      <c r="D45" s="5" t="s">
        <v>561</v>
      </c>
      <c r="E45" s="5"/>
      <c r="F45" s="5" t="s">
        <v>562</v>
      </c>
      <c r="G45" s="5" t="s">
        <v>91</v>
      </c>
      <c r="H45" s="5"/>
      <c r="I45" s="5" t="s">
        <v>563</v>
      </c>
      <c r="J45" s="5"/>
      <c r="K45" s="5"/>
      <c r="L45" s="5"/>
      <c r="M45" s="5" t="s">
        <v>564</v>
      </c>
      <c r="N45" s="5"/>
      <c r="O45" s="5"/>
      <c r="P45" s="5" t="s">
        <v>565</v>
      </c>
      <c r="Q45" s="5" t="s">
        <v>87</v>
      </c>
      <c r="R45" s="5" t="s">
        <v>277</v>
      </c>
      <c r="S45" s="5" t="s">
        <v>566</v>
      </c>
      <c r="T45" s="5"/>
      <c r="U45" s="5"/>
      <c r="V45" s="5" t="s">
        <v>567</v>
      </c>
    </row>
    <row r="46" customFormat="false" ht="40.5" hidden="false" customHeight="true" outlineLevel="0" collapsed="false">
      <c r="A46" s="10" t="s">
        <v>568</v>
      </c>
      <c r="B46" s="5" t="s">
        <v>569</v>
      </c>
      <c r="C46" s="5"/>
      <c r="D46" s="5" t="s">
        <v>561</v>
      </c>
      <c r="E46" s="5"/>
      <c r="F46" s="5" t="s">
        <v>570</v>
      </c>
      <c r="G46" s="5" t="s">
        <v>91</v>
      </c>
      <c r="H46" s="5"/>
      <c r="I46" s="5" t="s">
        <v>563</v>
      </c>
      <c r="J46" s="5"/>
      <c r="K46" s="5"/>
      <c r="L46" s="5"/>
      <c r="M46" s="5" t="s">
        <v>571</v>
      </c>
      <c r="N46" s="5"/>
      <c r="O46" s="30" t="n">
        <v>300000</v>
      </c>
      <c r="P46" s="5" t="s">
        <v>565</v>
      </c>
      <c r="Q46" s="5" t="s">
        <v>87</v>
      </c>
      <c r="R46" s="5" t="s">
        <v>277</v>
      </c>
      <c r="S46" s="5" t="s">
        <v>572</v>
      </c>
      <c r="T46" s="5"/>
      <c r="U46" s="5"/>
      <c r="V46" s="5" t="s">
        <v>573</v>
      </c>
    </row>
    <row r="47" customFormat="false" ht="27.75" hidden="false" customHeight="true" outlineLevel="0" collapsed="false">
      <c r="A47" s="10" t="s">
        <v>574</v>
      </c>
      <c r="B47" s="5" t="s">
        <v>569</v>
      </c>
      <c r="C47" s="5"/>
      <c r="D47" s="5" t="s">
        <v>561</v>
      </c>
      <c r="E47" s="5"/>
      <c r="F47" s="5" t="s">
        <v>575</v>
      </c>
      <c r="G47" s="5" t="s">
        <v>576</v>
      </c>
      <c r="H47" s="5"/>
      <c r="I47" s="5" t="s">
        <v>577</v>
      </c>
      <c r="J47" s="5"/>
      <c r="K47" s="5"/>
      <c r="L47" s="5"/>
      <c r="M47" s="5" t="s">
        <v>301</v>
      </c>
      <c r="N47" s="5"/>
      <c r="O47" s="30" t="n">
        <v>300000</v>
      </c>
      <c r="P47" s="5" t="s">
        <v>121</v>
      </c>
      <c r="Q47" s="5" t="s">
        <v>575</v>
      </c>
      <c r="R47" s="5" t="s">
        <v>277</v>
      </c>
      <c r="S47" s="5" t="s">
        <v>578</v>
      </c>
      <c r="T47" s="5"/>
      <c r="U47" s="5"/>
      <c r="V47" s="5" t="s">
        <v>579</v>
      </c>
    </row>
    <row r="48" customFormat="false" ht="52.5" hidden="false" customHeight="true" outlineLevel="0" collapsed="false">
      <c r="A48" s="10" t="s">
        <v>580</v>
      </c>
      <c r="B48" s="5" t="s">
        <v>581</v>
      </c>
      <c r="C48" s="5"/>
      <c r="D48" s="5" t="s">
        <v>582</v>
      </c>
      <c r="E48" s="5"/>
      <c r="F48" s="5" t="s">
        <v>583</v>
      </c>
      <c r="G48" s="5" t="s">
        <v>91</v>
      </c>
      <c r="H48" s="5"/>
      <c r="I48" s="5" t="s">
        <v>584</v>
      </c>
      <c r="J48" s="5"/>
      <c r="K48" s="5"/>
      <c r="L48" s="5"/>
      <c r="M48" s="5" t="s">
        <v>585</v>
      </c>
      <c r="N48" s="5"/>
      <c r="O48" s="30" t="n">
        <v>170000</v>
      </c>
      <c r="P48" s="30" t="n">
        <v>170000</v>
      </c>
      <c r="Q48" s="5" t="s">
        <v>586</v>
      </c>
      <c r="R48" s="5" t="s">
        <v>587</v>
      </c>
      <c r="S48" s="5" t="s">
        <v>588</v>
      </c>
      <c r="T48" s="5"/>
      <c r="U48" s="5"/>
      <c r="V48" s="5" t="s">
        <v>589</v>
      </c>
    </row>
    <row r="50" customFormat="false" ht="18" hidden="false" customHeight="true" outlineLevel="0" collapsed="false">
      <c r="A50" s="6" t="s">
        <v>316</v>
      </c>
      <c r="B50" s="6"/>
      <c r="C50" s="6"/>
      <c r="D50" s="6"/>
      <c r="E50" s="6"/>
      <c r="F50" s="6"/>
      <c r="G50" s="6"/>
      <c r="H50" s="6"/>
      <c r="I50" s="6"/>
      <c r="J50" s="6"/>
      <c r="K50" s="6"/>
      <c r="L50" s="6"/>
      <c r="M50" s="6"/>
      <c r="N50" s="6"/>
      <c r="O50" s="6"/>
      <c r="P50" s="6"/>
      <c r="Q50" s="6"/>
      <c r="R50" s="6"/>
      <c r="S50" s="6"/>
      <c r="T50" s="6"/>
      <c r="U50" s="6"/>
      <c r="V50" s="6"/>
    </row>
    <row r="51" customFormat="false" ht="40.5" hidden="false" customHeight="true" outlineLevel="0" collapsed="false">
      <c r="A51" s="9" t="s">
        <v>317</v>
      </c>
      <c r="B51" s="9" t="s">
        <v>318</v>
      </c>
      <c r="C51" s="9" t="s">
        <v>319</v>
      </c>
      <c r="D51" s="9" t="s">
        <v>320</v>
      </c>
      <c r="E51" s="9"/>
      <c r="F51" s="9" t="s">
        <v>250</v>
      </c>
      <c r="G51" s="9"/>
      <c r="H51" s="9" t="s">
        <v>321</v>
      </c>
      <c r="I51" s="9" t="s">
        <v>322</v>
      </c>
      <c r="J51" s="9" t="s">
        <v>323</v>
      </c>
      <c r="K51" s="9" t="s">
        <v>324</v>
      </c>
      <c r="L51" s="9" t="s">
        <v>259</v>
      </c>
      <c r="M51" s="9"/>
      <c r="N51" s="9" t="s">
        <v>171</v>
      </c>
      <c r="O51" s="9"/>
      <c r="P51" s="9"/>
      <c r="Q51" s="9"/>
      <c r="R51" s="9"/>
      <c r="S51" s="9"/>
      <c r="T51" s="9"/>
      <c r="U51" s="9"/>
      <c r="V51" s="9" t="s">
        <v>325</v>
      </c>
    </row>
    <row r="52" customFormat="false" ht="15" hidden="false" customHeight="true" outlineLevel="0" collapsed="false">
      <c r="A52" s="10" t="s">
        <v>590</v>
      </c>
      <c r="B52" s="5" t="s">
        <v>562</v>
      </c>
      <c r="C52" s="5" t="s">
        <v>591</v>
      </c>
      <c r="D52" s="5" t="s">
        <v>328</v>
      </c>
      <c r="E52" s="5"/>
      <c r="F52" s="5" t="s">
        <v>559</v>
      </c>
      <c r="G52" s="5"/>
      <c r="H52" s="5"/>
      <c r="I52" s="5"/>
      <c r="J52" s="5"/>
      <c r="K52" s="5"/>
      <c r="L52" s="5" t="s">
        <v>329</v>
      </c>
      <c r="M52" s="5"/>
      <c r="N52" s="5" t="s">
        <v>592</v>
      </c>
      <c r="O52" s="5"/>
      <c r="P52" s="5"/>
      <c r="Q52" s="5"/>
      <c r="R52" s="5"/>
      <c r="S52" s="5"/>
      <c r="T52" s="5"/>
      <c r="U52" s="5"/>
      <c r="V52" s="5" t="s">
        <v>593</v>
      </c>
    </row>
    <row r="53" customFormat="false" ht="15" hidden="false" customHeight="true" outlineLevel="0" collapsed="false">
      <c r="A53" s="10" t="s">
        <v>594</v>
      </c>
      <c r="B53" s="5" t="s">
        <v>570</v>
      </c>
      <c r="C53" s="5" t="s">
        <v>595</v>
      </c>
      <c r="D53" s="5" t="s">
        <v>328</v>
      </c>
      <c r="E53" s="5"/>
      <c r="F53" s="5" t="s">
        <v>568</v>
      </c>
      <c r="G53" s="5"/>
      <c r="H53" s="30" t="n">
        <v>300000</v>
      </c>
      <c r="I53" s="30" t="n">
        <v>300000</v>
      </c>
      <c r="J53" s="30" t="n">
        <v>600000</v>
      </c>
      <c r="K53" s="5" t="s">
        <v>596</v>
      </c>
      <c r="L53" s="5" t="s">
        <v>329</v>
      </c>
      <c r="M53" s="5"/>
      <c r="N53" s="5" t="s">
        <v>597</v>
      </c>
      <c r="O53" s="5"/>
      <c r="P53" s="5"/>
      <c r="Q53" s="5"/>
      <c r="R53" s="5"/>
      <c r="S53" s="5"/>
      <c r="T53" s="5"/>
      <c r="U53" s="5"/>
      <c r="V53" s="5" t="s">
        <v>598</v>
      </c>
    </row>
    <row r="54" customFormat="false" ht="15" hidden="false" customHeight="true" outlineLevel="0" collapsed="false">
      <c r="A54" s="10" t="s">
        <v>599</v>
      </c>
      <c r="B54" s="5" t="s">
        <v>575</v>
      </c>
      <c r="C54" s="5" t="s">
        <v>600</v>
      </c>
      <c r="D54" s="5" t="s">
        <v>435</v>
      </c>
      <c r="E54" s="5"/>
      <c r="F54" s="5" t="s">
        <v>601</v>
      </c>
      <c r="G54" s="5"/>
      <c r="H54" s="30" t="n">
        <v>300000</v>
      </c>
      <c r="I54" s="5"/>
      <c r="J54" s="5"/>
      <c r="K54" s="5"/>
      <c r="L54" s="5" t="s">
        <v>329</v>
      </c>
      <c r="M54" s="5"/>
      <c r="N54" s="5" t="s">
        <v>602</v>
      </c>
      <c r="O54" s="5"/>
      <c r="P54" s="5"/>
      <c r="Q54" s="5"/>
      <c r="R54" s="5"/>
      <c r="S54" s="5"/>
      <c r="T54" s="5"/>
      <c r="U54" s="5"/>
      <c r="V54" s="5" t="s">
        <v>603</v>
      </c>
    </row>
    <row r="55" customFormat="false" ht="15" hidden="false" customHeight="true" outlineLevel="0" collapsed="false">
      <c r="A55" s="10" t="s">
        <v>604</v>
      </c>
      <c r="B55" s="5" t="s">
        <v>605</v>
      </c>
      <c r="C55" s="5" t="s">
        <v>72</v>
      </c>
      <c r="D55" s="5" t="s">
        <v>606</v>
      </c>
      <c r="E55" s="5"/>
      <c r="F55" s="5" t="s">
        <v>601</v>
      </c>
      <c r="G55" s="5"/>
      <c r="H55" s="30" t="n">
        <v>70000</v>
      </c>
      <c r="I55" s="5"/>
      <c r="J55" s="30" t="n">
        <v>670000</v>
      </c>
      <c r="K55" s="5"/>
      <c r="L55" s="5" t="s">
        <v>341</v>
      </c>
      <c r="M55" s="5"/>
      <c r="N55" s="5" t="s">
        <v>607</v>
      </c>
      <c r="O55" s="5"/>
      <c r="P55" s="5"/>
      <c r="Q55" s="5"/>
      <c r="R55" s="5"/>
      <c r="S55" s="5"/>
      <c r="T55" s="5"/>
      <c r="U55" s="5"/>
      <c r="V55" s="5" t="s">
        <v>525</v>
      </c>
    </row>
    <row r="56" customFormat="false" ht="27.75" hidden="false" customHeight="true" outlineLevel="0" collapsed="false">
      <c r="A56" s="10" t="s">
        <v>608</v>
      </c>
      <c r="B56" s="5" t="s">
        <v>609</v>
      </c>
      <c r="C56" s="5" t="s">
        <v>78</v>
      </c>
      <c r="D56" s="5" t="s">
        <v>610</v>
      </c>
      <c r="E56" s="5"/>
      <c r="F56" s="5" t="s">
        <v>611</v>
      </c>
      <c r="G56" s="5"/>
      <c r="H56" s="30" t="n">
        <v>1000000</v>
      </c>
      <c r="I56" s="5"/>
      <c r="J56" s="30" t="n">
        <v>680000</v>
      </c>
      <c r="K56" s="30" t="n">
        <v>4500</v>
      </c>
      <c r="L56" s="5" t="s">
        <v>612</v>
      </c>
      <c r="M56" s="5"/>
      <c r="N56" s="5" t="s">
        <v>613</v>
      </c>
      <c r="O56" s="5"/>
      <c r="P56" s="5"/>
      <c r="Q56" s="5"/>
      <c r="R56" s="5"/>
      <c r="S56" s="5"/>
      <c r="T56" s="5"/>
      <c r="U56" s="5"/>
      <c r="V56" s="5" t="s">
        <v>526</v>
      </c>
    </row>
    <row r="57" customFormat="false" ht="27.75" hidden="false" customHeight="true" outlineLevel="0" collapsed="false">
      <c r="A57" s="10" t="s">
        <v>614</v>
      </c>
      <c r="B57" s="5" t="s">
        <v>615</v>
      </c>
      <c r="C57" s="5" t="s">
        <v>80</v>
      </c>
      <c r="D57" s="5" t="s">
        <v>606</v>
      </c>
      <c r="E57" s="5"/>
      <c r="F57" s="5" t="s">
        <v>601</v>
      </c>
      <c r="G57" s="5"/>
      <c r="H57" s="30" t="n">
        <v>50000</v>
      </c>
      <c r="I57" s="30" t="n">
        <v>750000</v>
      </c>
      <c r="J57" s="30" t="n">
        <v>750000</v>
      </c>
      <c r="K57" s="30" t="n">
        <v>0</v>
      </c>
      <c r="L57" s="5" t="s">
        <v>399</v>
      </c>
      <c r="M57" s="5"/>
      <c r="N57" s="5" t="s">
        <v>616</v>
      </c>
      <c r="O57" s="5"/>
      <c r="P57" s="5"/>
      <c r="Q57" s="5"/>
      <c r="R57" s="5"/>
      <c r="S57" s="5"/>
      <c r="T57" s="5"/>
      <c r="U57" s="5"/>
      <c r="V57" s="5" t="s">
        <v>617</v>
      </c>
    </row>
    <row r="58" customFormat="false" ht="15" hidden="false" customHeight="true" outlineLevel="0" collapsed="false">
      <c r="A58" s="10" t="s">
        <v>618</v>
      </c>
      <c r="B58" s="5" t="s">
        <v>619</v>
      </c>
      <c r="C58" s="5" t="s">
        <v>80</v>
      </c>
      <c r="D58" s="5" t="s">
        <v>620</v>
      </c>
      <c r="E58" s="5"/>
      <c r="F58" s="5" t="s">
        <v>601</v>
      </c>
      <c r="G58" s="5"/>
      <c r="H58" s="30" t="n">
        <v>100000</v>
      </c>
      <c r="I58" s="30" t="n">
        <v>800000</v>
      </c>
      <c r="J58" s="5"/>
      <c r="K58" s="5"/>
      <c r="L58" s="5" t="s">
        <v>621</v>
      </c>
      <c r="M58" s="5"/>
      <c r="N58" s="5" t="s">
        <v>622</v>
      </c>
      <c r="O58" s="5"/>
      <c r="P58" s="5"/>
      <c r="Q58" s="5"/>
      <c r="R58" s="5"/>
      <c r="S58" s="5"/>
      <c r="T58" s="5"/>
      <c r="U58" s="5"/>
      <c r="V58" s="5" t="s">
        <v>623</v>
      </c>
    </row>
    <row r="59" customFormat="false" ht="15" hidden="false" customHeight="true" outlineLevel="0" collapsed="false">
      <c r="A59" s="10" t="s">
        <v>624</v>
      </c>
      <c r="B59" s="5" t="s">
        <v>625</v>
      </c>
      <c r="C59" s="5" t="s">
        <v>85</v>
      </c>
      <c r="D59" s="5" t="s">
        <v>606</v>
      </c>
      <c r="E59" s="5"/>
      <c r="F59" s="5" t="s">
        <v>601</v>
      </c>
      <c r="G59" s="5"/>
      <c r="H59" s="30" t="n">
        <v>54000</v>
      </c>
      <c r="I59" s="30" t="n">
        <v>824000</v>
      </c>
      <c r="J59" s="30" t="n">
        <v>824000</v>
      </c>
      <c r="K59" s="5"/>
      <c r="L59" s="5" t="s">
        <v>399</v>
      </c>
      <c r="M59" s="5"/>
      <c r="N59" s="5" t="s">
        <v>626</v>
      </c>
      <c r="O59" s="5"/>
      <c r="P59" s="5"/>
      <c r="Q59" s="5"/>
      <c r="R59" s="5"/>
      <c r="S59" s="5"/>
      <c r="T59" s="5"/>
      <c r="U59" s="5"/>
      <c r="V59" s="5" t="s">
        <v>627</v>
      </c>
    </row>
    <row r="60" customFormat="false" ht="15" hidden="false" customHeight="true" outlineLevel="0" collapsed="false">
      <c r="A60" s="10" t="s">
        <v>628</v>
      </c>
      <c r="B60" s="5" t="s">
        <v>629</v>
      </c>
      <c r="C60" s="5" t="s">
        <v>85</v>
      </c>
      <c r="D60" s="5" t="s">
        <v>630</v>
      </c>
      <c r="E60" s="5"/>
      <c r="F60" s="5" t="s">
        <v>631</v>
      </c>
      <c r="G60" s="5"/>
      <c r="H60" s="5"/>
      <c r="I60" s="5"/>
      <c r="J60" s="5"/>
      <c r="K60" s="5"/>
      <c r="L60" s="5" t="s">
        <v>399</v>
      </c>
      <c r="M60" s="5"/>
      <c r="N60" s="5" t="s">
        <v>632</v>
      </c>
      <c r="O60" s="5"/>
      <c r="P60" s="5"/>
      <c r="Q60" s="5"/>
      <c r="R60" s="5"/>
      <c r="S60" s="5"/>
      <c r="T60" s="5"/>
      <c r="U60" s="5"/>
      <c r="V60" s="5" t="s">
        <v>530</v>
      </c>
    </row>
    <row r="61" customFormat="false" ht="15" hidden="false" customHeight="true" outlineLevel="0" collapsed="false">
      <c r="A61" s="10" t="s">
        <v>633</v>
      </c>
      <c r="B61" s="5" t="s">
        <v>634</v>
      </c>
      <c r="C61" s="5" t="s">
        <v>87</v>
      </c>
      <c r="D61" s="5" t="s">
        <v>435</v>
      </c>
      <c r="E61" s="5"/>
      <c r="F61" s="5" t="s">
        <v>631</v>
      </c>
      <c r="G61" s="5"/>
      <c r="H61" s="30" t="n">
        <v>150000</v>
      </c>
      <c r="I61" s="5"/>
      <c r="J61" s="5"/>
      <c r="K61" s="5"/>
      <c r="L61" s="5" t="s">
        <v>329</v>
      </c>
      <c r="M61" s="5"/>
      <c r="N61" s="5" t="s">
        <v>602</v>
      </c>
      <c r="O61" s="5"/>
      <c r="P61" s="5"/>
      <c r="Q61" s="5"/>
      <c r="R61" s="5"/>
      <c r="S61" s="5"/>
      <c r="T61" s="5"/>
      <c r="U61" s="5"/>
      <c r="V61" s="5" t="s">
        <v>635</v>
      </c>
    </row>
    <row r="62" customFormat="false" ht="15" hidden="false" customHeight="true" outlineLevel="0" collapsed="false">
      <c r="A62" s="10" t="s">
        <v>636</v>
      </c>
      <c r="B62" s="5" t="s">
        <v>637</v>
      </c>
      <c r="C62" s="5" t="s">
        <v>87</v>
      </c>
      <c r="D62" s="5" t="s">
        <v>328</v>
      </c>
      <c r="E62" s="5"/>
      <c r="F62" s="5" t="s">
        <v>631</v>
      </c>
      <c r="G62" s="5"/>
      <c r="H62" s="30" t="n">
        <v>170000</v>
      </c>
      <c r="I62" s="30" t="n">
        <v>170000</v>
      </c>
      <c r="J62" s="30" t="n">
        <v>994000</v>
      </c>
      <c r="K62" s="30" t="n">
        <v>11000</v>
      </c>
      <c r="L62" s="5" t="s">
        <v>329</v>
      </c>
      <c r="M62" s="5"/>
      <c r="N62" s="5" t="s">
        <v>638</v>
      </c>
      <c r="O62" s="5"/>
      <c r="P62" s="5"/>
      <c r="Q62" s="5"/>
      <c r="R62" s="5"/>
      <c r="S62" s="5"/>
      <c r="T62" s="5"/>
      <c r="U62" s="5"/>
      <c r="V62" s="5" t="s">
        <v>639</v>
      </c>
    </row>
    <row r="63" customFormat="false" ht="15" hidden="false" customHeight="true" outlineLevel="0" collapsed="false">
      <c r="A63" s="10" t="s">
        <v>640</v>
      </c>
      <c r="B63" s="5" t="s">
        <v>641</v>
      </c>
      <c r="C63" s="5" t="s">
        <v>87</v>
      </c>
      <c r="D63" s="5" t="s">
        <v>642</v>
      </c>
      <c r="E63" s="5"/>
      <c r="F63" s="5" t="s">
        <v>601</v>
      </c>
      <c r="G63" s="5"/>
      <c r="H63" s="5"/>
      <c r="I63" s="5"/>
      <c r="J63" s="5"/>
      <c r="K63" s="30" t="n">
        <v>1500</v>
      </c>
      <c r="L63" s="5" t="s">
        <v>643</v>
      </c>
      <c r="M63" s="5"/>
      <c r="N63" s="5" t="s">
        <v>644</v>
      </c>
      <c r="O63" s="5"/>
      <c r="P63" s="5"/>
      <c r="Q63" s="5"/>
      <c r="R63" s="5"/>
      <c r="S63" s="5"/>
      <c r="T63" s="5"/>
      <c r="U63" s="5"/>
      <c r="V63" s="5" t="s">
        <v>645</v>
      </c>
    </row>
    <row r="65" customFormat="false" ht="18" hidden="false" customHeight="true" outlineLevel="0" collapsed="false">
      <c r="A65" s="6" t="s">
        <v>433</v>
      </c>
      <c r="B65" s="6"/>
      <c r="C65" s="6"/>
      <c r="D65" s="6"/>
      <c r="E65" s="6"/>
      <c r="F65" s="6"/>
      <c r="G65" s="6"/>
      <c r="H65" s="6"/>
      <c r="I65" s="6"/>
      <c r="J65" s="6"/>
      <c r="K65" s="6"/>
      <c r="L65" s="6"/>
      <c r="M65" s="6"/>
      <c r="N65" s="6"/>
      <c r="O65" s="6"/>
      <c r="P65" s="6"/>
      <c r="Q65" s="6"/>
      <c r="R65" s="6"/>
      <c r="S65" s="6"/>
      <c r="T65" s="6"/>
      <c r="U65" s="6"/>
      <c r="V65" s="6"/>
    </row>
    <row r="66" customFormat="false" ht="15" hidden="false" customHeight="true" outlineLevel="0" collapsed="false">
      <c r="A66" s="9" t="s">
        <v>434</v>
      </c>
      <c r="B66" s="9" t="s">
        <v>435</v>
      </c>
      <c r="C66" s="9"/>
      <c r="D66" s="9" t="s">
        <v>70</v>
      </c>
      <c r="E66" s="9"/>
      <c r="F66" s="9" t="s">
        <v>436</v>
      </c>
      <c r="G66" s="9"/>
      <c r="H66" s="9"/>
      <c r="I66" s="9"/>
      <c r="J66" s="9"/>
      <c r="K66" s="9"/>
      <c r="L66" s="9" t="s">
        <v>437</v>
      </c>
      <c r="M66" s="9"/>
      <c r="N66" s="9"/>
      <c r="O66" s="9" t="s">
        <v>438</v>
      </c>
      <c r="P66" s="9" t="s">
        <v>171</v>
      </c>
      <c r="Q66" s="9"/>
      <c r="R66" s="9"/>
      <c r="S66" s="9"/>
      <c r="T66" s="9"/>
      <c r="U66" s="9"/>
      <c r="V66" s="9" t="s">
        <v>260</v>
      </c>
    </row>
    <row r="67" customFormat="false" ht="27.75" hidden="false" customHeight="true" outlineLevel="0" collapsed="false">
      <c r="A67" s="10" t="s">
        <v>646</v>
      </c>
      <c r="B67" s="5" t="s">
        <v>647</v>
      </c>
      <c r="C67" s="5"/>
      <c r="D67" s="5" t="s">
        <v>648</v>
      </c>
      <c r="E67" s="5"/>
      <c r="F67" s="5" t="s">
        <v>649</v>
      </c>
      <c r="G67" s="5"/>
      <c r="H67" s="5"/>
      <c r="I67" s="5"/>
      <c r="J67" s="5"/>
      <c r="K67" s="5"/>
      <c r="L67" s="5" t="s">
        <v>650</v>
      </c>
      <c r="M67" s="5"/>
      <c r="N67" s="5"/>
      <c r="O67" s="5" t="s">
        <v>301</v>
      </c>
      <c r="P67" s="5" t="s">
        <v>651</v>
      </c>
      <c r="Q67" s="5"/>
      <c r="R67" s="5"/>
      <c r="S67" s="5"/>
      <c r="T67" s="5"/>
      <c r="U67" s="5"/>
      <c r="V67" s="5" t="s">
        <v>652</v>
      </c>
    </row>
    <row r="68" customFormat="false" ht="27.75" hidden="false" customHeight="true" outlineLevel="0" collapsed="false">
      <c r="A68" s="10" t="s">
        <v>653</v>
      </c>
      <c r="B68" s="5" t="s">
        <v>654</v>
      </c>
      <c r="C68" s="5"/>
      <c r="D68" s="5" t="s">
        <v>655</v>
      </c>
      <c r="E68" s="5"/>
      <c r="F68" s="5" t="s">
        <v>656</v>
      </c>
      <c r="G68" s="5"/>
      <c r="H68" s="5"/>
      <c r="I68" s="5"/>
      <c r="J68" s="5"/>
      <c r="K68" s="5"/>
      <c r="L68" s="5" t="s">
        <v>601</v>
      </c>
      <c r="M68" s="5"/>
      <c r="N68" s="5"/>
      <c r="O68" s="5" t="s">
        <v>301</v>
      </c>
      <c r="P68" s="5" t="s">
        <v>657</v>
      </c>
      <c r="Q68" s="5"/>
      <c r="R68" s="5"/>
      <c r="S68" s="5"/>
      <c r="T68" s="5"/>
      <c r="U68" s="5"/>
      <c r="V68" s="5" t="s">
        <v>658</v>
      </c>
    </row>
    <row r="69" customFormat="false" ht="15" hidden="false" customHeight="true" outlineLevel="0" collapsed="false">
      <c r="A69" s="10" t="s">
        <v>659</v>
      </c>
      <c r="B69" s="5" t="s">
        <v>447</v>
      </c>
      <c r="C69" s="5"/>
      <c r="D69" s="5" t="s">
        <v>660</v>
      </c>
      <c r="E69" s="5"/>
      <c r="F69" s="5" t="s">
        <v>661</v>
      </c>
      <c r="G69" s="5"/>
      <c r="H69" s="5"/>
      <c r="I69" s="5"/>
      <c r="J69" s="5"/>
      <c r="K69" s="5"/>
      <c r="L69" s="5" t="s">
        <v>601</v>
      </c>
      <c r="M69" s="5"/>
      <c r="N69" s="5"/>
      <c r="O69" s="5" t="s">
        <v>465</v>
      </c>
      <c r="P69" s="5" t="s">
        <v>662</v>
      </c>
      <c r="Q69" s="5"/>
      <c r="R69" s="5"/>
      <c r="S69" s="5"/>
      <c r="T69" s="5"/>
      <c r="U69" s="5"/>
      <c r="V69" s="5" t="s">
        <v>658</v>
      </c>
    </row>
    <row r="71" customFormat="false" ht="18" hidden="false" customHeight="true" outlineLevel="0" collapsed="false">
      <c r="A71" s="6" t="s">
        <v>468</v>
      </c>
      <c r="B71" s="6"/>
      <c r="C71" s="6"/>
      <c r="D71" s="6"/>
      <c r="E71" s="6"/>
      <c r="F71" s="6"/>
      <c r="G71" s="6"/>
      <c r="H71" s="6"/>
      <c r="I71" s="6"/>
      <c r="J71" s="6"/>
      <c r="K71" s="6"/>
      <c r="L71" s="6"/>
      <c r="M71" s="6"/>
      <c r="N71" s="6"/>
      <c r="O71" s="6"/>
      <c r="P71" s="6"/>
      <c r="Q71" s="6"/>
      <c r="R71" s="6"/>
      <c r="S71" s="6"/>
      <c r="T71" s="6"/>
      <c r="U71" s="6"/>
      <c r="V71" s="6"/>
    </row>
    <row r="72" customFormat="false" ht="40.5" hidden="false" customHeight="true" outlineLevel="0" collapsed="false">
      <c r="A72" s="9" t="s">
        <v>469</v>
      </c>
      <c r="B72" s="9" t="s">
        <v>251</v>
      </c>
      <c r="C72" s="9"/>
      <c r="D72" s="9" t="s">
        <v>470</v>
      </c>
      <c r="E72" s="9" t="s">
        <v>471</v>
      </c>
      <c r="F72" s="9" t="s">
        <v>324</v>
      </c>
      <c r="G72" s="9" t="s">
        <v>472</v>
      </c>
      <c r="H72" s="9" t="s">
        <v>473</v>
      </c>
      <c r="I72" s="9"/>
      <c r="J72" s="9" t="s">
        <v>171</v>
      </c>
      <c r="K72" s="9"/>
      <c r="L72" s="9"/>
      <c r="M72" s="9"/>
      <c r="N72" s="9"/>
      <c r="O72" s="9"/>
      <c r="P72" s="9"/>
      <c r="Q72" s="9"/>
      <c r="R72" s="9"/>
      <c r="S72" s="9"/>
      <c r="T72" s="9"/>
      <c r="U72" s="9"/>
      <c r="V72" s="9" t="s">
        <v>325</v>
      </c>
    </row>
    <row r="73" customFormat="false" ht="15" hidden="false" customHeight="true" outlineLevel="0" collapsed="false">
      <c r="A73" s="10" t="s">
        <v>663</v>
      </c>
      <c r="B73" s="5" t="s">
        <v>664</v>
      </c>
      <c r="C73" s="5"/>
      <c r="D73" s="30" t="n">
        <v>80000</v>
      </c>
      <c r="E73" s="5" t="s">
        <v>665</v>
      </c>
      <c r="F73" s="5"/>
      <c r="G73" s="5" t="s">
        <v>477</v>
      </c>
      <c r="H73" s="5" t="s">
        <v>666</v>
      </c>
      <c r="I73" s="5"/>
      <c r="J73" s="5" t="s">
        <v>667</v>
      </c>
      <c r="K73" s="5"/>
      <c r="L73" s="5"/>
      <c r="M73" s="5"/>
      <c r="N73" s="5"/>
      <c r="O73" s="5"/>
      <c r="P73" s="5"/>
      <c r="Q73" s="5"/>
      <c r="R73" s="5"/>
      <c r="S73" s="5"/>
      <c r="T73" s="5"/>
      <c r="U73" s="5"/>
      <c r="V73" s="5" t="s">
        <v>668</v>
      </c>
    </row>
    <row r="74" customFormat="false" ht="15" hidden="false" customHeight="true" outlineLevel="0" collapsed="false">
      <c r="A74" s="10" t="s">
        <v>640</v>
      </c>
      <c r="B74" s="5" t="s">
        <v>669</v>
      </c>
      <c r="C74" s="5"/>
      <c r="D74" s="5"/>
      <c r="E74" s="5" t="s">
        <v>670</v>
      </c>
      <c r="F74" s="30" t="n">
        <v>1500</v>
      </c>
      <c r="G74" s="5" t="s">
        <v>498</v>
      </c>
      <c r="H74" s="5" t="s">
        <v>643</v>
      </c>
      <c r="I74" s="5"/>
      <c r="J74" s="5" t="s">
        <v>671</v>
      </c>
      <c r="K74" s="5"/>
      <c r="L74" s="5"/>
      <c r="M74" s="5"/>
      <c r="N74" s="5"/>
      <c r="O74" s="5"/>
      <c r="P74" s="5"/>
      <c r="Q74" s="5"/>
      <c r="R74" s="5"/>
      <c r="S74" s="5"/>
      <c r="T74" s="5"/>
      <c r="U74" s="5"/>
      <c r="V74" s="5" t="s">
        <v>645</v>
      </c>
    </row>
    <row r="76" customFormat="false" ht="18" hidden="false" customHeight="true" outlineLevel="0" collapsed="false">
      <c r="A76" s="6" t="s">
        <v>502</v>
      </c>
      <c r="B76" s="6"/>
      <c r="C76" s="6"/>
      <c r="D76" s="6"/>
      <c r="E76" s="6"/>
      <c r="F76" s="6"/>
      <c r="G76" s="6"/>
      <c r="H76" s="6"/>
      <c r="I76" s="6"/>
      <c r="J76" s="6"/>
      <c r="K76" s="6"/>
      <c r="L76" s="6"/>
      <c r="M76" s="6"/>
      <c r="N76" s="6"/>
      <c r="O76" s="6"/>
      <c r="P76" s="6"/>
      <c r="Q76" s="6"/>
      <c r="R76" s="6"/>
      <c r="S76" s="6"/>
      <c r="T76" s="6"/>
      <c r="U76" s="6"/>
      <c r="V76" s="6"/>
    </row>
    <row r="77" customFormat="false" ht="15" hidden="false" customHeight="true" outlineLevel="0" collapsed="false">
      <c r="A77" s="10" t="s">
        <v>672</v>
      </c>
      <c r="B77" s="10"/>
      <c r="C77" s="10"/>
      <c r="D77" s="10"/>
      <c r="E77" s="10"/>
      <c r="F77" s="10"/>
      <c r="G77" s="10"/>
      <c r="H77" s="10"/>
      <c r="I77" s="10"/>
      <c r="J77" s="10"/>
      <c r="K77" s="10"/>
      <c r="L77" s="10"/>
      <c r="M77" s="10"/>
      <c r="N77" s="10"/>
      <c r="O77" s="10"/>
      <c r="P77" s="10"/>
      <c r="Q77" s="10"/>
      <c r="R77" s="10"/>
      <c r="S77" s="10"/>
      <c r="T77" s="10"/>
      <c r="U77" s="10"/>
      <c r="V77" s="10"/>
    </row>
    <row r="78" customFormat="false" ht="15" hidden="false" customHeight="true" outlineLevel="0" collapsed="false">
      <c r="A78" s="10" t="s">
        <v>673</v>
      </c>
      <c r="B78" s="10"/>
      <c r="C78" s="10"/>
      <c r="D78" s="10"/>
      <c r="E78" s="10"/>
      <c r="F78" s="10"/>
      <c r="G78" s="10"/>
      <c r="H78" s="10"/>
      <c r="I78" s="10"/>
      <c r="J78" s="10"/>
      <c r="K78" s="10"/>
      <c r="L78" s="10"/>
      <c r="M78" s="10"/>
      <c r="N78" s="10"/>
      <c r="O78" s="10"/>
      <c r="P78" s="10"/>
      <c r="Q78" s="10"/>
      <c r="R78" s="10"/>
      <c r="S78" s="10"/>
      <c r="T78" s="10"/>
      <c r="U78" s="10"/>
      <c r="V78" s="10"/>
    </row>
    <row r="79" customFormat="false" ht="15" hidden="false" customHeight="true" outlineLevel="0" collapsed="false">
      <c r="A79" s="10" t="s">
        <v>674</v>
      </c>
      <c r="B79" s="10"/>
      <c r="C79" s="10"/>
      <c r="D79" s="10"/>
      <c r="E79" s="10"/>
      <c r="F79" s="10"/>
      <c r="G79" s="10"/>
      <c r="H79" s="10"/>
      <c r="I79" s="10"/>
      <c r="J79" s="10"/>
      <c r="K79" s="10"/>
      <c r="L79" s="10"/>
      <c r="M79" s="10"/>
      <c r="N79" s="10"/>
      <c r="O79" s="10"/>
      <c r="P79" s="10"/>
      <c r="Q79" s="10"/>
      <c r="R79" s="10"/>
      <c r="S79" s="10"/>
      <c r="T79" s="10"/>
      <c r="U79" s="10"/>
      <c r="V79" s="10"/>
    </row>
    <row r="80" customFormat="false" ht="15" hidden="false" customHeight="true" outlineLevel="0" collapsed="false">
      <c r="A80" s="10" t="s">
        <v>675</v>
      </c>
      <c r="B80" s="10"/>
      <c r="C80" s="10"/>
      <c r="D80" s="10"/>
      <c r="E80" s="10"/>
      <c r="F80" s="10"/>
      <c r="G80" s="10"/>
      <c r="H80" s="10"/>
      <c r="I80" s="10"/>
      <c r="J80" s="10"/>
      <c r="K80" s="10"/>
      <c r="L80" s="10"/>
      <c r="M80" s="10"/>
      <c r="N80" s="10"/>
      <c r="O80" s="10"/>
      <c r="P80" s="10"/>
      <c r="Q80" s="10"/>
      <c r="R80" s="10"/>
      <c r="S80" s="10"/>
      <c r="T80" s="10"/>
      <c r="U80" s="10"/>
      <c r="V80" s="10"/>
    </row>
  </sheetData>
  <mergeCells count="178">
    <mergeCell ref="A3:V3"/>
    <mergeCell ref="A4:V4"/>
    <mergeCell ref="A5:B5"/>
    <mergeCell ref="C5:E5"/>
    <mergeCell ref="F5:V5"/>
    <mergeCell ref="A6:B6"/>
    <mergeCell ref="C6:E6"/>
    <mergeCell ref="F6:V6"/>
    <mergeCell ref="A7:B7"/>
    <mergeCell ref="C7:E7"/>
    <mergeCell ref="F7:V7"/>
    <mergeCell ref="A8:B8"/>
    <mergeCell ref="C8:E8"/>
    <mergeCell ref="F8:V8"/>
    <mergeCell ref="A9:B9"/>
    <mergeCell ref="C9:E9"/>
    <mergeCell ref="F9:V9"/>
    <mergeCell ref="A10:B10"/>
    <mergeCell ref="C10:E10"/>
    <mergeCell ref="F10:V10"/>
    <mergeCell ref="A11:B11"/>
    <mergeCell ref="C11:E11"/>
    <mergeCell ref="F11:V11"/>
    <mergeCell ref="A12:B12"/>
    <mergeCell ref="C12:E12"/>
    <mergeCell ref="F12:V12"/>
    <mergeCell ref="A13:B13"/>
    <mergeCell ref="C13:E13"/>
    <mergeCell ref="F13:V13"/>
    <mergeCell ref="A14:B14"/>
    <mergeCell ref="C14:E14"/>
    <mergeCell ref="F14:V14"/>
    <mergeCell ref="A15:B15"/>
    <mergeCell ref="C15:V15"/>
    <mergeCell ref="A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A33:V33"/>
    <mergeCell ref="T34:V34"/>
    <mergeCell ref="T35:V35"/>
    <mergeCell ref="T36:V36"/>
    <mergeCell ref="T37:V37"/>
    <mergeCell ref="T38:V38"/>
    <mergeCell ref="T39:V39"/>
    <mergeCell ref="T40:V40"/>
    <mergeCell ref="T41:V41"/>
    <mergeCell ref="A43:V43"/>
    <mergeCell ref="B44:C44"/>
    <mergeCell ref="D44:E44"/>
    <mergeCell ref="G44:H44"/>
    <mergeCell ref="I44:L44"/>
    <mergeCell ref="M44:N44"/>
    <mergeCell ref="S44:U44"/>
    <mergeCell ref="B45:C45"/>
    <mergeCell ref="D45:E45"/>
    <mergeCell ref="G45:H45"/>
    <mergeCell ref="I45:L45"/>
    <mergeCell ref="M45:N45"/>
    <mergeCell ref="S45:U45"/>
    <mergeCell ref="B46:C46"/>
    <mergeCell ref="D46:E46"/>
    <mergeCell ref="G46:H46"/>
    <mergeCell ref="I46:L46"/>
    <mergeCell ref="M46:N46"/>
    <mergeCell ref="S46:U46"/>
    <mergeCell ref="B47:C47"/>
    <mergeCell ref="D47:E47"/>
    <mergeCell ref="G47:H47"/>
    <mergeCell ref="I47:L47"/>
    <mergeCell ref="M47:N47"/>
    <mergeCell ref="S47:U47"/>
    <mergeCell ref="B48:C48"/>
    <mergeCell ref="D48:E48"/>
    <mergeCell ref="G48:H48"/>
    <mergeCell ref="I48:L48"/>
    <mergeCell ref="M48:N48"/>
    <mergeCell ref="S48:U48"/>
    <mergeCell ref="A50:V50"/>
    <mergeCell ref="D51:E51"/>
    <mergeCell ref="F51:G51"/>
    <mergeCell ref="L51:M51"/>
    <mergeCell ref="N51:U51"/>
    <mergeCell ref="D52:E52"/>
    <mergeCell ref="F52:G52"/>
    <mergeCell ref="L52:M52"/>
    <mergeCell ref="N52:U52"/>
    <mergeCell ref="D53:E53"/>
    <mergeCell ref="F53:G53"/>
    <mergeCell ref="L53:M53"/>
    <mergeCell ref="N53:U53"/>
    <mergeCell ref="D54:E54"/>
    <mergeCell ref="F54:G54"/>
    <mergeCell ref="L54:M54"/>
    <mergeCell ref="N54:U54"/>
    <mergeCell ref="D55:E55"/>
    <mergeCell ref="F55:G55"/>
    <mergeCell ref="L55:M55"/>
    <mergeCell ref="N55:U55"/>
    <mergeCell ref="D56:E56"/>
    <mergeCell ref="F56:G56"/>
    <mergeCell ref="L56:M56"/>
    <mergeCell ref="N56:U56"/>
    <mergeCell ref="D57:E57"/>
    <mergeCell ref="F57:G57"/>
    <mergeCell ref="L57:M57"/>
    <mergeCell ref="N57:U57"/>
    <mergeCell ref="D58:E58"/>
    <mergeCell ref="F58:G58"/>
    <mergeCell ref="L58:M58"/>
    <mergeCell ref="N58:U58"/>
    <mergeCell ref="D59:E59"/>
    <mergeCell ref="F59:G59"/>
    <mergeCell ref="L59:M59"/>
    <mergeCell ref="N59:U59"/>
    <mergeCell ref="D60:E60"/>
    <mergeCell ref="F60:G60"/>
    <mergeCell ref="L60:M60"/>
    <mergeCell ref="N60:U60"/>
    <mergeCell ref="D61:E61"/>
    <mergeCell ref="F61:G61"/>
    <mergeCell ref="L61:M61"/>
    <mergeCell ref="N61:U61"/>
    <mergeCell ref="D62:E62"/>
    <mergeCell ref="F62:G62"/>
    <mergeCell ref="L62:M62"/>
    <mergeCell ref="N62:U62"/>
    <mergeCell ref="D63:E63"/>
    <mergeCell ref="F63:G63"/>
    <mergeCell ref="L63:M63"/>
    <mergeCell ref="N63:U63"/>
    <mergeCell ref="A65:V65"/>
    <mergeCell ref="B66:C66"/>
    <mergeCell ref="D66:E66"/>
    <mergeCell ref="F66:K66"/>
    <mergeCell ref="L66:N66"/>
    <mergeCell ref="P66:U66"/>
    <mergeCell ref="B67:C67"/>
    <mergeCell ref="D67:E67"/>
    <mergeCell ref="F67:K67"/>
    <mergeCell ref="L67:N67"/>
    <mergeCell ref="P67:U67"/>
    <mergeCell ref="B68:C68"/>
    <mergeCell ref="D68:E68"/>
    <mergeCell ref="F68:K68"/>
    <mergeCell ref="L68:N68"/>
    <mergeCell ref="P68:U68"/>
    <mergeCell ref="B69:C69"/>
    <mergeCell ref="D69:E69"/>
    <mergeCell ref="F69:K69"/>
    <mergeCell ref="L69:N69"/>
    <mergeCell ref="P69:U69"/>
    <mergeCell ref="A71:V71"/>
    <mergeCell ref="B72:C72"/>
    <mergeCell ref="H72:I72"/>
    <mergeCell ref="J72:U72"/>
    <mergeCell ref="B73:C73"/>
    <mergeCell ref="H73:I73"/>
    <mergeCell ref="J73:U73"/>
    <mergeCell ref="B74:C74"/>
    <mergeCell ref="H74:I74"/>
    <mergeCell ref="J74:U74"/>
    <mergeCell ref="A76:V76"/>
    <mergeCell ref="A77:V77"/>
    <mergeCell ref="A78:V78"/>
    <mergeCell ref="A79:V79"/>
    <mergeCell ref="A80:V80"/>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1" min="3" style="0" width="11"/>
    <col collapsed="false" customWidth="true" hidden="false" outlineLevel="0" max="22" min="22" style="0" width="36"/>
  </cols>
  <sheetData>
    <row r="1" customFormat="false" ht="18.55" hidden="false" customHeight="false" outlineLevel="0" collapsed="false">
      <c r="A1" s="1" t="s">
        <v>676</v>
      </c>
    </row>
    <row r="2" customFormat="false" ht="15" hidden="false" customHeight="false" outlineLevel="0" collapsed="false">
      <c r="A2" s="2" t="s">
        <v>677</v>
      </c>
    </row>
    <row r="3" customFormat="false" ht="15" hidden="false" customHeight="true" outlineLevel="0" collapsed="false">
      <c r="A3" s="23" t="s">
        <v>678</v>
      </c>
      <c r="B3" s="23"/>
      <c r="C3" s="23"/>
      <c r="D3" s="23"/>
      <c r="E3" s="23"/>
      <c r="F3" s="23"/>
      <c r="G3" s="23"/>
      <c r="H3" s="23"/>
      <c r="I3" s="23"/>
      <c r="J3" s="23"/>
      <c r="K3" s="23"/>
      <c r="L3" s="23"/>
      <c r="M3" s="23"/>
      <c r="N3" s="23"/>
      <c r="O3" s="23"/>
      <c r="P3" s="23"/>
      <c r="Q3" s="23"/>
      <c r="R3" s="23"/>
      <c r="S3" s="23"/>
      <c r="T3" s="23"/>
      <c r="U3" s="23"/>
      <c r="V3" s="23"/>
    </row>
    <row r="4" customFormat="false" ht="18" hidden="false" customHeight="true" outlineLevel="0" collapsed="false">
      <c r="A4" s="6" t="s">
        <v>151</v>
      </c>
      <c r="B4" s="6"/>
      <c r="C4" s="6"/>
      <c r="D4" s="6"/>
      <c r="E4" s="6"/>
      <c r="F4" s="6"/>
      <c r="G4" s="6"/>
      <c r="H4" s="6"/>
      <c r="I4" s="6"/>
      <c r="J4" s="6"/>
      <c r="K4" s="6"/>
      <c r="L4" s="6"/>
      <c r="M4" s="6"/>
      <c r="N4" s="6"/>
      <c r="O4" s="6"/>
      <c r="P4" s="6"/>
      <c r="Q4" s="6"/>
      <c r="R4" s="6"/>
      <c r="S4" s="6"/>
      <c r="T4" s="6"/>
      <c r="U4" s="6"/>
      <c r="V4" s="6"/>
    </row>
    <row r="5" customFormat="false" ht="15" hidden="false" customHeight="true" outlineLevel="0" collapsed="false">
      <c r="A5" s="4" t="s">
        <v>152</v>
      </c>
      <c r="B5" s="4"/>
      <c r="C5" s="24" t="n">
        <v>774000</v>
      </c>
      <c r="D5" s="24"/>
      <c r="E5" s="24"/>
      <c r="F5" s="25" t="s">
        <v>679</v>
      </c>
      <c r="G5" s="25"/>
      <c r="H5" s="25"/>
      <c r="I5" s="25"/>
      <c r="J5" s="25"/>
      <c r="K5" s="25"/>
      <c r="L5" s="25"/>
      <c r="M5" s="25"/>
      <c r="N5" s="25"/>
      <c r="O5" s="25"/>
      <c r="P5" s="25"/>
      <c r="Q5" s="25"/>
      <c r="R5" s="25"/>
      <c r="S5" s="25"/>
      <c r="T5" s="25"/>
      <c r="U5" s="25"/>
      <c r="V5" s="25"/>
    </row>
    <row r="6" customFormat="false" ht="15" hidden="false" customHeight="true" outlineLevel="0" collapsed="false">
      <c r="A6" s="4" t="s">
        <v>110</v>
      </c>
      <c r="B6" s="4"/>
      <c r="C6" s="5" t="s">
        <v>680</v>
      </c>
      <c r="D6" s="5"/>
      <c r="E6" s="5"/>
      <c r="F6" s="25"/>
      <c r="G6" s="25"/>
      <c r="H6" s="25"/>
      <c r="I6" s="25"/>
      <c r="J6" s="25"/>
      <c r="K6" s="25"/>
      <c r="L6" s="25"/>
      <c r="M6" s="25"/>
      <c r="N6" s="25"/>
      <c r="O6" s="25"/>
      <c r="P6" s="25"/>
      <c r="Q6" s="25"/>
      <c r="R6" s="25"/>
      <c r="S6" s="25"/>
      <c r="T6" s="25"/>
      <c r="U6" s="25"/>
      <c r="V6" s="25"/>
    </row>
    <row r="7" customFormat="false" ht="40.5" hidden="false" customHeight="true" outlineLevel="0" collapsed="false">
      <c r="A7" s="4" t="s">
        <v>155</v>
      </c>
      <c r="B7" s="4"/>
      <c r="C7" s="5" t="s">
        <v>681</v>
      </c>
      <c r="D7" s="5"/>
      <c r="E7" s="5"/>
      <c r="F7" s="25"/>
      <c r="G7" s="25"/>
      <c r="H7" s="25"/>
      <c r="I7" s="25"/>
      <c r="J7" s="25"/>
      <c r="K7" s="25"/>
      <c r="L7" s="25"/>
      <c r="M7" s="25"/>
      <c r="N7" s="25"/>
      <c r="O7" s="25"/>
      <c r="P7" s="25"/>
      <c r="Q7" s="25"/>
      <c r="R7" s="25"/>
      <c r="S7" s="25"/>
      <c r="T7" s="25"/>
      <c r="U7" s="25"/>
      <c r="V7" s="25"/>
    </row>
    <row r="8" customFormat="false" ht="40.5" hidden="false" customHeight="true" outlineLevel="0" collapsed="false">
      <c r="A8" s="4" t="s">
        <v>111</v>
      </c>
      <c r="B8" s="4"/>
      <c r="C8" s="5" t="s">
        <v>682</v>
      </c>
      <c r="D8" s="5"/>
      <c r="E8" s="5"/>
      <c r="F8" s="25"/>
      <c r="G8" s="25"/>
      <c r="H8" s="25"/>
      <c r="I8" s="25"/>
      <c r="J8" s="25"/>
      <c r="K8" s="25"/>
      <c r="L8" s="25"/>
      <c r="M8" s="25"/>
      <c r="N8" s="25"/>
      <c r="O8" s="25"/>
      <c r="P8" s="25"/>
      <c r="Q8" s="25"/>
      <c r="R8" s="25"/>
      <c r="S8" s="25"/>
      <c r="T8" s="25"/>
      <c r="U8" s="25"/>
      <c r="V8" s="25"/>
    </row>
    <row r="9" customFormat="false" ht="15" hidden="false" customHeight="true" outlineLevel="0" collapsed="false">
      <c r="A9" s="4" t="s">
        <v>158</v>
      </c>
      <c r="B9" s="4"/>
      <c r="C9" s="26" t="n">
        <f aca="false">IF(ISNUMBER(S23),S23,"n.d.")</f>
        <v>660276</v>
      </c>
      <c r="D9" s="26"/>
      <c r="E9" s="26"/>
      <c r="F9" s="25" t="s">
        <v>683</v>
      </c>
      <c r="G9" s="25"/>
      <c r="H9" s="25"/>
      <c r="I9" s="25"/>
      <c r="J9" s="25"/>
      <c r="K9" s="25"/>
      <c r="L9" s="25"/>
      <c r="M9" s="25"/>
      <c r="N9" s="25"/>
      <c r="O9" s="25"/>
      <c r="P9" s="25"/>
      <c r="Q9" s="25"/>
      <c r="R9" s="25"/>
      <c r="S9" s="25"/>
      <c r="T9" s="25"/>
      <c r="U9" s="25"/>
      <c r="V9" s="25"/>
    </row>
    <row r="10" customFormat="false" ht="27.75" hidden="false" customHeight="true" outlineLevel="0" collapsed="false">
      <c r="A10" s="4" t="s">
        <v>160</v>
      </c>
      <c r="B10" s="4"/>
      <c r="C10" s="5" t="s">
        <v>683</v>
      </c>
      <c r="D10" s="5"/>
      <c r="E10" s="5"/>
      <c r="F10" s="25"/>
      <c r="G10" s="25"/>
      <c r="H10" s="25"/>
      <c r="I10" s="25"/>
      <c r="J10" s="25"/>
      <c r="K10" s="25"/>
      <c r="L10" s="25"/>
      <c r="M10" s="25"/>
      <c r="N10" s="25"/>
      <c r="O10" s="25"/>
      <c r="P10" s="25"/>
      <c r="Q10" s="25"/>
      <c r="R10" s="25"/>
      <c r="S10" s="25"/>
      <c r="T10" s="25"/>
      <c r="U10" s="25"/>
      <c r="V10" s="25"/>
    </row>
    <row r="11" customFormat="false" ht="15" hidden="false" customHeight="true" outlineLevel="0" collapsed="false">
      <c r="A11" s="4" t="s">
        <v>114</v>
      </c>
      <c r="B11" s="4"/>
      <c r="C11" s="27" t="n">
        <f aca="false">IFERROR(C9/S19,"n.d.")</f>
        <v>0.853069767441861</v>
      </c>
      <c r="D11" s="27"/>
      <c r="E11" s="27"/>
      <c r="F11" s="25" t="s">
        <v>161</v>
      </c>
      <c r="G11" s="25"/>
      <c r="H11" s="25"/>
      <c r="I11" s="25"/>
      <c r="J11" s="25"/>
      <c r="K11" s="25"/>
      <c r="L11" s="25"/>
      <c r="M11" s="25"/>
      <c r="N11" s="25"/>
      <c r="O11" s="25"/>
      <c r="P11" s="25"/>
      <c r="Q11" s="25"/>
      <c r="R11" s="25"/>
      <c r="S11" s="25"/>
      <c r="T11" s="25"/>
      <c r="U11" s="25"/>
      <c r="V11" s="25"/>
    </row>
    <row r="12" customFormat="false" ht="15" hidden="false" customHeight="true" outlineLevel="0" collapsed="false">
      <c r="A12" s="4" t="s">
        <v>162</v>
      </c>
      <c r="B12" s="4"/>
      <c r="C12" s="26" t="n">
        <f aca="false">S19</f>
        <v>774000</v>
      </c>
      <c r="D12" s="26"/>
      <c r="E12" s="26"/>
      <c r="F12" s="25" t="s">
        <v>163</v>
      </c>
      <c r="G12" s="25"/>
      <c r="H12" s="25"/>
      <c r="I12" s="25"/>
      <c r="J12" s="25"/>
      <c r="K12" s="25"/>
      <c r="L12" s="25"/>
      <c r="M12" s="25"/>
      <c r="N12" s="25"/>
      <c r="O12" s="25"/>
      <c r="P12" s="25"/>
      <c r="Q12" s="25"/>
      <c r="R12" s="25"/>
      <c r="S12" s="25"/>
      <c r="T12" s="25"/>
      <c r="U12" s="25"/>
      <c r="V12" s="25"/>
    </row>
    <row r="13" customFormat="false" ht="15" hidden="false" customHeight="true" outlineLevel="0" collapsed="false">
      <c r="A13" s="4" t="s">
        <v>164</v>
      </c>
      <c r="B13" s="4"/>
      <c r="C13" s="26" t="n">
        <f aca="false">2*S19</f>
        <v>1548000</v>
      </c>
      <c r="D13" s="26"/>
      <c r="E13" s="26"/>
      <c r="F13" s="25" t="s">
        <v>684</v>
      </c>
      <c r="G13" s="25"/>
      <c r="H13" s="25"/>
      <c r="I13" s="25"/>
      <c r="J13" s="25"/>
      <c r="K13" s="25"/>
      <c r="L13" s="25"/>
      <c r="M13" s="25"/>
      <c r="N13" s="25"/>
      <c r="O13" s="25"/>
      <c r="P13" s="25"/>
      <c r="Q13" s="25"/>
      <c r="R13" s="25"/>
      <c r="S13" s="25"/>
      <c r="T13" s="25"/>
      <c r="U13" s="25"/>
      <c r="V13" s="25"/>
    </row>
    <row r="14" customFormat="false" ht="15" hidden="false" customHeight="true" outlineLevel="0" collapsed="false">
      <c r="A14" s="4" t="s">
        <v>130</v>
      </c>
      <c r="B14" s="4"/>
      <c r="C14" s="5" t="s">
        <v>685</v>
      </c>
      <c r="D14" s="5"/>
      <c r="E14" s="5"/>
      <c r="F14" s="25"/>
      <c r="G14" s="25"/>
      <c r="H14" s="25"/>
      <c r="I14" s="25"/>
      <c r="J14" s="25"/>
      <c r="K14" s="25"/>
      <c r="L14" s="25"/>
      <c r="M14" s="25"/>
      <c r="N14" s="25"/>
      <c r="O14" s="25"/>
      <c r="P14" s="25"/>
      <c r="Q14" s="25"/>
      <c r="R14" s="25"/>
      <c r="S14" s="25"/>
      <c r="T14" s="25"/>
      <c r="U14" s="25"/>
      <c r="V14" s="25"/>
    </row>
    <row r="15" customFormat="false" ht="33" hidden="false" customHeight="true" outlineLevel="0" collapsed="false">
      <c r="A15" s="4" t="s">
        <v>120</v>
      </c>
      <c r="B15" s="4"/>
      <c r="C15" s="28" t="s">
        <v>686</v>
      </c>
      <c r="D15" s="28"/>
      <c r="E15" s="28"/>
      <c r="F15" s="28"/>
      <c r="G15" s="28"/>
      <c r="H15" s="28"/>
      <c r="I15" s="28"/>
      <c r="J15" s="28"/>
      <c r="K15" s="28"/>
      <c r="L15" s="28"/>
      <c r="M15" s="28"/>
      <c r="N15" s="28"/>
      <c r="O15" s="28"/>
      <c r="P15" s="28"/>
      <c r="Q15" s="28"/>
      <c r="R15" s="28"/>
      <c r="S15" s="28"/>
      <c r="T15" s="28"/>
      <c r="U15" s="28"/>
      <c r="V15" s="28"/>
    </row>
    <row r="17" customFormat="false" ht="18" hidden="false" customHeight="true" outlineLevel="0" collapsed="false">
      <c r="A17" s="6" t="s">
        <v>168</v>
      </c>
      <c r="B17" s="6"/>
      <c r="C17" s="6"/>
      <c r="D17" s="6"/>
      <c r="E17" s="6"/>
      <c r="F17" s="6"/>
      <c r="G17" s="6"/>
      <c r="H17" s="6"/>
      <c r="I17" s="6"/>
      <c r="J17" s="6"/>
      <c r="K17" s="6"/>
      <c r="L17" s="6"/>
      <c r="M17" s="6"/>
      <c r="N17" s="6"/>
      <c r="O17" s="6"/>
      <c r="P17" s="6"/>
      <c r="Q17" s="6"/>
      <c r="R17" s="6"/>
      <c r="S17" s="6"/>
      <c r="T17" s="6"/>
      <c r="U17" s="6"/>
      <c r="V17" s="6"/>
    </row>
    <row r="18" customFormat="false" ht="15" hidden="false" customHeight="true" outlineLevel="0" collapsed="false">
      <c r="A18" s="8" t="s">
        <v>169</v>
      </c>
      <c r="B18" s="9" t="s">
        <v>170</v>
      </c>
      <c r="C18" s="9" t="s">
        <v>71</v>
      </c>
      <c r="D18" s="9" t="s">
        <v>72</v>
      </c>
      <c r="E18" s="9" t="s">
        <v>73</v>
      </c>
      <c r="F18" s="9" t="s">
        <v>74</v>
      </c>
      <c r="G18" s="9" t="s">
        <v>75</v>
      </c>
      <c r="H18" s="9" t="s">
        <v>76</v>
      </c>
      <c r="I18" s="9" t="s">
        <v>77</v>
      </c>
      <c r="J18" s="9" t="s">
        <v>78</v>
      </c>
      <c r="K18" s="9" t="s">
        <v>79</v>
      </c>
      <c r="L18" s="9" t="s">
        <v>80</v>
      </c>
      <c r="M18" s="9" t="s">
        <v>81</v>
      </c>
      <c r="N18" s="9" t="s">
        <v>82</v>
      </c>
      <c r="O18" s="9" t="s">
        <v>83</v>
      </c>
      <c r="P18" s="9" t="s">
        <v>84</v>
      </c>
      <c r="Q18" s="9" t="s">
        <v>85</v>
      </c>
      <c r="R18" s="9" t="s">
        <v>86</v>
      </c>
      <c r="S18" s="9" t="s">
        <v>87</v>
      </c>
      <c r="T18" s="8" t="s">
        <v>171</v>
      </c>
      <c r="U18" s="8"/>
      <c r="V18" s="8"/>
    </row>
    <row r="19" customFormat="false" ht="24.75" hidden="false" customHeight="true" outlineLevel="0" collapsed="false">
      <c r="A19" s="10" t="s">
        <v>172</v>
      </c>
      <c r="B19" s="29" t="s">
        <v>173</v>
      </c>
      <c r="C19" s="5"/>
      <c r="D19" s="5"/>
      <c r="E19" s="5"/>
      <c r="F19" s="5"/>
      <c r="G19" s="5"/>
      <c r="H19" s="5"/>
      <c r="I19" s="5"/>
      <c r="J19" s="5"/>
      <c r="K19" s="5"/>
      <c r="L19" s="5"/>
      <c r="M19" s="18" t="n">
        <f aca="false">IF(ISNUMBER(M35),M35*12,"")</f>
        <v>228000</v>
      </c>
      <c r="N19" s="5"/>
      <c r="O19" s="18" t="n">
        <f aca="false">IF(ISNUMBER(O35),O35*12,"")</f>
        <v>348000</v>
      </c>
      <c r="P19" s="18" t="n">
        <f aca="false">IF(ISNUMBER(P35),P35*12,"")</f>
        <v>468000</v>
      </c>
      <c r="Q19" s="18" t="n">
        <f aca="false">IF(ISNUMBER(Q35),Q35*12,"")</f>
        <v>588000</v>
      </c>
      <c r="R19" s="18" t="n">
        <f aca="false">IF(ISNUMBER(R35),R35*12,"")</f>
        <v>708000</v>
      </c>
      <c r="S19" s="18" t="n">
        <f aca="false">IF(ISNUMBER(S35),S35*12,"")</f>
        <v>774000</v>
      </c>
      <c r="T19" s="25" t="s">
        <v>687</v>
      </c>
      <c r="U19" s="25"/>
      <c r="V19" s="25"/>
    </row>
    <row r="20" customFormat="false" ht="24.75" hidden="false" customHeight="true" outlineLevel="0" collapsed="false">
      <c r="A20" s="10" t="s">
        <v>175</v>
      </c>
      <c r="B20" s="29" t="s">
        <v>176</v>
      </c>
      <c r="C20" s="5"/>
      <c r="D20" s="5"/>
      <c r="E20" s="5"/>
      <c r="F20" s="5"/>
      <c r="G20" s="5"/>
      <c r="H20" s="5"/>
      <c r="I20" s="5"/>
      <c r="J20" s="5"/>
      <c r="K20" s="5"/>
      <c r="L20" s="5"/>
      <c r="M20" s="29" t="s">
        <v>45</v>
      </c>
      <c r="N20" s="5"/>
      <c r="O20" s="29" t="s">
        <v>45</v>
      </c>
      <c r="P20" s="29" t="s">
        <v>45</v>
      </c>
      <c r="Q20" s="29" t="s">
        <v>45</v>
      </c>
      <c r="R20" s="29" t="s">
        <v>45</v>
      </c>
      <c r="S20" s="29" t="s">
        <v>45</v>
      </c>
      <c r="T20" s="25" t="s">
        <v>179</v>
      </c>
      <c r="U20" s="25"/>
      <c r="V20" s="25"/>
    </row>
    <row r="21" customFormat="false" ht="15" hidden="false" customHeight="true" outlineLevel="0" collapsed="false">
      <c r="A21" s="10" t="s">
        <v>180</v>
      </c>
      <c r="B21" s="29" t="s">
        <v>181</v>
      </c>
      <c r="C21" s="5"/>
      <c r="D21" s="5"/>
      <c r="E21" s="5"/>
      <c r="F21" s="5"/>
      <c r="G21" s="5"/>
      <c r="H21" s="5"/>
      <c r="I21" s="5"/>
      <c r="J21" s="5"/>
      <c r="K21" s="5"/>
      <c r="L21" s="5"/>
      <c r="M21" s="5"/>
      <c r="N21" s="5"/>
      <c r="O21" s="5"/>
      <c r="P21" s="5"/>
      <c r="Q21" s="5"/>
      <c r="R21" s="5"/>
      <c r="S21" s="5"/>
      <c r="T21" s="25" t="s">
        <v>688</v>
      </c>
      <c r="U21" s="25"/>
      <c r="V21" s="25"/>
    </row>
    <row r="22" customFormat="false" ht="15" hidden="false" customHeight="true" outlineLevel="0" collapsed="false">
      <c r="A22" s="10" t="s">
        <v>183</v>
      </c>
      <c r="B22" s="29" t="s">
        <v>181</v>
      </c>
      <c r="C22" s="5"/>
      <c r="D22" s="5"/>
      <c r="E22" s="5"/>
      <c r="F22" s="5"/>
      <c r="G22" s="5"/>
      <c r="H22" s="5"/>
      <c r="I22" s="5"/>
      <c r="J22" s="5"/>
      <c r="K22" s="5"/>
      <c r="L22" s="5"/>
      <c r="M22" s="5"/>
      <c r="N22" s="5"/>
      <c r="O22" s="5"/>
      <c r="P22" s="5"/>
      <c r="Q22" s="5"/>
      <c r="R22" s="5"/>
      <c r="S22" s="5"/>
      <c r="T22" s="25" t="s">
        <v>689</v>
      </c>
      <c r="U22" s="25"/>
      <c r="V22" s="25"/>
    </row>
    <row r="23" customFormat="false" ht="15" hidden="false" customHeight="true" outlineLevel="0" collapsed="false">
      <c r="A23" s="10" t="s">
        <v>185</v>
      </c>
      <c r="B23" s="29" t="s">
        <v>181</v>
      </c>
      <c r="C23" s="5"/>
      <c r="D23" s="5"/>
      <c r="E23" s="5"/>
      <c r="F23" s="5"/>
      <c r="G23" s="5"/>
      <c r="H23" s="5"/>
      <c r="I23" s="5"/>
      <c r="J23" s="5"/>
      <c r="K23" s="5"/>
      <c r="L23" s="5"/>
      <c r="M23" s="5"/>
      <c r="N23" s="5"/>
      <c r="O23" s="5"/>
      <c r="P23" s="5"/>
      <c r="Q23" s="5"/>
      <c r="R23" s="30" t="n">
        <v>551487</v>
      </c>
      <c r="S23" s="30" t="n">
        <v>660276</v>
      </c>
      <c r="T23" s="25" t="s">
        <v>690</v>
      </c>
      <c r="U23" s="25"/>
      <c r="V23" s="25"/>
    </row>
    <row r="24" customFormat="false" ht="15" hidden="false" customHeight="true" outlineLevel="0" collapsed="false">
      <c r="A24" s="10" t="s">
        <v>187</v>
      </c>
      <c r="B24" s="29" t="s">
        <v>181</v>
      </c>
      <c r="C24" s="5"/>
      <c r="D24" s="5"/>
      <c r="E24" s="5"/>
      <c r="F24" s="5"/>
      <c r="G24" s="5"/>
      <c r="H24" s="5"/>
      <c r="I24" s="5"/>
      <c r="J24" s="5"/>
      <c r="K24" s="5"/>
      <c r="L24" s="5"/>
      <c r="M24" s="5"/>
      <c r="N24" s="5"/>
      <c r="O24" s="5"/>
      <c r="P24" s="5"/>
      <c r="Q24" s="5"/>
      <c r="R24" s="5"/>
      <c r="S24" s="5"/>
      <c r="T24" s="25"/>
      <c r="U24" s="25"/>
      <c r="V24" s="25"/>
    </row>
    <row r="25" customFormat="false" ht="24.75" hidden="false" customHeight="true" outlineLevel="0" collapsed="false">
      <c r="A25" s="10" t="s">
        <v>188</v>
      </c>
      <c r="B25" s="29" t="s">
        <v>189</v>
      </c>
      <c r="C25" s="17" t="str">
        <f aca="false">IF(AND(ISNUMBER(C21),ISNUMBER(C19)),C21/C19,"")</f>
        <v/>
      </c>
      <c r="D25" s="17" t="str">
        <f aca="false">IF(AND(ISNUMBER(D21),ISNUMBER(D19)),D21/D19,"")</f>
        <v/>
      </c>
      <c r="E25" s="17" t="str">
        <f aca="false">IF(AND(ISNUMBER(E21),ISNUMBER(E19)),E21/E19,"")</f>
        <v/>
      </c>
      <c r="F25" s="17" t="str">
        <f aca="false">IF(AND(ISNUMBER(F21),ISNUMBER(F19)),F21/F19,"")</f>
        <v/>
      </c>
      <c r="G25" s="17" t="str">
        <f aca="false">IF(AND(ISNUMBER(G21),ISNUMBER(G19)),G21/G19,"")</f>
        <v/>
      </c>
      <c r="H25" s="17" t="str">
        <f aca="false">IF(AND(ISNUMBER(H21),ISNUMBER(H19)),H21/H19,"")</f>
        <v/>
      </c>
      <c r="I25" s="17" t="str">
        <f aca="false">IF(AND(ISNUMBER(I21),ISNUMBER(I19)),I21/I19,"")</f>
        <v/>
      </c>
      <c r="J25" s="17" t="str">
        <f aca="false">IF(AND(ISNUMBER(J21),ISNUMBER(J19)),J21/J19,"")</f>
        <v/>
      </c>
      <c r="K25" s="17" t="str">
        <f aca="false">IF(AND(ISNUMBER(K21),ISNUMBER(K19)),K21/K19,"")</f>
        <v/>
      </c>
      <c r="L25" s="17" t="str">
        <f aca="false">IF(AND(ISNUMBER(L21),ISNUMBER(L19)),L21/L19,"")</f>
        <v/>
      </c>
      <c r="M25" s="17" t="str">
        <f aca="false">IF(AND(ISNUMBER(M21),ISNUMBER(M19)),M21/M19,"")</f>
        <v/>
      </c>
      <c r="N25" s="17" t="str">
        <f aca="false">IF(AND(ISNUMBER(N21),ISNUMBER(N19)),N21/N19,"")</f>
        <v/>
      </c>
      <c r="O25" s="17" t="str">
        <f aca="false">IF(AND(ISNUMBER(O21),ISNUMBER(O19)),O21/O19,"")</f>
        <v/>
      </c>
      <c r="P25" s="17" t="str">
        <f aca="false">IF(AND(ISNUMBER(P21),ISNUMBER(P19)),P21/P19,"")</f>
        <v/>
      </c>
      <c r="Q25" s="17" t="str">
        <f aca="false">IF(AND(ISNUMBER(Q21),ISNUMBER(Q19)),Q21/Q19,"")</f>
        <v/>
      </c>
      <c r="R25" s="17" t="str">
        <f aca="false">IF(AND(ISNUMBER(R21),ISNUMBER(R19)),R21/R19,"")</f>
        <v/>
      </c>
      <c r="S25" s="17" t="str">
        <f aca="false">IF(AND(ISNUMBER(S21),ISNUMBER(S19)),S21/S19,"")</f>
        <v/>
      </c>
      <c r="T25" s="25" t="s">
        <v>190</v>
      </c>
      <c r="U25" s="25"/>
      <c r="V25" s="25"/>
    </row>
    <row r="26" customFormat="false" ht="15" hidden="false" customHeight="true" outlineLevel="0" collapsed="false">
      <c r="A26" s="10" t="s">
        <v>191</v>
      </c>
      <c r="B26" s="29" t="s">
        <v>189</v>
      </c>
      <c r="C26" s="17" t="str">
        <f aca="false">IF(AND(ISNUMBER(C21),ISNUMBER(C19)),C21/C19,"")</f>
        <v/>
      </c>
      <c r="D26" s="17" t="str">
        <f aca="false">IF(AND(ISNUMBER(D21),ISNUMBER(D19)),D21/IF(ISNUMBER(C19),AVERAGE(C19,D19),D19),"")</f>
        <v/>
      </c>
      <c r="E26" s="17" t="str">
        <f aca="false">IF(AND(ISNUMBER(E21),ISNUMBER(E19)),E21/IF(ISNUMBER(D19),AVERAGE(D19,E19),E19),"")</f>
        <v/>
      </c>
      <c r="F26" s="17" t="str">
        <f aca="false">IF(AND(ISNUMBER(F21),ISNUMBER(F19)),F21/IF(ISNUMBER(E19),AVERAGE(E19,F19),F19),"")</f>
        <v/>
      </c>
      <c r="G26" s="17" t="str">
        <f aca="false">IF(AND(ISNUMBER(G21),ISNUMBER(G19)),G21/IF(ISNUMBER(F19),AVERAGE(F19,G19),G19),"")</f>
        <v/>
      </c>
      <c r="H26" s="17" t="str">
        <f aca="false">IF(AND(ISNUMBER(H21),ISNUMBER(H19)),H21/IF(ISNUMBER(G19),AVERAGE(G19,H19),H19),"")</f>
        <v/>
      </c>
      <c r="I26" s="17" t="str">
        <f aca="false">IF(AND(ISNUMBER(I21),ISNUMBER(I19)),I21/IF(ISNUMBER(H19),AVERAGE(H19,I19),I19),"")</f>
        <v/>
      </c>
      <c r="J26" s="17" t="str">
        <f aca="false">IF(AND(ISNUMBER(J21),ISNUMBER(J19)),J21/IF(ISNUMBER(I19),AVERAGE(I19,J19),J19),"")</f>
        <v/>
      </c>
      <c r="K26" s="17" t="str">
        <f aca="false">IF(AND(ISNUMBER(K21),ISNUMBER(K19)),K21/IF(ISNUMBER(J19),AVERAGE(J19,K19),K19),"")</f>
        <v/>
      </c>
      <c r="L26" s="17" t="str">
        <f aca="false">IF(AND(ISNUMBER(L21),ISNUMBER(L19)),L21/IF(ISNUMBER(K19),AVERAGE(K19,L19),L19),"")</f>
        <v/>
      </c>
      <c r="M26" s="17" t="str">
        <f aca="false">IF(AND(ISNUMBER(M21),ISNUMBER(M19)),M21/IF(ISNUMBER(L19),AVERAGE(L19,M19),M19),"")</f>
        <v/>
      </c>
      <c r="N26" s="17" t="str">
        <f aca="false">IF(AND(ISNUMBER(N21),ISNUMBER(N19)),N21/IF(ISNUMBER(M19),AVERAGE(M19,N19),N19),"")</f>
        <v/>
      </c>
      <c r="O26" s="17" t="str">
        <f aca="false">IF(AND(ISNUMBER(O21),ISNUMBER(O19)),O21/IF(ISNUMBER(N19),AVERAGE(N19,O19),O19),"")</f>
        <v/>
      </c>
      <c r="P26" s="17" t="str">
        <f aca="false">IF(AND(ISNUMBER(P21),ISNUMBER(P19)),P21/IF(ISNUMBER(O19),AVERAGE(O19,P19),P19),"")</f>
        <v/>
      </c>
      <c r="Q26" s="17" t="str">
        <f aca="false">IF(AND(ISNUMBER(Q21),ISNUMBER(Q19)),Q21/IF(ISNUMBER(P19),AVERAGE(P19,Q19),Q19),"")</f>
        <v/>
      </c>
      <c r="R26" s="17" t="str">
        <f aca="false">IF(AND(ISNUMBER(R21),ISNUMBER(R19)),R21/IF(ISNUMBER(Q19),AVERAGE(Q19,R19),R19),"")</f>
        <v/>
      </c>
      <c r="S26" s="17" t="str">
        <f aca="false">IF(AND(ISNUMBER(S21),ISNUMBER(S19)),S21/IF(ISNUMBER(R19),AVERAGE(R19,S19),S19),"")</f>
        <v/>
      </c>
      <c r="T26" s="25" t="s">
        <v>192</v>
      </c>
      <c r="U26" s="25"/>
      <c r="V26" s="25"/>
    </row>
    <row r="27" customFormat="false" ht="24.75" hidden="false" customHeight="true" outlineLevel="0" collapsed="false">
      <c r="A27" s="10" t="s">
        <v>193</v>
      </c>
      <c r="B27" s="29" t="s">
        <v>189</v>
      </c>
      <c r="C27" s="17" t="str">
        <f aca="false">IF(ISNUMBER(C19),IF(ISNUMBER(C22),C22/C19,IF(ISNUMBER(C23),C23/C19,"")),"")</f>
        <v/>
      </c>
      <c r="D27" s="17" t="str">
        <f aca="false">IF(ISNUMBER(D19),IF(ISNUMBER(D22),D22/D19,IF(ISNUMBER(D23),D23/D19,"")),"")</f>
        <v/>
      </c>
      <c r="E27" s="17" t="str">
        <f aca="false">IF(ISNUMBER(E19),IF(ISNUMBER(E22),E22/E19,IF(ISNUMBER(E23),E23/E19,"")),"")</f>
        <v/>
      </c>
      <c r="F27" s="17" t="str">
        <f aca="false">IF(ISNUMBER(F19),IF(ISNUMBER(F22),F22/F19,IF(ISNUMBER(F23),F23/F19,"")),"")</f>
        <v/>
      </c>
      <c r="G27" s="17" t="str">
        <f aca="false">IF(ISNUMBER(G19),IF(ISNUMBER(G22),G22/G19,IF(ISNUMBER(G23),G23/G19,"")),"")</f>
        <v/>
      </c>
      <c r="H27" s="17" t="str">
        <f aca="false">IF(ISNUMBER(H19),IF(ISNUMBER(H22),H22/H19,IF(ISNUMBER(H23),H23/H19,"")),"")</f>
        <v/>
      </c>
      <c r="I27" s="17" t="str">
        <f aca="false">IF(ISNUMBER(I19),IF(ISNUMBER(I22),I22/I19,IF(ISNUMBER(I23),I23/I19,"")),"")</f>
        <v/>
      </c>
      <c r="J27" s="17" t="str">
        <f aca="false">IF(ISNUMBER(J19),IF(ISNUMBER(J22),J22/J19,IF(ISNUMBER(J23),J23/J19,"")),"")</f>
        <v/>
      </c>
      <c r="K27" s="17" t="str">
        <f aca="false">IF(ISNUMBER(K19),IF(ISNUMBER(K22),K22/K19,IF(ISNUMBER(K23),K23/K19,"")),"")</f>
        <v/>
      </c>
      <c r="L27" s="17" t="str">
        <f aca="false">IF(ISNUMBER(L19),IF(ISNUMBER(L22),L22/L19,IF(ISNUMBER(L23),L23/L19,"")),"")</f>
        <v/>
      </c>
      <c r="M27" s="17" t="str">
        <f aca="false">IF(ISNUMBER(M19),IF(ISNUMBER(M22),M22/M19,IF(ISNUMBER(M23),M23/M19,"")),"")</f>
        <v/>
      </c>
      <c r="N27" s="17" t="str">
        <f aca="false">IF(ISNUMBER(N19),IF(ISNUMBER(N22),N22/N19,IF(ISNUMBER(N23),N23/N19,"")),"")</f>
        <v/>
      </c>
      <c r="O27" s="17" t="str">
        <f aca="false">IF(ISNUMBER(O19),IF(ISNUMBER(O22),O22/O19,IF(ISNUMBER(O23),O23/O19,"")),"")</f>
        <v/>
      </c>
      <c r="P27" s="17" t="str">
        <f aca="false">IF(ISNUMBER(P19),IF(ISNUMBER(P22),P22/P19,IF(ISNUMBER(P23),P23/P19,"")),"")</f>
        <v/>
      </c>
      <c r="Q27" s="17" t="str">
        <f aca="false">IF(ISNUMBER(Q19),IF(ISNUMBER(Q22),Q22/Q19,IF(ISNUMBER(Q23),Q23/Q19,"")),"")</f>
        <v/>
      </c>
      <c r="R27" s="17" t="n">
        <f aca="false">IF(ISNUMBER(R19),IF(ISNUMBER(R22),R22/R19,IF(ISNUMBER(R23),R23/R19,"")),"")</f>
        <v>0.778936440677966</v>
      </c>
      <c r="S27" s="17" t="n">
        <f aca="false">IF(ISNUMBER(S19),IF(ISNUMBER(S22),S22/S19,IF(ISNUMBER(S23),S23/S19,"")),"")</f>
        <v>0.853069767441861</v>
      </c>
      <c r="T27" s="25" t="s">
        <v>194</v>
      </c>
      <c r="U27" s="25"/>
      <c r="V27" s="25"/>
    </row>
    <row r="28" customFormat="false" ht="15" hidden="false" customHeight="true" outlineLevel="0" collapsed="false">
      <c r="A28" s="10" t="s">
        <v>195</v>
      </c>
      <c r="B28" s="29" t="s">
        <v>173</v>
      </c>
      <c r="C28" s="5"/>
      <c r="D28" s="18" t="str">
        <f aca="false">IF(AND(ISNUMBER(D19),ISNUMBER(C19)),D19-C19,"")</f>
        <v/>
      </c>
      <c r="E28" s="18" t="str">
        <f aca="false">IF(AND(ISNUMBER(E19),ISNUMBER(D19)),E19-D19,"")</f>
        <v/>
      </c>
      <c r="F28" s="18" t="str">
        <f aca="false">IF(AND(ISNUMBER(F19),ISNUMBER(E19)),F19-E19,"")</f>
        <v/>
      </c>
      <c r="G28" s="18" t="str">
        <f aca="false">IF(AND(ISNUMBER(G19),ISNUMBER(F19)),G19-F19,"")</f>
        <v/>
      </c>
      <c r="H28" s="18" t="str">
        <f aca="false">IF(AND(ISNUMBER(H19),ISNUMBER(G19)),H19-G19,"")</f>
        <v/>
      </c>
      <c r="I28" s="18" t="str">
        <f aca="false">IF(AND(ISNUMBER(I19),ISNUMBER(H19)),I19-H19,"")</f>
        <v/>
      </c>
      <c r="J28" s="18" t="str">
        <f aca="false">IF(AND(ISNUMBER(J19),ISNUMBER(I19)),J19-I19,"")</f>
        <v/>
      </c>
      <c r="K28" s="18" t="str">
        <f aca="false">IF(AND(ISNUMBER(K19),ISNUMBER(J19)),K19-J19,"")</f>
        <v/>
      </c>
      <c r="L28" s="18" t="str">
        <f aca="false">IF(AND(ISNUMBER(L19),ISNUMBER(K19)),L19-K19,"")</f>
        <v/>
      </c>
      <c r="M28" s="18" t="str">
        <f aca="false">IF(AND(ISNUMBER(M19),ISNUMBER(L19)),M19-L19,"")</f>
        <v/>
      </c>
      <c r="N28" s="18" t="str">
        <f aca="false">IF(AND(ISNUMBER(N19),ISNUMBER(M19)),N19-M19,"")</f>
        <v/>
      </c>
      <c r="O28" s="18" t="str">
        <f aca="false">IF(AND(ISNUMBER(O19),ISNUMBER(N19)),O19-N19,"")</f>
        <v/>
      </c>
      <c r="P28" s="18" t="n">
        <f aca="false">IF(AND(ISNUMBER(P19),ISNUMBER(O19)),P19-O19,"")</f>
        <v>120000</v>
      </c>
      <c r="Q28" s="18" t="n">
        <f aca="false">IF(AND(ISNUMBER(Q19),ISNUMBER(P19)),Q19-P19,"")</f>
        <v>120000</v>
      </c>
      <c r="R28" s="18" t="n">
        <f aca="false">IF(AND(ISNUMBER(R19),ISNUMBER(Q19)),R19-Q19,"")</f>
        <v>120000</v>
      </c>
      <c r="S28" s="18" t="n">
        <f aca="false">IF(AND(ISNUMBER(S19),ISNUMBER(R19)),S19-R19,"")</f>
        <v>66000</v>
      </c>
      <c r="T28" s="25" t="s">
        <v>196</v>
      </c>
      <c r="U28" s="25"/>
      <c r="V28" s="25"/>
    </row>
    <row r="29" customFormat="false" ht="24.75" hidden="false" customHeight="true" outlineLevel="0" collapsed="false">
      <c r="A29" s="10" t="s">
        <v>197</v>
      </c>
      <c r="B29" s="29" t="s">
        <v>189</v>
      </c>
      <c r="C29" s="31"/>
      <c r="D29" s="31"/>
      <c r="E29" s="31"/>
      <c r="F29" s="31"/>
      <c r="G29" s="31"/>
      <c r="H29" s="31"/>
      <c r="I29" s="31"/>
      <c r="J29" s="31"/>
      <c r="K29" s="31"/>
      <c r="L29" s="31"/>
      <c r="M29" s="31"/>
      <c r="N29" s="31"/>
      <c r="O29" s="31"/>
      <c r="P29" s="31"/>
      <c r="Q29" s="31"/>
      <c r="R29" s="31"/>
      <c r="S29" s="31"/>
      <c r="T29" s="25" t="s">
        <v>691</v>
      </c>
      <c r="U29" s="25"/>
      <c r="V29" s="25"/>
    </row>
    <row r="30" customFormat="false" ht="24.75" hidden="false" customHeight="true" outlineLevel="0" collapsed="false">
      <c r="A30" s="10" t="s">
        <v>199</v>
      </c>
      <c r="B30" s="29"/>
      <c r="C30" s="29" t="s">
        <v>692</v>
      </c>
      <c r="D30" s="29"/>
      <c r="E30" s="29"/>
      <c r="F30" s="29"/>
      <c r="G30" s="29"/>
      <c r="H30" s="29"/>
      <c r="I30" s="29"/>
      <c r="J30" s="29"/>
      <c r="K30" s="29"/>
      <c r="L30" s="29"/>
      <c r="M30" s="29" t="s">
        <v>693</v>
      </c>
      <c r="N30" s="29"/>
      <c r="O30" s="29" t="s">
        <v>694</v>
      </c>
      <c r="P30" s="29" t="s">
        <v>695</v>
      </c>
      <c r="Q30" s="29" t="s">
        <v>693</v>
      </c>
      <c r="R30" s="29" t="s">
        <v>696</v>
      </c>
      <c r="S30" s="29" t="s">
        <v>697</v>
      </c>
      <c r="T30" s="25"/>
      <c r="U30" s="25"/>
      <c r="V30" s="25"/>
    </row>
    <row r="31" customFormat="false" ht="46.5" hidden="false" customHeight="true" outlineLevel="0" collapsed="false">
      <c r="A31" s="10" t="s">
        <v>216</v>
      </c>
      <c r="B31" s="29"/>
      <c r="C31" s="25" t="s">
        <v>698</v>
      </c>
      <c r="D31" s="25"/>
      <c r="E31" s="25"/>
      <c r="F31" s="25"/>
      <c r="G31" s="25"/>
      <c r="H31" s="25"/>
      <c r="I31" s="25"/>
      <c r="J31" s="25"/>
      <c r="K31" s="25"/>
      <c r="L31" s="25"/>
      <c r="M31" s="25" t="s">
        <v>699</v>
      </c>
      <c r="N31" s="25"/>
      <c r="O31" s="25" t="s">
        <v>700</v>
      </c>
      <c r="P31" s="25" t="s">
        <v>701</v>
      </c>
      <c r="Q31" s="25" t="s">
        <v>702</v>
      </c>
      <c r="R31" s="25" t="s">
        <v>703</v>
      </c>
      <c r="S31" s="25" t="s">
        <v>704</v>
      </c>
      <c r="T31" s="25"/>
      <c r="U31" s="25"/>
      <c r="V31" s="25"/>
    </row>
    <row r="33" customFormat="false" ht="18" hidden="false" customHeight="true" outlineLevel="0" collapsed="false">
      <c r="A33" s="6" t="s">
        <v>233</v>
      </c>
      <c r="B33" s="6"/>
      <c r="C33" s="6"/>
      <c r="D33" s="6"/>
      <c r="E33" s="6"/>
      <c r="F33" s="6"/>
      <c r="G33" s="6"/>
      <c r="H33" s="6"/>
      <c r="I33" s="6"/>
      <c r="J33" s="6"/>
      <c r="K33" s="6"/>
      <c r="L33" s="6"/>
      <c r="M33" s="6"/>
      <c r="N33" s="6"/>
      <c r="O33" s="6"/>
      <c r="P33" s="6"/>
      <c r="Q33" s="6"/>
      <c r="R33" s="6"/>
      <c r="S33" s="6"/>
      <c r="T33" s="6"/>
      <c r="U33" s="6"/>
      <c r="V33" s="6"/>
    </row>
    <row r="34" customFormat="false" ht="15" hidden="false" customHeight="true" outlineLevel="0" collapsed="false">
      <c r="A34" s="8" t="s">
        <v>234</v>
      </c>
      <c r="B34" s="9" t="s">
        <v>170</v>
      </c>
      <c r="C34" s="9" t="s">
        <v>71</v>
      </c>
      <c r="D34" s="9" t="s">
        <v>72</v>
      </c>
      <c r="E34" s="9" t="s">
        <v>73</v>
      </c>
      <c r="F34" s="9" t="s">
        <v>74</v>
      </c>
      <c r="G34" s="9" t="s">
        <v>75</v>
      </c>
      <c r="H34" s="9" t="s">
        <v>76</v>
      </c>
      <c r="I34" s="9" t="s">
        <v>77</v>
      </c>
      <c r="J34" s="9" t="s">
        <v>78</v>
      </c>
      <c r="K34" s="9" t="s">
        <v>79</v>
      </c>
      <c r="L34" s="9" t="s">
        <v>80</v>
      </c>
      <c r="M34" s="9" t="s">
        <v>81</v>
      </c>
      <c r="N34" s="9" t="s">
        <v>82</v>
      </c>
      <c r="O34" s="9" t="s">
        <v>83</v>
      </c>
      <c r="P34" s="9" t="s">
        <v>84</v>
      </c>
      <c r="Q34" s="9" t="s">
        <v>85</v>
      </c>
      <c r="R34" s="9" t="s">
        <v>86</v>
      </c>
      <c r="S34" s="9" t="s">
        <v>87</v>
      </c>
      <c r="T34" s="8" t="s">
        <v>235</v>
      </c>
      <c r="U34" s="8"/>
      <c r="V34" s="8"/>
    </row>
    <row r="35" customFormat="false" ht="15" hidden="false" customHeight="true" outlineLevel="0" collapsed="false">
      <c r="A35" s="10" t="s">
        <v>705</v>
      </c>
      <c r="B35" s="29" t="s">
        <v>706</v>
      </c>
      <c r="C35" s="32"/>
      <c r="D35" s="32"/>
      <c r="E35" s="32"/>
      <c r="F35" s="32"/>
      <c r="G35" s="32"/>
      <c r="H35" s="32"/>
      <c r="I35" s="32"/>
      <c r="J35" s="32"/>
      <c r="K35" s="32"/>
      <c r="L35" s="32"/>
      <c r="M35" s="30" t="n">
        <v>19000</v>
      </c>
      <c r="N35" s="32"/>
      <c r="O35" s="30" t="n">
        <v>29000</v>
      </c>
      <c r="P35" s="30" t="n">
        <v>39000</v>
      </c>
      <c r="Q35" s="30" t="n">
        <v>49000</v>
      </c>
      <c r="R35" s="30" t="n">
        <v>59000</v>
      </c>
      <c r="S35" s="30" t="n">
        <v>64500</v>
      </c>
      <c r="T35" s="25" t="s">
        <v>707</v>
      </c>
      <c r="U35" s="25"/>
      <c r="V35" s="25"/>
    </row>
    <row r="36" customFormat="false" ht="15" hidden="false" customHeight="true" outlineLevel="0" collapsed="false">
      <c r="A36" s="10" t="s">
        <v>708</v>
      </c>
      <c r="B36" s="29" t="s">
        <v>706</v>
      </c>
      <c r="C36" s="32"/>
      <c r="D36" s="32"/>
      <c r="E36" s="32"/>
      <c r="F36" s="32"/>
      <c r="G36" s="32"/>
      <c r="H36" s="32"/>
      <c r="I36" s="32"/>
      <c r="J36" s="32"/>
      <c r="K36" s="32"/>
      <c r="L36" s="32"/>
      <c r="M36" s="32"/>
      <c r="N36" s="32"/>
      <c r="O36" s="32"/>
      <c r="P36" s="32"/>
      <c r="Q36" s="32"/>
      <c r="R36" s="30" t="n">
        <v>54000</v>
      </c>
      <c r="S36" s="30" t="n">
        <v>56500</v>
      </c>
      <c r="T36" s="25" t="s">
        <v>709</v>
      </c>
      <c r="U36" s="25"/>
      <c r="V36" s="25"/>
    </row>
    <row r="37" customFormat="false" ht="15" hidden="false" customHeight="true" outlineLevel="0" collapsed="false">
      <c r="A37" s="10" t="s">
        <v>710</v>
      </c>
      <c r="B37" s="29" t="s">
        <v>706</v>
      </c>
      <c r="C37" s="32"/>
      <c r="D37" s="32"/>
      <c r="E37" s="32"/>
      <c r="F37" s="32"/>
      <c r="G37" s="32"/>
      <c r="H37" s="32"/>
      <c r="I37" s="32"/>
      <c r="J37" s="32"/>
      <c r="K37" s="32"/>
      <c r="L37" s="32"/>
      <c r="M37" s="32"/>
      <c r="N37" s="32"/>
      <c r="O37" s="32"/>
      <c r="P37" s="32"/>
      <c r="Q37" s="32"/>
      <c r="R37" s="30" t="n">
        <v>5000</v>
      </c>
      <c r="S37" s="30" t="n">
        <v>8000</v>
      </c>
      <c r="T37" s="25" t="s">
        <v>711</v>
      </c>
      <c r="U37" s="25"/>
      <c r="V37" s="25"/>
    </row>
    <row r="38" customFormat="false" ht="15" hidden="false" customHeight="true" outlineLevel="0" collapsed="false">
      <c r="A38" s="10" t="s">
        <v>712</v>
      </c>
      <c r="B38" s="29" t="s">
        <v>706</v>
      </c>
      <c r="C38" s="32"/>
      <c r="D38" s="32"/>
      <c r="E38" s="32"/>
      <c r="F38" s="32"/>
      <c r="G38" s="32"/>
      <c r="H38" s="32"/>
      <c r="I38" s="32"/>
      <c r="J38" s="32"/>
      <c r="K38" s="32"/>
      <c r="L38" s="32"/>
      <c r="M38" s="32"/>
      <c r="N38" s="32"/>
      <c r="O38" s="32"/>
      <c r="P38" s="32"/>
      <c r="Q38" s="32"/>
      <c r="R38" s="30" t="n">
        <v>64000</v>
      </c>
      <c r="S38" s="30" t="n">
        <v>72000</v>
      </c>
      <c r="T38" s="25" t="s">
        <v>713</v>
      </c>
      <c r="U38" s="25"/>
      <c r="V38" s="25"/>
    </row>
    <row r="39" customFormat="false" ht="15" hidden="false" customHeight="true" outlineLevel="0" collapsed="false">
      <c r="A39" s="10" t="s">
        <v>714</v>
      </c>
      <c r="B39" s="29" t="s">
        <v>173</v>
      </c>
      <c r="C39" s="30" t="n">
        <v>300000</v>
      </c>
      <c r="D39" s="32"/>
      <c r="E39" s="32"/>
      <c r="F39" s="32"/>
      <c r="G39" s="32"/>
      <c r="H39" s="32"/>
      <c r="I39" s="32"/>
      <c r="J39" s="32"/>
      <c r="K39" s="32"/>
      <c r="L39" s="32"/>
      <c r="M39" s="30" t="n">
        <v>320000</v>
      </c>
      <c r="N39" s="32"/>
      <c r="O39" s="32"/>
      <c r="P39" s="32"/>
      <c r="Q39" s="32"/>
      <c r="R39" s="32"/>
      <c r="S39" s="32"/>
      <c r="T39" s="25" t="s">
        <v>715</v>
      </c>
      <c r="U39" s="25"/>
      <c r="V39" s="25"/>
    </row>
    <row r="41" customFormat="false" ht="18" hidden="false" customHeight="true" outlineLevel="0" collapsed="false">
      <c r="A41" s="6" t="s">
        <v>249</v>
      </c>
      <c r="B41" s="6"/>
      <c r="C41" s="6"/>
      <c r="D41" s="6"/>
      <c r="E41" s="6"/>
      <c r="F41" s="6"/>
      <c r="G41" s="6"/>
      <c r="H41" s="6"/>
      <c r="I41" s="6"/>
      <c r="J41" s="6"/>
      <c r="K41" s="6"/>
      <c r="L41" s="6"/>
      <c r="M41" s="6"/>
      <c r="N41" s="6"/>
      <c r="O41" s="6"/>
      <c r="P41" s="6"/>
      <c r="Q41" s="6"/>
      <c r="R41" s="6"/>
      <c r="S41" s="6"/>
      <c r="T41" s="6"/>
      <c r="U41" s="6"/>
      <c r="V41" s="6"/>
    </row>
    <row r="42" customFormat="false" ht="40.5" hidden="false" customHeight="true" outlineLevel="0" collapsed="false">
      <c r="A42" s="9" t="s">
        <v>250</v>
      </c>
      <c r="B42" s="9" t="s">
        <v>251</v>
      </c>
      <c r="C42" s="9"/>
      <c r="D42" s="9" t="s">
        <v>252</v>
      </c>
      <c r="E42" s="9"/>
      <c r="F42" s="9" t="s">
        <v>253</v>
      </c>
      <c r="G42" s="9" t="s">
        <v>254</v>
      </c>
      <c r="H42" s="9"/>
      <c r="I42" s="9" t="s">
        <v>255</v>
      </c>
      <c r="J42" s="9"/>
      <c r="K42" s="9"/>
      <c r="L42" s="9"/>
      <c r="M42" s="9" t="s">
        <v>256</v>
      </c>
      <c r="N42" s="9"/>
      <c r="O42" s="9" t="s">
        <v>257</v>
      </c>
      <c r="P42" s="9" t="s">
        <v>258</v>
      </c>
      <c r="Q42" s="9" t="s">
        <v>110</v>
      </c>
      <c r="R42" s="9" t="s">
        <v>259</v>
      </c>
      <c r="S42" s="9" t="s">
        <v>171</v>
      </c>
      <c r="T42" s="9"/>
      <c r="U42" s="9"/>
      <c r="V42" s="9" t="s">
        <v>260</v>
      </c>
    </row>
    <row r="43" customFormat="false" ht="52.5" hidden="false" customHeight="true" outlineLevel="0" collapsed="false">
      <c r="A43" s="10" t="s">
        <v>716</v>
      </c>
      <c r="B43" s="5" t="s">
        <v>717</v>
      </c>
      <c r="C43" s="5"/>
      <c r="D43" s="5" t="s">
        <v>718</v>
      </c>
      <c r="E43" s="5"/>
      <c r="F43" s="5" t="s">
        <v>719</v>
      </c>
      <c r="G43" s="5" t="s">
        <v>720</v>
      </c>
      <c r="H43" s="5"/>
      <c r="I43" s="5" t="s">
        <v>721</v>
      </c>
      <c r="J43" s="5"/>
      <c r="K43" s="5"/>
      <c r="L43" s="5"/>
      <c r="M43" s="5" t="s">
        <v>722</v>
      </c>
      <c r="N43" s="5"/>
      <c r="O43" s="30" t="n">
        <v>300000</v>
      </c>
      <c r="P43" s="30" t="n">
        <v>320000</v>
      </c>
      <c r="Q43" s="5" t="s">
        <v>723</v>
      </c>
      <c r="R43" s="5" t="s">
        <v>724</v>
      </c>
      <c r="S43" s="5" t="s">
        <v>725</v>
      </c>
      <c r="T43" s="5"/>
      <c r="U43" s="5"/>
      <c r="V43" s="5" t="s">
        <v>726</v>
      </c>
    </row>
    <row r="44" customFormat="false" ht="27.75" hidden="false" customHeight="true" outlineLevel="0" collapsed="false">
      <c r="A44" s="10" t="s">
        <v>727</v>
      </c>
      <c r="B44" s="5" t="s">
        <v>728</v>
      </c>
      <c r="C44" s="5"/>
      <c r="D44" s="5" t="s">
        <v>93</v>
      </c>
      <c r="E44" s="5"/>
      <c r="F44" s="5" t="s">
        <v>729</v>
      </c>
      <c r="G44" s="5" t="s">
        <v>730</v>
      </c>
      <c r="H44" s="5"/>
      <c r="I44" s="5" t="s">
        <v>731</v>
      </c>
      <c r="J44" s="5"/>
      <c r="K44" s="5"/>
      <c r="L44" s="5"/>
      <c r="M44" s="5" t="s">
        <v>732</v>
      </c>
      <c r="N44" s="5"/>
      <c r="O44" s="5"/>
      <c r="P44" s="5" t="s">
        <v>121</v>
      </c>
      <c r="Q44" s="5" t="s">
        <v>301</v>
      </c>
      <c r="R44" s="5" t="s">
        <v>277</v>
      </c>
      <c r="S44" s="5" t="s">
        <v>733</v>
      </c>
      <c r="T44" s="5"/>
      <c r="U44" s="5"/>
      <c r="V44" s="5" t="s">
        <v>734</v>
      </c>
    </row>
    <row r="45" customFormat="false" ht="40.5" hidden="false" customHeight="true" outlineLevel="0" collapsed="false">
      <c r="A45" s="10" t="s">
        <v>735</v>
      </c>
      <c r="B45" s="5" t="s">
        <v>728</v>
      </c>
      <c r="C45" s="5"/>
      <c r="D45" s="5" t="s">
        <v>93</v>
      </c>
      <c r="E45" s="5"/>
      <c r="F45" s="5" t="s">
        <v>121</v>
      </c>
      <c r="G45" s="5" t="s">
        <v>435</v>
      </c>
      <c r="H45" s="5"/>
      <c r="I45" s="5" t="s">
        <v>736</v>
      </c>
      <c r="J45" s="5"/>
      <c r="K45" s="5"/>
      <c r="L45" s="5"/>
      <c r="M45" s="5" t="s">
        <v>301</v>
      </c>
      <c r="N45" s="5"/>
      <c r="O45" s="5" t="s">
        <v>737</v>
      </c>
      <c r="P45" s="5" t="s">
        <v>738</v>
      </c>
      <c r="Q45" s="5" t="s">
        <v>121</v>
      </c>
      <c r="R45" s="5" t="s">
        <v>277</v>
      </c>
      <c r="S45" s="5" t="s">
        <v>739</v>
      </c>
      <c r="T45" s="5"/>
      <c r="U45" s="5"/>
      <c r="V45" s="5" t="s">
        <v>740</v>
      </c>
    </row>
    <row r="46" customFormat="false" ht="27.75" hidden="false" customHeight="true" outlineLevel="0" collapsed="false">
      <c r="A46" s="10" t="s">
        <v>741</v>
      </c>
      <c r="B46" s="5" t="s">
        <v>742</v>
      </c>
      <c r="C46" s="5"/>
      <c r="D46" s="5" t="s">
        <v>743</v>
      </c>
      <c r="E46" s="5"/>
      <c r="F46" s="5" t="s">
        <v>744</v>
      </c>
      <c r="G46" s="5" t="s">
        <v>745</v>
      </c>
      <c r="H46" s="5"/>
      <c r="I46" s="5" t="s">
        <v>746</v>
      </c>
      <c r="J46" s="5"/>
      <c r="K46" s="5"/>
      <c r="L46" s="5"/>
      <c r="M46" s="5" t="s">
        <v>747</v>
      </c>
      <c r="N46" s="5"/>
      <c r="O46" s="5"/>
      <c r="P46" s="5" t="s">
        <v>121</v>
      </c>
      <c r="Q46" s="5" t="s">
        <v>301</v>
      </c>
      <c r="R46" s="5" t="s">
        <v>277</v>
      </c>
      <c r="S46" s="5" t="s">
        <v>748</v>
      </c>
      <c r="T46" s="5"/>
      <c r="U46" s="5"/>
      <c r="V46" s="5" t="s">
        <v>749</v>
      </c>
    </row>
    <row r="47" customFormat="false" ht="15" hidden="false" customHeight="true" outlineLevel="0" collapsed="false">
      <c r="A47" s="10" t="s">
        <v>750</v>
      </c>
      <c r="B47" s="5" t="s">
        <v>751</v>
      </c>
      <c r="C47" s="5"/>
      <c r="D47" s="5" t="s">
        <v>752</v>
      </c>
      <c r="E47" s="5"/>
      <c r="F47" s="5" t="s">
        <v>121</v>
      </c>
      <c r="G47" s="5" t="s">
        <v>753</v>
      </c>
      <c r="H47" s="5"/>
      <c r="I47" s="5" t="s">
        <v>121</v>
      </c>
      <c r="J47" s="5"/>
      <c r="K47" s="5"/>
      <c r="L47" s="5"/>
      <c r="M47" s="5" t="s">
        <v>301</v>
      </c>
      <c r="N47" s="5"/>
      <c r="O47" s="5"/>
      <c r="P47" s="5" t="s">
        <v>121</v>
      </c>
      <c r="Q47" s="5" t="s">
        <v>301</v>
      </c>
      <c r="R47" s="5" t="s">
        <v>277</v>
      </c>
      <c r="S47" s="5" t="s">
        <v>748</v>
      </c>
      <c r="T47" s="5"/>
      <c r="U47" s="5"/>
      <c r="V47" s="5" t="s">
        <v>749</v>
      </c>
    </row>
    <row r="48" customFormat="false" ht="27.75" hidden="false" customHeight="true" outlineLevel="0" collapsed="false">
      <c r="A48" s="10" t="s">
        <v>754</v>
      </c>
      <c r="B48" s="5" t="s">
        <v>755</v>
      </c>
      <c r="C48" s="5"/>
      <c r="D48" s="5" t="s">
        <v>93</v>
      </c>
      <c r="E48" s="5"/>
      <c r="F48" s="5" t="s">
        <v>756</v>
      </c>
      <c r="G48" s="5" t="s">
        <v>757</v>
      </c>
      <c r="H48" s="5"/>
      <c r="I48" s="5" t="s">
        <v>121</v>
      </c>
      <c r="J48" s="5"/>
      <c r="K48" s="5"/>
      <c r="L48" s="5"/>
      <c r="M48" s="5" t="s">
        <v>301</v>
      </c>
      <c r="N48" s="5"/>
      <c r="O48" s="5"/>
      <c r="P48" s="5" t="s">
        <v>121</v>
      </c>
      <c r="Q48" s="5" t="s">
        <v>301</v>
      </c>
      <c r="R48" s="5" t="s">
        <v>277</v>
      </c>
      <c r="S48" s="5" t="s">
        <v>758</v>
      </c>
      <c r="T48" s="5"/>
      <c r="U48" s="5"/>
      <c r="V48" s="5" t="s">
        <v>759</v>
      </c>
    </row>
    <row r="49" customFormat="false" ht="52.5" hidden="false" customHeight="true" outlineLevel="0" collapsed="false">
      <c r="A49" s="10" t="s">
        <v>760</v>
      </c>
      <c r="B49" s="5" t="s">
        <v>761</v>
      </c>
      <c r="C49" s="5"/>
      <c r="D49" s="5" t="s">
        <v>93</v>
      </c>
      <c r="E49" s="5"/>
      <c r="F49" s="5" t="s">
        <v>762</v>
      </c>
      <c r="G49" s="5" t="s">
        <v>763</v>
      </c>
      <c r="H49" s="5"/>
      <c r="I49" s="5" t="s">
        <v>301</v>
      </c>
      <c r="J49" s="5"/>
      <c r="K49" s="5"/>
      <c r="L49" s="5"/>
      <c r="M49" s="5" t="s">
        <v>764</v>
      </c>
      <c r="N49" s="5"/>
      <c r="O49" s="5"/>
      <c r="P49" s="5" t="s">
        <v>765</v>
      </c>
      <c r="Q49" s="5" t="s">
        <v>766</v>
      </c>
      <c r="R49" s="5" t="s">
        <v>341</v>
      </c>
      <c r="S49" s="5" t="s">
        <v>767</v>
      </c>
      <c r="T49" s="5"/>
      <c r="U49" s="5"/>
      <c r="V49" s="5" t="s">
        <v>768</v>
      </c>
    </row>
    <row r="51" customFormat="false" ht="18" hidden="false" customHeight="true" outlineLevel="0" collapsed="false">
      <c r="A51" s="6" t="s">
        <v>316</v>
      </c>
      <c r="B51" s="6"/>
      <c r="C51" s="6"/>
      <c r="D51" s="6"/>
      <c r="E51" s="6"/>
      <c r="F51" s="6"/>
      <c r="G51" s="6"/>
      <c r="H51" s="6"/>
      <c r="I51" s="6"/>
      <c r="J51" s="6"/>
      <c r="K51" s="6"/>
      <c r="L51" s="6"/>
      <c r="M51" s="6"/>
      <c r="N51" s="6"/>
      <c r="O51" s="6"/>
      <c r="P51" s="6"/>
      <c r="Q51" s="6"/>
      <c r="R51" s="6"/>
      <c r="S51" s="6"/>
      <c r="T51" s="6"/>
      <c r="U51" s="6"/>
      <c r="V51" s="6"/>
    </row>
    <row r="52" customFormat="false" ht="40.5" hidden="false" customHeight="true" outlineLevel="0" collapsed="false">
      <c r="A52" s="9" t="s">
        <v>317</v>
      </c>
      <c r="B52" s="9" t="s">
        <v>318</v>
      </c>
      <c r="C52" s="9" t="s">
        <v>319</v>
      </c>
      <c r="D52" s="9" t="s">
        <v>320</v>
      </c>
      <c r="E52" s="9"/>
      <c r="F52" s="9" t="s">
        <v>250</v>
      </c>
      <c r="G52" s="9"/>
      <c r="H52" s="9" t="s">
        <v>321</v>
      </c>
      <c r="I52" s="9" t="s">
        <v>322</v>
      </c>
      <c r="J52" s="9" t="s">
        <v>323</v>
      </c>
      <c r="K52" s="9" t="s">
        <v>324</v>
      </c>
      <c r="L52" s="9" t="s">
        <v>259</v>
      </c>
      <c r="M52" s="9"/>
      <c r="N52" s="9" t="s">
        <v>171</v>
      </c>
      <c r="O52" s="9"/>
      <c r="P52" s="9"/>
      <c r="Q52" s="9"/>
      <c r="R52" s="9"/>
      <c r="S52" s="9"/>
      <c r="T52" s="9"/>
      <c r="U52" s="9"/>
      <c r="V52" s="9" t="s">
        <v>325</v>
      </c>
    </row>
    <row r="53" customFormat="false" ht="15" hidden="false" customHeight="true" outlineLevel="0" collapsed="false">
      <c r="A53" s="10" t="s">
        <v>769</v>
      </c>
      <c r="B53" s="5" t="s">
        <v>744</v>
      </c>
      <c r="C53" s="5" t="s">
        <v>770</v>
      </c>
      <c r="D53" s="5" t="s">
        <v>328</v>
      </c>
      <c r="E53" s="5"/>
      <c r="F53" s="5" t="s">
        <v>741</v>
      </c>
      <c r="G53" s="5"/>
      <c r="H53" s="5"/>
      <c r="I53" s="5"/>
      <c r="J53" s="5"/>
      <c r="K53" s="5"/>
      <c r="L53" s="5" t="s">
        <v>329</v>
      </c>
      <c r="M53" s="5"/>
      <c r="N53" s="5" t="s">
        <v>771</v>
      </c>
      <c r="O53" s="5"/>
      <c r="P53" s="5"/>
      <c r="Q53" s="5"/>
      <c r="R53" s="5"/>
      <c r="S53" s="5"/>
      <c r="T53" s="5"/>
      <c r="U53" s="5"/>
      <c r="V53" s="5" t="s">
        <v>772</v>
      </c>
    </row>
    <row r="54" customFormat="false" ht="15" hidden="false" customHeight="true" outlineLevel="0" collapsed="false">
      <c r="A54" s="10" t="s">
        <v>773</v>
      </c>
      <c r="B54" s="5" t="s">
        <v>774</v>
      </c>
      <c r="C54" s="5" t="s">
        <v>334</v>
      </c>
      <c r="D54" s="5" t="s">
        <v>775</v>
      </c>
      <c r="E54" s="5"/>
      <c r="F54" s="5" t="s">
        <v>776</v>
      </c>
      <c r="G54" s="5"/>
      <c r="H54" s="30" t="n">
        <v>70000</v>
      </c>
      <c r="I54" s="30" t="n">
        <v>150000</v>
      </c>
      <c r="J54" s="5"/>
      <c r="K54" s="30" t="n">
        <v>550</v>
      </c>
      <c r="L54" s="5" t="s">
        <v>341</v>
      </c>
      <c r="M54" s="5"/>
      <c r="N54" s="5" t="s">
        <v>777</v>
      </c>
      <c r="O54" s="5"/>
      <c r="P54" s="5"/>
      <c r="Q54" s="5"/>
      <c r="R54" s="5"/>
      <c r="S54" s="5"/>
      <c r="T54" s="5"/>
      <c r="U54" s="5"/>
      <c r="V54" s="5" t="s">
        <v>778</v>
      </c>
    </row>
    <row r="55" customFormat="false" ht="15" hidden="false" customHeight="true" outlineLevel="0" collapsed="false">
      <c r="A55" s="10" t="s">
        <v>779</v>
      </c>
      <c r="B55" s="5" t="s">
        <v>719</v>
      </c>
      <c r="C55" s="5" t="s">
        <v>71</v>
      </c>
      <c r="D55" s="5" t="s">
        <v>328</v>
      </c>
      <c r="E55" s="5"/>
      <c r="F55" s="5" t="s">
        <v>716</v>
      </c>
      <c r="G55" s="5"/>
      <c r="H55" s="30" t="n">
        <v>300000</v>
      </c>
      <c r="I55" s="30" t="n">
        <v>300000</v>
      </c>
      <c r="J55" s="5"/>
      <c r="K55" s="30" t="n">
        <v>4000</v>
      </c>
      <c r="L55" s="5" t="s">
        <v>329</v>
      </c>
      <c r="M55" s="5"/>
      <c r="N55" s="5" t="s">
        <v>780</v>
      </c>
      <c r="O55" s="5"/>
      <c r="P55" s="5"/>
      <c r="Q55" s="5"/>
      <c r="R55" s="5"/>
      <c r="S55" s="5"/>
      <c r="T55" s="5"/>
      <c r="U55" s="5"/>
      <c r="V55" s="5" t="s">
        <v>781</v>
      </c>
    </row>
    <row r="56" customFormat="false" ht="15" hidden="false" customHeight="true" outlineLevel="0" collapsed="false">
      <c r="A56" s="10" t="s">
        <v>782</v>
      </c>
      <c r="B56" s="5" t="s">
        <v>783</v>
      </c>
      <c r="C56" s="5" t="s">
        <v>81</v>
      </c>
      <c r="D56" s="5" t="s">
        <v>784</v>
      </c>
      <c r="E56" s="5"/>
      <c r="F56" s="5" t="s">
        <v>785</v>
      </c>
      <c r="G56" s="5"/>
      <c r="H56" s="5"/>
      <c r="I56" s="5"/>
      <c r="J56" s="30" t="n">
        <v>228000</v>
      </c>
      <c r="K56" s="5"/>
      <c r="L56" s="5" t="s">
        <v>786</v>
      </c>
      <c r="M56" s="5"/>
      <c r="N56" s="5" t="s">
        <v>787</v>
      </c>
      <c r="O56" s="5"/>
      <c r="P56" s="5"/>
      <c r="Q56" s="5"/>
      <c r="R56" s="5"/>
      <c r="S56" s="5"/>
      <c r="T56" s="5"/>
      <c r="U56" s="5"/>
      <c r="V56" s="5" t="s">
        <v>693</v>
      </c>
    </row>
    <row r="57" customFormat="false" ht="15" hidden="false" customHeight="true" outlineLevel="0" collapsed="false">
      <c r="A57" s="10" t="s">
        <v>788</v>
      </c>
      <c r="B57" s="5" t="s">
        <v>789</v>
      </c>
      <c r="C57" s="5" t="s">
        <v>84</v>
      </c>
      <c r="D57" s="5" t="s">
        <v>790</v>
      </c>
      <c r="E57" s="5"/>
      <c r="F57" s="5" t="s">
        <v>791</v>
      </c>
      <c r="G57" s="5"/>
      <c r="H57" s="5"/>
      <c r="I57" s="5"/>
      <c r="J57" s="5"/>
      <c r="K57" s="5"/>
      <c r="L57" s="5" t="s">
        <v>341</v>
      </c>
      <c r="M57" s="5"/>
      <c r="N57" s="5" t="s">
        <v>792</v>
      </c>
      <c r="O57" s="5"/>
      <c r="P57" s="5"/>
      <c r="Q57" s="5"/>
      <c r="R57" s="5"/>
      <c r="S57" s="5"/>
      <c r="T57" s="5"/>
      <c r="U57" s="5"/>
      <c r="V57" s="5" t="s">
        <v>793</v>
      </c>
    </row>
    <row r="58" customFormat="false" ht="15" hidden="false" customHeight="true" outlineLevel="0" collapsed="false">
      <c r="A58" s="10" t="s">
        <v>794</v>
      </c>
      <c r="B58" s="5" t="s">
        <v>795</v>
      </c>
      <c r="C58" s="5" t="s">
        <v>84</v>
      </c>
      <c r="D58" s="5" t="s">
        <v>606</v>
      </c>
      <c r="E58" s="5"/>
      <c r="F58" s="5" t="s">
        <v>791</v>
      </c>
      <c r="G58" s="5"/>
      <c r="H58" s="5"/>
      <c r="I58" s="5"/>
      <c r="J58" s="30" t="n">
        <v>468000</v>
      </c>
      <c r="K58" s="5"/>
      <c r="L58" s="5" t="s">
        <v>399</v>
      </c>
      <c r="M58" s="5"/>
      <c r="N58" s="5"/>
      <c r="O58" s="5"/>
      <c r="P58" s="5"/>
      <c r="Q58" s="5"/>
      <c r="R58" s="5"/>
      <c r="S58" s="5"/>
      <c r="T58" s="5"/>
      <c r="U58" s="5"/>
      <c r="V58" s="5" t="s">
        <v>796</v>
      </c>
    </row>
    <row r="59" customFormat="false" ht="15" hidden="false" customHeight="true" outlineLevel="0" collapsed="false">
      <c r="A59" s="10" t="s">
        <v>797</v>
      </c>
      <c r="B59" s="5" t="s">
        <v>798</v>
      </c>
      <c r="C59" s="5" t="s">
        <v>85</v>
      </c>
      <c r="D59" s="5" t="s">
        <v>606</v>
      </c>
      <c r="E59" s="5"/>
      <c r="F59" s="5" t="s">
        <v>791</v>
      </c>
      <c r="G59" s="5"/>
      <c r="H59" s="5"/>
      <c r="I59" s="5"/>
      <c r="J59" s="30" t="n">
        <v>588000</v>
      </c>
      <c r="K59" s="5"/>
      <c r="L59" s="5" t="s">
        <v>399</v>
      </c>
      <c r="M59" s="5"/>
      <c r="N59" s="5"/>
      <c r="O59" s="5"/>
      <c r="P59" s="5"/>
      <c r="Q59" s="5"/>
      <c r="R59" s="5"/>
      <c r="S59" s="5"/>
      <c r="T59" s="5"/>
      <c r="U59" s="5"/>
      <c r="V59" s="5" t="s">
        <v>693</v>
      </c>
    </row>
    <row r="60" customFormat="false" ht="15" hidden="false" customHeight="true" outlineLevel="0" collapsed="false">
      <c r="A60" s="10" t="s">
        <v>799</v>
      </c>
      <c r="B60" s="5" t="s">
        <v>800</v>
      </c>
      <c r="C60" s="5" t="s">
        <v>86</v>
      </c>
      <c r="D60" s="5" t="s">
        <v>801</v>
      </c>
      <c r="E60" s="5"/>
      <c r="F60" s="5" t="s">
        <v>716</v>
      </c>
      <c r="G60" s="5"/>
      <c r="H60" s="5"/>
      <c r="I60" s="5"/>
      <c r="J60" s="5"/>
      <c r="K60" s="5"/>
      <c r="L60" s="5" t="s">
        <v>341</v>
      </c>
      <c r="M60" s="5"/>
      <c r="N60" s="5" t="s">
        <v>802</v>
      </c>
      <c r="O60" s="5"/>
      <c r="P60" s="5"/>
      <c r="Q60" s="5"/>
      <c r="R60" s="5"/>
      <c r="S60" s="5"/>
      <c r="T60" s="5"/>
      <c r="U60" s="5"/>
      <c r="V60" s="5" t="s">
        <v>803</v>
      </c>
    </row>
    <row r="61" customFormat="false" ht="15" hidden="false" customHeight="true" outlineLevel="0" collapsed="false">
      <c r="A61" s="10" t="s">
        <v>804</v>
      </c>
      <c r="B61" s="5" t="s">
        <v>805</v>
      </c>
      <c r="C61" s="5" t="s">
        <v>86</v>
      </c>
      <c r="D61" s="5" t="s">
        <v>784</v>
      </c>
      <c r="E61" s="5"/>
      <c r="F61" s="5" t="s">
        <v>791</v>
      </c>
      <c r="G61" s="5"/>
      <c r="H61" s="5"/>
      <c r="I61" s="5"/>
      <c r="J61" s="30" t="n">
        <v>708000</v>
      </c>
      <c r="K61" s="5"/>
      <c r="L61" s="5" t="s">
        <v>786</v>
      </c>
      <c r="M61" s="5"/>
      <c r="N61" s="5" t="s">
        <v>806</v>
      </c>
      <c r="O61" s="5"/>
      <c r="P61" s="5"/>
      <c r="Q61" s="5"/>
      <c r="R61" s="5"/>
      <c r="S61" s="5"/>
      <c r="T61" s="5"/>
      <c r="U61" s="5"/>
      <c r="V61" s="5" t="s">
        <v>807</v>
      </c>
    </row>
    <row r="62" customFormat="false" ht="15" hidden="false" customHeight="true" outlineLevel="0" collapsed="false">
      <c r="A62" s="10" t="s">
        <v>808</v>
      </c>
      <c r="B62" s="5" t="s">
        <v>809</v>
      </c>
      <c r="C62" s="5" t="s">
        <v>87</v>
      </c>
      <c r="D62" s="5" t="s">
        <v>810</v>
      </c>
      <c r="E62" s="5"/>
      <c r="F62" s="5" t="s">
        <v>811</v>
      </c>
      <c r="G62" s="5"/>
      <c r="H62" s="30" t="n">
        <v>500000</v>
      </c>
      <c r="I62" s="5"/>
      <c r="J62" s="5"/>
      <c r="K62" s="30" t="n">
        <v>15000</v>
      </c>
      <c r="L62" s="5" t="s">
        <v>341</v>
      </c>
      <c r="M62" s="5"/>
      <c r="N62" s="5" t="s">
        <v>812</v>
      </c>
      <c r="O62" s="5"/>
      <c r="P62" s="5"/>
      <c r="Q62" s="5"/>
      <c r="R62" s="5"/>
      <c r="S62" s="5"/>
      <c r="T62" s="5"/>
      <c r="U62" s="5"/>
      <c r="V62" s="5" t="s">
        <v>813</v>
      </c>
    </row>
    <row r="63" customFormat="false" ht="15" hidden="false" customHeight="true" outlineLevel="0" collapsed="false">
      <c r="A63" s="10" t="s">
        <v>814</v>
      </c>
      <c r="B63" s="5" t="s">
        <v>303</v>
      </c>
      <c r="C63" s="5" t="s">
        <v>87</v>
      </c>
      <c r="D63" s="5" t="s">
        <v>784</v>
      </c>
      <c r="E63" s="5"/>
      <c r="F63" s="5" t="s">
        <v>791</v>
      </c>
      <c r="G63" s="5"/>
      <c r="H63" s="5"/>
      <c r="I63" s="5"/>
      <c r="J63" s="30" t="n">
        <v>774000</v>
      </c>
      <c r="K63" s="5"/>
      <c r="L63" s="5" t="s">
        <v>786</v>
      </c>
      <c r="M63" s="5"/>
      <c r="N63" s="5" t="s">
        <v>815</v>
      </c>
      <c r="O63" s="5"/>
      <c r="P63" s="5"/>
      <c r="Q63" s="5"/>
      <c r="R63" s="5"/>
      <c r="S63" s="5"/>
      <c r="T63" s="5"/>
      <c r="U63" s="5"/>
      <c r="V63" s="5" t="s">
        <v>816</v>
      </c>
    </row>
    <row r="65" customFormat="false" ht="18" hidden="false" customHeight="true" outlineLevel="0" collapsed="false">
      <c r="A65" s="6" t="s">
        <v>433</v>
      </c>
      <c r="B65" s="6"/>
      <c r="C65" s="6"/>
      <c r="D65" s="6"/>
      <c r="E65" s="6"/>
      <c r="F65" s="6"/>
      <c r="G65" s="6"/>
      <c r="H65" s="6"/>
      <c r="I65" s="6"/>
      <c r="J65" s="6"/>
      <c r="K65" s="6"/>
      <c r="L65" s="6"/>
      <c r="M65" s="6"/>
      <c r="N65" s="6"/>
      <c r="O65" s="6"/>
      <c r="P65" s="6"/>
      <c r="Q65" s="6"/>
      <c r="R65" s="6"/>
      <c r="S65" s="6"/>
      <c r="T65" s="6"/>
      <c r="U65" s="6"/>
      <c r="V65" s="6"/>
    </row>
    <row r="66" customFormat="false" ht="15" hidden="false" customHeight="true" outlineLevel="0" collapsed="false">
      <c r="A66" s="9" t="s">
        <v>434</v>
      </c>
      <c r="B66" s="9" t="s">
        <v>435</v>
      </c>
      <c r="C66" s="9"/>
      <c r="D66" s="9" t="s">
        <v>70</v>
      </c>
      <c r="E66" s="9"/>
      <c r="F66" s="9" t="s">
        <v>436</v>
      </c>
      <c r="G66" s="9"/>
      <c r="H66" s="9"/>
      <c r="I66" s="9"/>
      <c r="J66" s="9"/>
      <c r="K66" s="9"/>
      <c r="L66" s="9" t="s">
        <v>437</v>
      </c>
      <c r="M66" s="9"/>
      <c r="N66" s="9"/>
      <c r="O66" s="9" t="s">
        <v>438</v>
      </c>
      <c r="P66" s="9" t="s">
        <v>171</v>
      </c>
      <c r="Q66" s="9"/>
      <c r="R66" s="9"/>
      <c r="S66" s="9"/>
      <c r="T66" s="9"/>
      <c r="U66" s="9"/>
      <c r="V66" s="9" t="s">
        <v>260</v>
      </c>
    </row>
    <row r="67" customFormat="false" ht="15" hidden="false" customHeight="true" outlineLevel="0" collapsed="false">
      <c r="A67" s="10" t="s">
        <v>817</v>
      </c>
      <c r="B67" s="5" t="s">
        <v>461</v>
      </c>
      <c r="C67" s="5"/>
      <c r="D67" s="5" t="s">
        <v>818</v>
      </c>
      <c r="E67" s="5"/>
      <c r="F67" s="5" t="s">
        <v>819</v>
      </c>
      <c r="G67" s="5"/>
      <c r="H67" s="5"/>
      <c r="I67" s="5"/>
      <c r="J67" s="5"/>
      <c r="K67" s="5"/>
      <c r="L67" s="5" t="s">
        <v>716</v>
      </c>
      <c r="M67" s="5"/>
      <c r="N67" s="5"/>
      <c r="O67" s="5" t="s">
        <v>820</v>
      </c>
      <c r="P67" s="5"/>
      <c r="Q67" s="5"/>
      <c r="R67" s="5"/>
      <c r="S67" s="5"/>
      <c r="T67" s="5"/>
      <c r="U67" s="5"/>
      <c r="V67" s="5" t="s">
        <v>821</v>
      </c>
    </row>
    <row r="68" customFormat="false" ht="15" hidden="false" customHeight="true" outlineLevel="0" collapsed="false">
      <c r="A68" s="10" t="s">
        <v>822</v>
      </c>
      <c r="B68" s="5" t="s">
        <v>461</v>
      </c>
      <c r="C68" s="5"/>
      <c r="D68" s="5" t="s">
        <v>448</v>
      </c>
      <c r="E68" s="5"/>
      <c r="F68" s="5" t="s">
        <v>823</v>
      </c>
      <c r="G68" s="5"/>
      <c r="H68" s="5"/>
      <c r="I68" s="5"/>
      <c r="J68" s="5"/>
      <c r="K68" s="5"/>
      <c r="L68" s="5" t="s">
        <v>824</v>
      </c>
      <c r="M68" s="5"/>
      <c r="N68" s="5"/>
      <c r="O68" s="5" t="s">
        <v>825</v>
      </c>
      <c r="P68" s="5"/>
      <c r="Q68" s="5"/>
      <c r="R68" s="5"/>
      <c r="S68" s="5"/>
      <c r="T68" s="5"/>
      <c r="U68" s="5"/>
      <c r="V68" s="5" t="s">
        <v>658</v>
      </c>
    </row>
    <row r="69" customFormat="false" ht="15" hidden="false" customHeight="true" outlineLevel="0" collapsed="false">
      <c r="A69" s="10" t="s">
        <v>826</v>
      </c>
      <c r="B69" s="5" t="s">
        <v>827</v>
      </c>
      <c r="C69" s="5"/>
      <c r="D69" s="5" t="s">
        <v>828</v>
      </c>
      <c r="E69" s="5"/>
      <c r="F69" s="5" t="s">
        <v>829</v>
      </c>
      <c r="G69" s="5"/>
      <c r="H69" s="5"/>
      <c r="I69" s="5"/>
      <c r="J69" s="5"/>
      <c r="K69" s="5"/>
      <c r="L69" s="5" t="s">
        <v>830</v>
      </c>
      <c r="M69" s="5"/>
      <c r="N69" s="5"/>
      <c r="O69" s="5" t="s">
        <v>831</v>
      </c>
      <c r="P69" s="5"/>
      <c r="Q69" s="5"/>
      <c r="R69" s="5"/>
      <c r="S69" s="5"/>
      <c r="T69" s="5"/>
      <c r="U69" s="5"/>
      <c r="V69" s="5" t="s">
        <v>658</v>
      </c>
    </row>
    <row r="70" customFormat="false" ht="15" hidden="false" customHeight="true" outlineLevel="0" collapsed="false">
      <c r="A70" s="10" t="s">
        <v>832</v>
      </c>
      <c r="B70" s="5" t="s">
        <v>447</v>
      </c>
      <c r="C70" s="5"/>
      <c r="D70" s="5" t="s">
        <v>730</v>
      </c>
      <c r="E70" s="5"/>
      <c r="F70" s="5" t="s">
        <v>833</v>
      </c>
      <c r="G70" s="5"/>
      <c r="H70" s="5"/>
      <c r="I70" s="5"/>
      <c r="J70" s="5"/>
      <c r="K70" s="5"/>
      <c r="L70" s="5" t="s">
        <v>716</v>
      </c>
      <c r="M70" s="5"/>
      <c r="N70" s="5"/>
      <c r="O70" s="5" t="s">
        <v>641</v>
      </c>
      <c r="P70" s="5" t="s">
        <v>834</v>
      </c>
      <c r="Q70" s="5"/>
      <c r="R70" s="5"/>
      <c r="S70" s="5"/>
      <c r="T70" s="5"/>
      <c r="U70" s="5"/>
      <c r="V70" s="5" t="s">
        <v>835</v>
      </c>
    </row>
    <row r="71" customFormat="false" ht="15" hidden="false" customHeight="true" outlineLevel="0" collapsed="false">
      <c r="A71" s="10" t="s">
        <v>836</v>
      </c>
      <c r="B71" s="5" t="s">
        <v>837</v>
      </c>
      <c r="C71" s="5"/>
      <c r="D71" s="5" t="s">
        <v>838</v>
      </c>
      <c r="E71" s="5"/>
      <c r="F71" s="5" t="s">
        <v>839</v>
      </c>
      <c r="G71" s="5"/>
      <c r="H71" s="5"/>
      <c r="I71" s="5"/>
      <c r="J71" s="5"/>
      <c r="K71" s="5"/>
      <c r="L71" s="5" t="s">
        <v>840</v>
      </c>
      <c r="M71" s="5"/>
      <c r="N71" s="5"/>
      <c r="O71" s="5" t="s">
        <v>841</v>
      </c>
      <c r="P71" s="5" t="s">
        <v>834</v>
      </c>
      <c r="Q71" s="5"/>
      <c r="R71" s="5"/>
      <c r="S71" s="5"/>
      <c r="T71" s="5"/>
      <c r="U71" s="5"/>
      <c r="V71" s="5" t="s">
        <v>842</v>
      </c>
    </row>
    <row r="72" customFormat="false" ht="27.75" hidden="false" customHeight="true" outlineLevel="0" collapsed="false">
      <c r="A72" s="10" t="s">
        <v>843</v>
      </c>
      <c r="B72" s="5" t="s">
        <v>461</v>
      </c>
      <c r="C72" s="5"/>
      <c r="D72" s="5" t="s">
        <v>844</v>
      </c>
      <c r="E72" s="5"/>
      <c r="F72" s="5" t="s">
        <v>845</v>
      </c>
      <c r="G72" s="5"/>
      <c r="H72" s="5"/>
      <c r="I72" s="5"/>
      <c r="J72" s="5"/>
      <c r="K72" s="5"/>
      <c r="L72" s="5" t="s">
        <v>846</v>
      </c>
      <c r="M72" s="5"/>
      <c r="N72" s="5"/>
      <c r="O72" s="5" t="s">
        <v>301</v>
      </c>
      <c r="P72" s="5" t="s">
        <v>847</v>
      </c>
      <c r="Q72" s="5"/>
      <c r="R72" s="5"/>
      <c r="S72" s="5"/>
      <c r="T72" s="5"/>
      <c r="U72" s="5"/>
      <c r="V72" s="5" t="s">
        <v>848</v>
      </c>
    </row>
    <row r="74" customFormat="false" ht="18" hidden="false" customHeight="true" outlineLevel="0" collapsed="false">
      <c r="A74" s="6" t="s">
        <v>849</v>
      </c>
      <c r="B74" s="6"/>
      <c r="C74" s="6"/>
      <c r="D74" s="6"/>
      <c r="E74" s="6"/>
      <c r="F74" s="6"/>
      <c r="G74" s="6"/>
      <c r="H74" s="6"/>
      <c r="I74" s="6"/>
      <c r="J74" s="6"/>
      <c r="K74" s="6"/>
      <c r="L74" s="6"/>
      <c r="M74" s="6"/>
      <c r="N74" s="6"/>
      <c r="O74" s="6"/>
      <c r="P74" s="6"/>
      <c r="Q74" s="6"/>
      <c r="R74" s="6"/>
      <c r="S74" s="6"/>
      <c r="T74" s="6"/>
      <c r="U74" s="6"/>
      <c r="V74" s="6"/>
    </row>
    <row r="75" customFormat="false" ht="40.5" hidden="false" customHeight="true" outlineLevel="0" collapsed="false">
      <c r="A75" s="9" t="s">
        <v>850</v>
      </c>
      <c r="B75" s="9" t="s">
        <v>851</v>
      </c>
      <c r="C75" s="9"/>
      <c r="D75" s="9" t="s">
        <v>852</v>
      </c>
      <c r="E75" s="9" t="s">
        <v>853</v>
      </c>
      <c r="F75" s="9" t="s">
        <v>854</v>
      </c>
      <c r="G75" s="9"/>
      <c r="H75" s="9" t="s">
        <v>171</v>
      </c>
      <c r="I75" s="9"/>
      <c r="J75" s="9"/>
      <c r="K75" s="9"/>
      <c r="L75" s="9"/>
      <c r="M75" s="9"/>
      <c r="N75" s="9"/>
      <c r="O75" s="9"/>
      <c r="P75" s="9"/>
      <c r="Q75" s="9"/>
      <c r="R75" s="9"/>
      <c r="S75" s="9"/>
      <c r="T75" s="9"/>
      <c r="U75" s="9"/>
      <c r="V75" s="9" t="s">
        <v>325</v>
      </c>
    </row>
    <row r="76" customFormat="false" ht="15" hidden="false" customHeight="true" outlineLevel="0" collapsed="false">
      <c r="A76" s="10" t="s">
        <v>855</v>
      </c>
      <c r="B76" s="5" t="s">
        <v>121</v>
      </c>
      <c r="C76" s="5"/>
      <c r="D76" s="30" t="n">
        <v>4000</v>
      </c>
      <c r="E76" s="30" t="n">
        <v>6000</v>
      </c>
      <c r="F76" s="5" t="s">
        <v>856</v>
      </c>
      <c r="G76" s="5"/>
      <c r="H76" s="5"/>
      <c r="I76" s="5"/>
      <c r="J76" s="5"/>
      <c r="K76" s="5"/>
      <c r="L76" s="5"/>
      <c r="M76" s="5"/>
      <c r="N76" s="5"/>
      <c r="O76" s="5"/>
      <c r="P76" s="5"/>
      <c r="Q76" s="5"/>
      <c r="R76" s="5"/>
      <c r="S76" s="5"/>
      <c r="T76" s="5"/>
      <c r="U76" s="5"/>
      <c r="V76" s="5" t="s">
        <v>793</v>
      </c>
    </row>
    <row r="77" customFormat="false" ht="27.75" hidden="false" customHeight="true" outlineLevel="0" collapsed="false">
      <c r="A77" s="10" t="s">
        <v>857</v>
      </c>
      <c r="B77" s="5" t="s">
        <v>121</v>
      </c>
      <c r="C77" s="5"/>
      <c r="D77" s="30" t="n">
        <v>5000</v>
      </c>
      <c r="E77" s="30" t="n">
        <v>9500</v>
      </c>
      <c r="F77" s="5" t="s">
        <v>858</v>
      </c>
      <c r="G77" s="5"/>
      <c r="H77" s="5"/>
      <c r="I77" s="5"/>
      <c r="J77" s="5"/>
      <c r="K77" s="5"/>
      <c r="L77" s="5"/>
      <c r="M77" s="5"/>
      <c r="N77" s="5"/>
      <c r="O77" s="5"/>
      <c r="P77" s="5"/>
      <c r="Q77" s="5"/>
      <c r="R77" s="5"/>
      <c r="S77" s="5"/>
      <c r="T77" s="5"/>
      <c r="U77" s="5"/>
      <c r="V77" s="5" t="s">
        <v>793</v>
      </c>
    </row>
    <row r="78" customFormat="false" ht="15" hidden="false" customHeight="true" outlineLevel="0" collapsed="false">
      <c r="A78" s="10" t="s">
        <v>859</v>
      </c>
      <c r="B78" s="5" t="s">
        <v>860</v>
      </c>
      <c r="C78" s="5"/>
      <c r="D78" s="30" t="n">
        <v>6000</v>
      </c>
      <c r="E78" s="30" t="n">
        <v>10000</v>
      </c>
      <c r="F78" s="5" t="s">
        <v>861</v>
      </c>
      <c r="G78" s="5"/>
      <c r="H78" s="5"/>
      <c r="I78" s="5"/>
      <c r="J78" s="5"/>
      <c r="K78" s="5"/>
      <c r="L78" s="5"/>
      <c r="M78" s="5"/>
      <c r="N78" s="5"/>
      <c r="O78" s="5"/>
      <c r="P78" s="5"/>
      <c r="Q78" s="5"/>
      <c r="R78" s="5"/>
      <c r="S78" s="5"/>
      <c r="T78" s="5"/>
      <c r="U78" s="5"/>
      <c r="V78" s="5" t="s">
        <v>793</v>
      </c>
    </row>
    <row r="79" customFormat="false" ht="15" hidden="false" customHeight="true" outlineLevel="0" collapsed="false">
      <c r="A79" s="10" t="s">
        <v>862</v>
      </c>
      <c r="B79" s="5" t="s">
        <v>716</v>
      </c>
      <c r="C79" s="5"/>
      <c r="D79" s="30" t="n">
        <v>6000</v>
      </c>
      <c r="E79" s="30" t="n">
        <v>10000</v>
      </c>
      <c r="F79" s="5" t="s">
        <v>863</v>
      </c>
      <c r="G79" s="5"/>
      <c r="H79" s="5"/>
      <c r="I79" s="5"/>
      <c r="J79" s="5"/>
      <c r="K79" s="5"/>
      <c r="L79" s="5"/>
      <c r="M79" s="5"/>
      <c r="N79" s="5"/>
      <c r="O79" s="5"/>
      <c r="P79" s="5"/>
      <c r="Q79" s="5"/>
      <c r="R79" s="5"/>
      <c r="S79" s="5"/>
      <c r="T79" s="5"/>
      <c r="U79" s="5"/>
      <c r="V79" s="5" t="s">
        <v>793</v>
      </c>
    </row>
    <row r="80" customFormat="false" ht="27.75" hidden="false" customHeight="true" outlineLevel="0" collapsed="false">
      <c r="A80" s="10" t="s">
        <v>864</v>
      </c>
      <c r="B80" s="5" t="s">
        <v>121</v>
      </c>
      <c r="C80" s="5"/>
      <c r="D80" s="30" t="n">
        <v>9500</v>
      </c>
      <c r="E80" s="30" t="n">
        <v>11500</v>
      </c>
      <c r="F80" s="5" t="s">
        <v>865</v>
      </c>
      <c r="G80" s="5"/>
      <c r="H80" s="5" t="s">
        <v>866</v>
      </c>
      <c r="I80" s="5"/>
      <c r="J80" s="5"/>
      <c r="K80" s="5"/>
      <c r="L80" s="5"/>
      <c r="M80" s="5"/>
      <c r="N80" s="5"/>
      <c r="O80" s="5"/>
      <c r="P80" s="5"/>
      <c r="Q80" s="5"/>
      <c r="R80" s="5"/>
      <c r="S80" s="5"/>
      <c r="T80" s="5"/>
      <c r="U80" s="5"/>
      <c r="V80" s="5" t="s">
        <v>867</v>
      </c>
    </row>
    <row r="81" customFormat="false" ht="15" hidden="false" customHeight="true" outlineLevel="0" collapsed="false">
      <c r="A81" s="10" t="s">
        <v>868</v>
      </c>
      <c r="B81" s="5" t="s">
        <v>121</v>
      </c>
      <c r="C81" s="5"/>
      <c r="D81" s="30" t="n">
        <v>9500</v>
      </c>
      <c r="E81" s="30" t="n">
        <v>9500</v>
      </c>
      <c r="F81" s="5" t="s">
        <v>869</v>
      </c>
      <c r="G81" s="5"/>
      <c r="H81" s="5"/>
      <c r="I81" s="5"/>
      <c r="J81" s="5"/>
      <c r="K81" s="5"/>
      <c r="L81" s="5"/>
      <c r="M81" s="5"/>
      <c r="N81" s="5"/>
      <c r="O81" s="5"/>
      <c r="P81" s="5"/>
      <c r="Q81" s="5"/>
      <c r="R81" s="5"/>
      <c r="S81" s="5"/>
      <c r="T81" s="5"/>
      <c r="U81" s="5"/>
      <c r="V81" s="5" t="s">
        <v>870</v>
      </c>
    </row>
    <row r="82" customFormat="false" ht="15" hidden="false" customHeight="true" outlineLevel="0" collapsed="false">
      <c r="A82" s="10" t="s">
        <v>871</v>
      </c>
      <c r="B82" s="5" t="s">
        <v>121</v>
      </c>
      <c r="C82" s="5"/>
      <c r="D82" s="30" t="n">
        <v>5500</v>
      </c>
      <c r="E82" s="30" t="n">
        <v>5500</v>
      </c>
      <c r="F82" s="5" t="s">
        <v>869</v>
      </c>
      <c r="G82" s="5"/>
      <c r="H82" s="5"/>
      <c r="I82" s="5"/>
      <c r="J82" s="5"/>
      <c r="K82" s="5"/>
      <c r="L82" s="5"/>
      <c r="M82" s="5"/>
      <c r="N82" s="5"/>
      <c r="O82" s="5"/>
      <c r="P82" s="5"/>
      <c r="Q82" s="5"/>
      <c r="R82" s="5"/>
      <c r="S82" s="5"/>
      <c r="T82" s="5"/>
      <c r="U82" s="5"/>
      <c r="V82" s="5" t="s">
        <v>870</v>
      </c>
    </row>
    <row r="83" customFormat="false" ht="27.75" hidden="false" customHeight="true" outlineLevel="0" collapsed="false">
      <c r="A83" s="10" t="s">
        <v>872</v>
      </c>
      <c r="B83" s="5" t="s">
        <v>716</v>
      </c>
      <c r="C83" s="5"/>
      <c r="D83" s="30" t="n">
        <v>5000</v>
      </c>
      <c r="E83" s="30" t="n">
        <v>12000</v>
      </c>
      <c r="F83" s="5" t="s">
        <v>873</v>
      </c>
      <c r="G83" s="5"/>
      <c r="H83" s="5"/>
      <c r="I83" s="5"/>
      <c r="J83" s="5"/>
      <c r="K83" s="5"/>
      <c r="L83" s="5"/>
      <c r="M83" s="5"/>
      <c r="N83" s="5"/>
      <c r="O83" s="5"/>
      <c r="P83" s="5"/>
      <c r="Q83" s="5"/>
      <c r="R83" s="5"/>
      <c r="S83" s="5"/>
      <c r="T83" s="5"/>
      <c r="U83" s="5"/>
      <c r="V83" s="5" t="s">
        <v>874</v>
      </c>
    </row>
    <row r="85" customFormat="false" ht="18" hidden="false" customHeight="true" outlineLevel="0" collapsed="false">
      <c r="A85" s="6" t="s">
        <v>468</v>
      </c>
      <c r="B85" s="6"/>
      <c r="C85" s="6"/>
      <c r="D85" s="6"/>
      <c r="E85" s="6"/>
      <c r="F85" s="6"/>
      <c r="G85" s="6"/>
      <c r="H85" s="6"/>
      <c r="I85" s="6"/>
      <c r="J85" s="6"/>
      <c r="K85" s="6"/>
      <c r="L85" s="6"/>
      <c r="M85" s="6"/>
      <c r="N85" s="6"/>
      <c r="O85" s="6"/>
      <c r="P85" s="6"/>
      <c r="Q85" s="6"/>
      <c r="R85" s="6"/>
      <c r="S85" s="6"/>
      <c r="T85" s="6"/>
      <c r="U85" s="6"/>
      <c r="V85" s="6"/>
    </row>
    <row r="86" customFormat="false" ht="40.5" hidden="false" customHeight="true" outlineLevel="0" collapsed="false">
      <c r="A86" s="9" t="s">
        <v>469</v>
      </c>
      <c r="B86" s="9" t="s">
        <v>251</v>
      </c>
      <c r="C86" s="9"/>
      <c r="D86" s="9" t="s">
        <v>470</v>
      </c>
      <c r="E86" s="9" t="s">
        <v>471</v>
      </c>
      <c r="F86" s="9" t="s">
        <v>324</v>
      </c>
      <c r="G86" s="9" t="s">
        <v>472</v>
      </c>
      <c r="H86" s="9" t="s">
        <v>473</v>
      </c>
      <c r="I86" s="9"/>
      <c r="J86" s="9" t="s">
        <v>171</v>
      </c>
      <c r="K86" s="9"/>
      <c r="L86" s="9"/>
      <c r="M86" s="9"/>
      <c r="N86" s="9"/>
      <c r="O86" s="9"/>
      <c r="P86" s="9"/>
      <c r="Q86" s="9"/>
      <c r="R86" s="9"/>
      <c r="S86" s="9"/>
      <c r="T86" s="9"/>
      <c r="U86" s="9"/>
      <c r="V86" s="9" t="s">
        <v>325</v>
      </c>
    </row>
    <row r="87" customFormat="false" ht="27.75" hidden="false" customHeight="true" outlineLevel="0" collapsed="false">
      <c r="A87" s="10" t="s">
        <v>875</v>
      </c>
      <c r="B87" s="5" t="s">
        <v>876</v>
      </c>
      <c r="C87" s="5"/>
      <c r="D87" s="30" t="n">
        <f aca="false">3500*12</f>
        <v>42000</v>
      </c>
      <c r="E87" s="5" t="s">
        <v>877</v>
      </c>
      <c r="F87" s="5"/>
      <c r="G87" s="5" t="s">
        <v>477</v>
      </c>
      <c r="H87" s="5" t="s">
        <v>878</v>
      </c>
      <c r="I87" s="5"/>
      <c r="J87" s="5" t="s">
        <v>879</v>
      </c>
      <c r="K87" s="5"/>
      <c r="L87" s="5"/>
      <c r="M87" s="5"/>
      <c r="N87" s="5"/>
      <c r="O87" s="5"/>
      <c r="P87" s="5"/>
      <c r="Q87" s="5"/>
      <c r="R87" s="5"/>
      <c r="S87" s="5"/>
      <c r="T87" s="5"/>
      <c r="U87" s="5"/>
      <c r="V87" s="5" t="s">
        <v>880</v>
      </c>
    </row>
    <row r="88" customFormat="false" ht="27.75" hidden="false" customHeight="true" outlineLevel="0" collapsed="false">
      <c r="A88" s="10" t="s">
        <v>881</v>
      </c>
      <c r="B88" s="5" t="s">
        <v>876</v>
      </c>
      <c r="C88" s="5"/>
      <c r="D88" s="30" t="n">
        <f aca="false">14000*12</f>
        <v>168000</v>
      </c>
      <c r="E88" s="5" t="s">
        <v>882</v>
      </c>
      <c r="F88" s="30" t="n">
        <v>27000</v>
      </c>
      <c r="G88" s="5" t="s">
        <v>477</v>
      </c>
      <c r="H88" s="5" t="s">
        <v>883</v>
      </c>
      <c r="I88" s="5"/>
      <c r="J88" s="5" t="s">
        <v>884</v>
      </c>
      <c r="K88" s="5"/>
      <c r="L88" s="5"/>
      <c r="M88" s="5"/>
      <c r="N88" s="5"/>
      <c r="O88" s="5"/>
      <c r="P88" s="5"/>
      <c r="Q88" s="5"/>
      <c r="R88" s="5"/>
      <c r="S88" s="5"/>
      <c r="T88" s="5"/>
      <c r="U88" s="5"/>
      <c r="V88" s="5" t="s">
        <v>885</v>
      </c>
    </row>
    <row r="89" customFormat="false" ht="15" hidden="false" customHeight="true" outlineLevel="0" collapsed="false">
      <c r="A89" s="10" t="s">
        <v>886</v>
      </c>
      <c r="B89" s="5" t="s">
        <v>716</v>
      </c>
      <c r="C89" s="5"/>
      <c r="D89" s="30" t="n">
        <f aca="false">10000*12</f>
        <v>120000</v>
      </c>
      <c r="E89" s="5" t="s">
        <v>887</v>
      </c>
      <c r="F89" s="5"/>
      <c r="G89" s="5" t="s">
        <v>484</v>
      </c>
      <c r="H89" s="5" t="s">
        <v>341</v>
      </c>
      <c r="I89" s="5"/>
      <c r="J89" s="5" t="s">
        <v>888</v>
      </c>
      <c r="K89" s="5"/>
      <c r="L89" s="5"/>
      <c r="M89" s="5"/>
      <c r="N89" s="5"/>
      <c r="O89" s="5"/>
      <c r="P89" s="5"/>
      <c r="Q89" s="5"/>
      <c r="R89" s="5"/>
      <c r="S89" s="5"/>
      <c r="T89" s="5"/>
      <c r="U89" s="5"/>
      <c r="V89" s="5" t="s">
        <v>889</v>
      </c>
    </row>
    <row r="90" customFormat="false" ht="15" hidden="false" customHeight="true" outlineLevel="0" collapsed="false">
      <c r="A90" s="10" t="s">
        <v>890</v>
      </c>
      <c r="B90" s="5" t="s">
        <v>811</v>
      </c>
      <c r="C90" s="5"/>
      <c r="D90" s="30" t="n">
        <f aca="false">20000*12</f>
        <v>240000</v>
      </c>
      <c r="E90" s="5" t="s">
        <v>891</v>
      </c>
      <c r="F90" s="30" t="n">
        <v>15000</v>
      </c>
      <c r="G90" s="5" t="s">
        <v>484</v>
      </c>
      <c r="H90" s="5" t="s">
        <v>892</v>
      </c>
      <c r="I90" s="5"/>
      <c r="J90" s="5" t="s">
        <v>893</v>
      </c>
      <c r="K90" s="5"/>
      <c r="L90" s="5"/>
      <c r="M90" s="5"/>
      <c r="N90" s="5"/>
      <c r="O90" s="5"/>
      <c r="P90" s="5"/>
      <c r="Q90" s="5"/>
      <c r="R90" s="5"/>
      <c r="S90" s="5"/>
      <c r="T90" s="5"/>
      <c r="U90" s="5"/>
      <c r="V90" s="5" t="s">
        <v>894</v>
      </c>
    </row>
    <row r="91" customFormat="false" ht="15" hidden="false" customHeight="true" outlineLevel="0" collapsed="false">
      <c r="A91" s="10" t="s">
        <v>895</v>
      </c>
      <c r="B91" s="5" t="s">
        <v>811</v>
      </c>
      <c r="C91" s="5"/>
      <c r="D91" s="30" t="n">
        <f aca="false">20000*12</f>
        <v>240000</v>
      </c>
      <c r="E91" s="5" t="s">
        <v>896</v>
      </c>
      <c r="F91" s="5"/>
      <c r="G91" s="5" t="s">
        <v>484</v>
      </c>
      <c r="H91" s="5" t="s">
        <v>341</v>
      </c>
      <c r="I91" s="5"/>
      <c r="J91" s="5" t="s">
        <v>897</v>
      </c>
      <c r="K91" s="5"/>
      <c r="L91" s="5"/>
      <c r="M91" s="5"/>
      <c r="N91" s="5"/>
      <c r="O91" s="5"/>
      <c r="P91" s="5"/>
      <c r="Q91" s="5"/>
      <c r="R91" s="5"/>
      <c r="S91" s="5"/>
      <c r="T91" s="5"/>
      <c r="U91" s="5"/>
      <c r="V91" s="5" t="s">
        <v>898</v>
      </c>
    </row>
    <row r="92" customFormat="false" ht="15" hidden="false" customHeight="true" outlineLevel="0" collapsed="false">
      <c r="A92" s="10" t="s">
        <v>899</v>
      </c>
      <c r="B92" s="5" t="s">
        <v>497</v>
      </c>
      <c r="C92" s="5"/>
      <c r="D92" s="5"/>
      <c r="E92" s="5" t="s">
        <v>900</v>
      </c>
      <c r="F92" s="5"/>
      <c r="G92" s="5" t="s">
        <v>498</v>
      </c>
      <c r="H92" s="5" t="s">
        <v>499</v>
      </c>
      <c r="I92" s="5"/>
      <c r="J92" s="5" t="s">
        <v>901</v>
      </c>
      <c r="K92" s="5"/>
      <c r="L92" s="5"/>
      <c r="M92" s="5"/>
      <c r="N92" s="5"/>
      <c r="O92" s="5"/>
      <c r="P92" s="5"/>
      <c r="Q92" s="5"/>
      <c r="R92" s="5"/>
      <c r="S92" s="5"/>
      <c r="T92" s="5"/>
      <c r="U92" s="5"/>
      <c r="V92" s="5" t="s">
        <v>816</v>
      </c>
    </row>
    <row r="94" customFormat="false" ht="18" hidden="false" customHeight="true" outlineLevel="0" collapsed="false">
      <c r="A94" s="6" t="s">
        <v>502</v>
      </c>
      <c r="B94" s="6"/>
      <c r="C94" s="6"/>
      <c r="D94" s="6"/>
      <c r="E94" s="6"/>
      <c r="F94" s="6"/>
      <c r="G94" s="6"/>
      <c r="H94" s="6"/>
      <c r="I94" s="6"/>
      <c r="J94" s="6"/>
      <c r="K94" s="6"/>
      <c r="L94" s="6"/>
      <c r="M94" s="6"/>
      <c r="N94" s="6"/>
      <c r="O94" s="6"/>
      <c r="P94" s="6"/>
      <c r="Q94" s="6"/>
      <c r="R94" s="6"/>
      <c r="S94" s="6"/>
      <c r="T94" s="6"/>
      <c r="U94" s="6"/>
      <c r="V94" s="6"/>
    </row>
    <row r="95" customFormat="false" ht="15" hidden="false" customHeight="true" outlineLevel="0" collapsed="false">
      <c r="A95" s="10" t="s">
        <v>902</v>
      </c>
      <c r="B95" s="10"/>
      <c r="C95" s="10"/>
      <c r="D95" s="10"/>
      <c r="E95" s="10"/>
      <c r="F95" s="10"/>
      <c r="G95" s="10"/>
      <c r="H95" s="10"/>
      <c r="I95" s="10"/>
      <c r="J95" s="10"/>
      <c r="K95" s="10"/>
      <c r="L95" s="10"/>
      <c r="M95" s="10"/>
      <c r="N95" s="10"/>
      <c r="O95" s="10"/>
      <c r="P95" s="10"/>
      <c r="Q95" s="10"/>
      <c r="R95" s="10"/>
      <c r="S95" s="10"/>
      <c r="T95" s="10"/>
      <c r="U95" s="10"/>
      <c r="V95" s="10"/>
    </row>
    <row r="96" customFormat="false" ht="15" hidden="false" customHeight="true" outlineLevel="0" collapsed="false">
      <c r="A96" s="10" t="s">
        <v>903</v>
      </c>
      <c r="B96" s="10"/>
      <c r="C96" s="10"/>
      <c r="D96" s="10"/>
      <c r="E96" s="10"/>
      <c r="F96" s="10"/>
      <c r="G96" s="10"/>
      <c r="H96" s="10"/>
      <c r="I96" s="10"/>
      <c r="J96" s="10"/>
      <c r="K96" s="10"/>
      <c r="L96" s="10"/>
      <c r="M96" s="10"/>
      <c r="N96" s="10"/>
      <c r="O96" s="10"/>
      <c r="P96" s="10"/>
      <c r="Q96" s="10"/>
      <c r="R96" s="10"/>
      <c r="S96" s="10"/>
      <c r="T96" s="10"/>
      <c r="U96" s="10"/>
      <c r="V96" s="10"/>
    </row>
    <row r="97" customFormat="false" ht="15" hidden="false" customHeight="true" outlineLevel="0" collapsed="false">
      <c r="A97" s="10" t="s">
        <v>904</v>
      </c>
      <c r="B97" s="10"/>
      <c r="C97" s="10"/>
      <c r="D97" s="10"/>
      <c r="E97" s="10"/>
      <c r="F97" s="10"/>
      <c r="G97" s="10"/>
      <c r="H97" s="10"/>
      <c r="I97" s="10"/>
      <c r="J97" s="10"/>
      <c r="K97" s="10"/>
      <c r="L97" s="10"/>
      <c r="M97" s="10"/>
      <c r="N97" s="10"/>
      <c r="O97" s="10"/>
      <c r="P97" s="10"/>
      <c r="Q97" s="10"/>
      <c r="R97" s="10"/>
      <c r="S97" s="10"/>
      <c r="T97" s="10"/>
      <c r="U97" s="10"/>
      <c r="V97" s="10"/>
    </row>
    <row r="98" customFormat="false" ht="15" hidden="false" customHeight="true" outlineLevel="0" collapsed="false">
      <c r="A98" s="10" t="s">
        <v>905</v>
      </c>
      <c r="B98" s="10"/>
      <c r="C98" s="10"/>
      <c r="D98" s="10"/>
      <c r="E98" s="10"/>
      <c r="F98" s="10"/>
      <c r="G98" s="10"/>
      <c r="H98" s="10"/>
      <c r="I98" s="10"/>
      <c r="J98" s="10"/>
      <c r="K98" s="10"/>
      <c r="L98" s="10"/>
      <c r="M98" s="10"/>
      <c r="N98" s="10"/>
      <c r="O98" s="10"/>
      <c r="P98" s="10"/>
      <c r="Q98" s="10"/>
      <c r="R98" s="10"/>
      <c r="S98" s="10"/>
      <c r="T98" s="10"/>
      <c r="U98" s="10"/>
      <c r="V98" s="10"/>
    </row>
  </sheetData>
  <mergeCells count="245">
    <mergeCell ref="A3:V3"/>
    <mergeCell ref="A4:V4"/>
    <mergeCell ref="A5:B5"/>
    <mergeCell ref="C5:E5"/>
    <mergeCell ref="F5:V5"/>
    <mergeCell ref="A6:B6"/>
    <mergeCell ref="C6:E6"/>
    <mergeCell ref="F6:V6"/>
    <mergeCell ref="A7:B7"/>
    <mergeCell ref="C7:E7"/>
    <mergeCell ref="F7:V7"/>
    <mergeCell ref="A8:B8"/>
    <mergeCell ref="C8:E8"/>
    <mergeCell ref="F8:V8"/>
    <mergeCell ref="A9:B9"/>
    <mergeCell ref="C9:E9"/>
    <mergeCell ref="F9:V9"/>
    <mergeCell ref="A10:B10"/>
    <mergeCell ref="C10:E10"/>
    <mergeCell ref="F10:V10"/>
    <mergeCell ref="A11:B11"/>
    <mergeCell ref="C11:E11"/>
    <mergeCell ref="F11:V11"/>
    <mergeCell ref="A12:B12"/>
    <mergeCell ref="C12:E12"/>
    <mergeCell ref="F12:V12"/>
    <mergeCell ref="A13:B13"/>
    <mergeCell ref="C13:E13"/>
    <mergeCell ref="F13:V13"/>
    <mergeCell ref="A14:B14"/>
    <mergeCell ref="C14:E14"/>
    <mergeCell ref="F14:V14"/>
    <mergeCell ref="A15:B15"/>
    <mergeCell ref="C15:V15"/>
    <mergeCell ref="A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A33:V33"/>
    <mergeCell ref="T34:V34"/>
    <mergeCell ref="T35:V35"/>
    <mergeCell ref="T36:V36"/>
    <mergeCell ref="T37:V37"/>
    <mergeCell ref="T38:V38"/>
    <mergeCell ref="T39:V39"/>
    <mergeCell ref="A41:V41"/>
    <mergeCell ref="B42:C42"/>
    <mergeCell ref="D42:E42"/>
    <mergeCell ref="G42:H42"/>
    <mergeCell ref="I42:L42"/>
    <mergeCell ref="M42:N42"/>
    <mergeCell ref="S42:U42"/>
    <mergeCell ref="B43:C43"/>
    <mergeCell ref="D43:E43"/>
    <mergeCell ref="G43:H43"/>
    <mergeCell ref="I43:L43"/>
    <mergeCell ref="M43:N43"/>
    <mergeCell ref="S43:U43"/>
    <mergeCell ref="B44:C44"/>
    <mergeCell ref="D44:E44"/>
    <mergeCell ref="G44:H44"/>
    <mergeCell ref="I44:L44"/>
    <mergeCell ref="M44:N44"/>
    <mergeCell ref="S44:U44"/>
    <mergeCell ref="B45:C45"/>
    <mergeCell ref="D45:E45"/>
    <mergeCell ref="G45:H45"/>
    <mergeCell ref="I45:L45"/>
    <mergeCell ref="M45:N45"/>
    <mergeCell ref="S45:U45"/>
    <mergeCell ref="B46:C46"/>
    <mergeCell ref="D46:E46"/>
    <mergeCell ref="G46:H46"/>
    <mergeCell ref="I46:L46"/>
    <mergeCell ref="M46:N46"/>
    <mergeCell ref="S46:U46"/>
    <mergeCell ref="B47:C47"/>
    <mergeCell ref="D47:E47"/>
    <mergeCell ref="G47:H47"/>
    <mergeCell ref="I47:L47"/>
    <mergeCell ref="M47:N47"/>
    <mergeCell ref="S47:U47"/>
    <mergeCell ref="B48:C48"/>
    <mergeCell ref="D48:E48"/>
    <mergeCell ref="G48:H48"/>
    <mergeCell ref="I48:L48"/>
    <mergeCell ref="M48:N48"/>
    <mergeCell ref="S48:U48"/>
    <mergeCell ref="B49:C49"/>
    <mergeCell ref="D49:E49"/>
    <mergeCell ref="G49:H49"/>
    <mergeCell ref="I49:L49"/>
    <mergeCell ref="M49:N49"/>
    <mergeCell ref="S49:U49"/>
    <mergeCell ref="A51:V51"/>
    <mergeCell ref="D52:E52"/>
    <mergeCell ref="F52:G52"/>
    <mergeCell ref="L52:M52"/>
    <mergeCell ref="N52:U52"/>
    <mergeCell ref="D53:E53"/>
    <mergeCell ref="F53:G53"/>
    <mergeCell ref="L53:M53"/>
    <mergeCell ref="N53:U53"/>
    <mergeCell ref="D54:E54"/>
    <mergeCell ref="F54:G54"/>
    <mergeCell ref="L54:M54"/>
    <mergeCell ref="N54:U54"/>
    <mergeCell ref="D55:E55"/>
    <mergeCell ref="F55:G55"/>
    <mergeCell ref="L55:M55"/>
    <mergeCell ref="N55:U55"/>
    <mergeCell ref="D56:E56"/>
    <mergeCell ref="F56:G56"/>
    <mergeCell ref="L56:M56"/>
    <mergeCell ref="N56:U56"/>
    <mergeCell ref="D57:E57"/>
    <mergeCell ref="F57:G57"/>
    <mergeCell ref="L57:M57"/>
    <mergeCell ref="N57:U57"/>
    <mergeCell ref="D58:E58"/>
    <mergeCell ref="F58:G58"/>
    <mergeCell ref="L58:M58"/>
    <mergeCell ref="N58:U58"/>
    <mergeCell ref="D59:E59"/>
    <mergeCell ref="F59:G59"/>
    <mergeCell ref="L59:M59"/>
    <mergeCell ref="N59:U59"/>
    <mergeCell ref="D60:E60"/>
    <mergeCell ref="F60:G60"/>
    <mergeCell ref="L60:M60"/>
    <mergeCell ref="N60:U60"/>
    <mergeCell ref="D61:E61"/>
    <mergeCell ref="F61:G61"/>
    <mergeCell ref="L61:M61"/>
    <mergeCell ref="N61:U61"/>
    <mergeCell ref="D62:E62"/>
    <mergeCell ref="F62:G62"/>
    <mergeCell ref="L62:M62"/>
    <mergeCell ref="N62:U62"/>
    <mergeCell ref="D63:E63"/>
    <mergeCell ref="F63:G63"/>
    <mergeCell ref="L63:M63"/>
    <mergeCell ref="N63:U63"/>
    <mergeCell ref="A65:V65"/>
    <mergeCell ref="B66:C66"/>
    <mergeCell ref="D66:E66"/>
    <mergeCell ref="F66:K66"/>
    <mergeCell ref="L66:N66"/>
    <mergeCell ref="P66:U66"/>
    <mergeCell ref="B67:C67"/>
    <mergeCell ref="D67:E67"/>
    <mergeCell ref="F67:K67"/>
    <mergeCell ref="L67:N67"/>
    <mergeCell ref="P67:U67"/>
    <mergeCell ref="B68:C68"/>
    <mergeCell ref="D68:E68"/>
    <mergeCell ref="F68:K68"/>
    <mergeCell ref="L68:N68"/>
    <mergeCell ref="P68:U68"/>
    <mergeCell ref="B69:C69"/>
    <mergeCell ref="D69:E69"/>
    <mergeCell ref="F69:K69"/>
    <mergeCell ref="L69:N69"/>
    <mergeCell ref="P69:U69"/>
    <mergeCell ref="B70:C70"/>
    <mergeCell ref="D70:E70"/>
    <mergeCell ref="F70:K70"/>
    <mergeCell ref="L70:N70"/>
    <mergeCell ref="P70:U70"/>
    <mergeCell ref="B71:C71"/>
    <mergeCell ref="D71:E71"/>
    <mergeCell ref="F71:K71"/>
    <mergeCell ref="L71:N71"/>
    <mergeCell ref="P71:U71"/>
    <mergeCell ref="B72:C72"/>
    <mergeCell ref="D72:E72"/>
    <mergeCell ref="F72:K72"/>
    <mergeCell ref="L72:N72"/>
    <mergeCell ref="P72:U72"/>
    <mergeCell ref="A74:V74"/>
    <mergeCell ref="B75:C75"/>
    <mergeCell ref="F75:G75"/>
    <mergeCell ref="H75:U75"/>
    <mergeCell ref="B76:C76"/>
    <mergeCell ref="F76:G76"/>
    <mergeCell ref="H76:U76"/>
    <mergeCell ref="B77:C77"/>
    <mergeCell ref="F77:G77"/>
    <mergeCell ref="H77:U77"/>
    <mergeCell ref="B78:C78"/>
    <mergeCell ref="F78:G78"/>
    <mergeCell ref="H78:U78"/>
    <mergeCell ref="B79:C79"/>
    <mergeCell ref="F79:G79"/>
    <mergeCell ref="H79:U79"/>
    <mergeCell ref="B80:C80"/>
    <mergeCell ref="F80:G80"/>
    <mergeCell ref="H80:U80"/>
    <mergeCell ref="B81:C81"/>
    <mergeCell ref="F81:G81"/>
    <mergeCell ref="H81:U81"/>
    <mergeCell ref="B82:C82"/>
    <mergeCell ref="F82:G82"/>
    <mergeCell ref="H82:U82"/>
    <mergeCell ref="B83:C83"/>
    <mergeCell ref="F83:G83"/>
    <mergeCell ref="H83:U83"/>
    <mergeCell ref="A85:V85"/>
    <mergeCell ref="B86:C86"/>
    <mergeCell ref="H86:I86"/>
    <mergeCell ref="J86:U86"/>
    <mergeCell ref="B87:C87"/>
    <mergeCell ref="H87:I87"/>
    <mergeCell ref="J87:U87"/>
    <mergeCell ref="B88:C88"/>
    <mergeCell ref="H88:I88"/>
    <mergeCell ref="J88:U88"/>
    <mergeCell ref="B89:C89"/>
    <mergeCell ref="H89:I89"/>
    <mergeCell ref="J89:U89"/>
    <mergeCell ref="B90:C90"/>
    <mergeCell ref="H90:I90"/>
    <mergeCell ref="J90:U90"/>
    <mergeCell ref="B91:C91"/>
    <mergeCell ref="H91:I91"/>
    <mergeCell ref="J91:U91"/>
    <mergeCell ref="B92:C92"/>
    <mergeCell ref="H92:I92"/>
    <mergeCell ref="J92:U92"/>
    <mergeCell ref="A94:V94"/>
    <mergeCell ref="A95:V95"/>
    <mergeCell ref="A96:V96"/>
    <mergeCell ref="A97:V97"/>
    <mergeCell ref="A98:V98"/>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1" min="3" style="0" width="11"/>
    <col collapsed="false" customWidth="true" hidden="false" outlineLevel="0" max="22" min="22" style="0" width="36"/>
  </cols>
  <sheetData>
    <row r="1" customFormat="false" ht="18.55" hidden="false" customHeight="false" outlineLevel="0" collapsed="false">
      <c r="A1" s="1" t="s">
        <v>906</v>
      </c>
    </row>
    <row r="2" customFormat="false" ht="15" hidden="false" customHeight="false" outlineLevel="0" collapsed="false">
      <c r="A2" s="2" t="s">
        <v>907</v>
      </c>
    </row>
    <row r="3" customFormat="false" ht="15" hidden="false" customHeight="true" outlineLevel="0" collapsed="false">
      <c r="A3" s="23" t="s">
        <v>908</v>
      </c>
      <c r="B3" s="23"/>
      <c r="C3" s="23"/>
      <c r="D3" s="23"/>
      <c r="E3" s="23"/>
      <c r="F3" s="23"/>
      <c r="G3" s="23"/>
      <c r="H3" s="23"/>
      <c r="I3" s="23"/>
      <c r="J3" s="23"/>
      <c r="K3" s="23"/>
      <c r="L3" s="23"/>
      <c r="M3" s="23"/>
      <c r="N3" s="23"/>
      <c r="O3" s="23"/>
      <c r="P3" s="23"/>
      <c r="Q3" s="23"/>
      <c r="R3" s="23"/>
      <c r="S3" s="23"/>
      <c r="T3" s="23"/>
      <c r="U3" s="23"/>
      <c r="V3" s="23"/>
    </row>
    <row r="4" customFormat="false" ht="18" hidden="false" customHeight="true" outlineLevel="0" collapsed="false">
      <c r="A4" s="6" t="s">
        <v>151</v>
      </c>
      <c r="B4" s="6"/>
      <c r="C4" s="6"/>
      <c r="D4" s="6"/>
      <c r="E4" s="6"/>
      <c r="F4" s="6"/>
      <c r="G4" s="6"/>
      <c r="H4" s="6"/>
      <c r="I4" s="6"/>
      <c r="J4" s="6"/>
      <c r="K4" s="6"/>
      <c r="L4" s="6"/>
      <c r="M4" s="6"/>
      <c r="N4" s="6"/>
      <c r="O4" s="6"/>
      <c r="P4" s="6"/>
      <c r="Q4" s="6"/>
      <c r="R4" s="6"/>
      <c r="S4" s="6"/>
      <c r="T4" s="6"/>
      <c r="U4" s="6"/>
      <c r="V4" s="6"/>
    </row>
    <row r="5" customFormat="false" ht="15" hidden="false" customHeight="true" outlineLevel="0" collapsed="false">
      <c r="A5" s="4" t="s">
        <v>152</v>
      </c>
      <c r="B5" s="4"/>
      <c r="C5" s="24" t="n">
        <v>900000</v>
      </c>
      <c r="D5" s="24"/>
      <c r="E5" s="24"/>
      <c r="F5" s="25" t="s">
        <v>909</v>
      </c>
      <c r="G5" s="25"/>
      <c r="H5" s="25"/>
      <c r="I5" s="25"/>
      <c r="J5" s="25"/>
      <c r="K5" s="25"/>
      <c r="L5" s="25"/>
      <c r="M5" s="25"/>
      <c r="N5" s="25"/>
      <c r="O5" s="25"/>
      <c r="P5" s="25"/>
      <c r="Q5" s="25"/>
      <c r="R5" s="25"/>
      <c r="S5" s="25"/>
      <c r="T5" s="25"/>
      <c r="U5" s="25"/>
      <c r="V5" s="25"/>
    </row>
    <row r="6" customFormat="false" ht="15" hidden="false" customHeight="true" outlineLevel="0" collapsed="false">
      <c r="A6" s="4" t="s">
        <v>110</v>
      </c>
      <c r="B6" s="4"/>
      <c r="C6" s="5" t="s">
        <v>910</v>
      </c>
      <c r="D6" s="5"/>
      <c r="E6" s="5"/>
      <c r="F6" s="25"/>
      <c r="G6" s="25"/>
      <c r="H6" s="25"/>
      <c r="I6" s="25"/>
      <c r="J6" s="25"/>
      <c r="K6" s="25"/>
      <c r="L6" s="25"/>
      <c r="M6" s="25"/>
      <c r="N6" s="25"/>
      <c r="O6" s="25"/>
      <c r="P6" s="25"/>
      <c r="Q6" s="25"/>
      <c r="R6" s="25"/>
      <c r="S6" s="25"/>
      <c r="T6" s="25"/>
      <c r="U6" s="25"/>
      <c r="V6" s="25"/>
    </row>
    <row r="7" customFormat="false" ht="52.5" hidden="false" customHeight="true" outlineLevel="0" collapsed="false">
      <c r="A7" s="4" t="s">
        <v>155</v>
      </c>
      <c r="B7" s="4"/>
      <c r="C7" s="5" t="s">
        <v>911</v>
      </c>
      <c r="D7" s="5"/>
      <c r="E7" s="5"/>
      <c r="F7" s="25"/>
      <c r="G7" s="25"/>
      <c r="H7" s="25"/>
      <c r="I7" s="25"/>
      <c r="J7" s="25"/>
      <c r="K7" s="25"/>
      <c r="L7" s="25"/>
      <c r="M7" s="25"/>
      <c r="N7" s="25"/>
      <c r="O7" s="25"/>
      <c r="P7" s="25"/>
      <c r="Q7" s="25"/>
      <c r="R7" s="25"/>
      <c r="S7" s="25"/>
      <c r="T7" s="25"/>
      <c r="U7" s="25"/>
      <c r="V7" s="25"/>
    </row>
    <row r="8" customFormat="false" ht="27.75" hidden="false" customHeight="true" outlineLevel="0" collapsed="false">
      <c r="A8" s="4" t="s">
        <v>111</v>
      </c>
      <c r="B8" s="4"/>
      <c r="C8" s="5" t="s">
        <v>912</v>
      </c>
      <c r="D8" s="5"/>
      <c r="E8" s="5"/>
      <c r="F8" s="25"/>
      <c r="G8" s="25"/>
      <c r="H8" s="25"/>
      <c r="I8" s="25"/>
      <c r="J8" s="25"/>
      <c r="K8" s="25"/>
      <c r="L8" s="25"/>
      <c r="M8" s="25"/>
      <c r="N8" s="25"/>
      <c r="O8" s="25"/>
      <c r="P8" s="25"/>
      <c r="Q8" s="25"/>
      <c r="R8" s="25"/>
      <c r="S8" s="25"/>
      <c r="T8" s="25"/>
      <c r="U8" s="25"/>
      <c r="V8" s="25"/>
    </row>
    <row r="9" customFormat="false" ht="15" hidden="false" customHeight="true" outlineLevel="0" collapsed="false">
      <c r="A9" s="4" t="s">
        <v>158</v>
      </c>
      <c r="B9" s="4"/>
      <c r="C9" s="26" t="n">
        <f aca="false">IF(ISNUMBER(S22),S22,"n.d.")</f>
        <v>642000</v>
      </c>
      <c r="D9" s="26"/>
      <c r="E9" s="26"/>
      <c r="F9" s="25" t="s">
        <v>913</v>
      </c>
      <c r="G9" s="25"/>
      <c r="H9" s="25"/>
      <c r="I9" s="25"/>
      <c r="J9" s="25"/>
      <c r="K9" s="25"/>
      <c r="L9" s="25"/>
      <c r="M9" s="25"/>
      <c r="N9" s="25"/>
      <c r="O9" s="25"/>
      <c r="P9" s="25"/>
      <c r="Q9" s="25"/>
      <c r="R9" s="25"/>
      <c r="S9" s="25"/>
      <c r="T9" s="25"/>
      <c r="U9" s="25"/>
      <c r="V9" s="25"/>
    </row>
    <row r="10" customFormat="false" ht="27.75" hidden="false" customHeight="true" outlineLevel="0" collapsed="false">
      <c r="A10" s="4" t="s">
        <v>160</v>
      </c>
      <c r="B10" s="4"/>
      <c r="C10" s="5" t="s">
        <v>913</v>
      </c>
      <c r="D10" s="5"/>
      <c r="E10" s="5"/>
      <c r="F10" s="25"/>
      <c r="G10" s="25"/>
      <c r="H10" s="25"/>
      <c r="I10" s="25"/>
      <c r="J10" s="25"/>
      <c r="K10" s="25"/>
      <c r="L10" s="25"/>
      <c r="M10" s="25"/>
      <c r="N10" s="25"/>
      <c r="O10" s="25"/>
      <c r="P10" s="25"/>
      <c r="Q10" s="25"/>
      <c r="R10" s="25"/>
      <c r="S10" s="25"/>
      <c r="T10" s="25"/>
      <c r="U10" s="25"/>
      <c r="V10" s="25"/>
    </row>
    <row r="11" customFormat="false" ht="15" hidden="false" customHeight="true" outlineLevel="0" collapsed="false">
      <c r="A11" s="4" t="s">
        <v>114</v>
      </c>
      <c r="B11" s="4"/>
      <c r="C11" s="27" t="n">
        <f aca="false">IFERROR(C9/S19,"n.d.")</f>
        <v>0.713333333333333</v>
      </c>
      <c r="D11" s="27"/>
      <c r="E11" s="27"/>
      <c r="F11" s="25" t="s">
        <v>161</v>
      </c>
      <c r="G11" s="25"/>
      <c r="H11" s="25"/>
      <c r="I11" s="25"/>
      <c r="J11" s="25"/>
      <c r="K11" s="25"/>
      <c r="L11" s="25"/>
      <c r="M11" s="25"/>
      <c r="N11" s="25"/>
      <c r="O11" s="25"/>
      <c r="P11" s="25"/>
      <c r="Q11" s="25"/>
      <c r="R11" s="25"/>
      <c r="S11" s="25"/>
      <c r="T11" s="25"/>
      <c r="U11" s="25"/>
      <c r="V11" s="25"/>
    </row>
    <row r="12" customFormat="false" ht="15" hidden="false" customHeight="true" outlineLevel="0" collapsed="false">
      <c r="A12" s="4" t="s">
        <v>162</v>
      </c>
      <c r="B12" s="4"/>
      <c r="C12" s="26" t="n">
        <f aca="false">S19</f>
        <v>900000</v>
      </c>
      <c r="D12" s="26"/>
      <c r="E12" s="26"/>
      <c r="F12" s="25" t="s">
        <v>163</v>
      </c>
      <c r="G12" s="25"/>
      <c r="H12" s="25"/>
      <c r="I12" s="25"/>
      <c r="J12" s="25"/>
      <c r="K12" s="25"/>
      <c r="L12" s="25"/>
      <c r="M12" s="25"/>
      <c r="N12" s="25"/>
      <c r="O12" s="25"/>
      <c r="P12" s="25"/>
      <c r="Q12" s="25"/>
      <c r="R12" s="25"/>
      <c r="S12" s="25"/>
      <c r="T12" s="25"/>
      <c r="U12" s="25"/>
      <c r="V12" s="25"/>
    </row>
    <row r="13" customFormat="false" ht="15" hidden="false" customHeight="true" outlineLevel="0" collapsed="false">
      <c r="A13" s="4" t="s">
        <v>164</v>
      </c>
      <c r="B13" s="4"/>
      <c r="C13" s="24" t="n">
        <v>1300000</v>
      </c>
      <c r="D13" s="24"/>
      <c r="E13" s="24"/>
      <c r="F13" s="25" t="s">
        <v>914</v>
      </c>
      <c r="G13" s="25"/>
      <c r="H13" s="25"/>
      <c r="I13" s="25"/>
      <c r="J13" s="25"/>
      <c r="K13" s="25"/>
      <c r="L13" s="25"/>
      <c r="M13" s="25"/>
      <c r="N13" s="25"/>
      <c r="O13" s="25"/>
      <c r="P13" s="25"/>
      <c r="Q13" s="25"/>
      <c r="R13" s="25"/>
      <c r="S13" s="25"/>
      <c r="T13" s="25"/>
      <c r="U13" s="25"/>
      <c r="V13" s="25"/>
    </row>
    <row r="14" customFormat="false" ht="15" hidden="false" customHeight="true" outlineLevel="0" collapsed="false">
      <c r="A14" s="4" t="s">
        <v>130</v>
      </c>
      <c r="B14" s="4"/>
      <c r="C14" s="5" t="s">
        <v>915</v>
      </c>
      <c r="D14" s="5"/>
      <c r="E14" s="5"/>
      <c r="F14" s="25"/>
      <c r="G14" s="25"/>
      <c r="H14" s="25"/>
      <c r="I14" s="25"/>
      <c r="J14" s="25"/>
      <c r="K14" s="25"/>
      <c r="L14" s="25"/>
      <c r="M14" s="25"/>
      <c r="N14" s="25"/>
      <c r="O14" s="25"/>
      <c r="P14" s="25"/>
      <c r="Q14" s="25"/>
      <c r="R14" s="25"/>
      <c r="S14" s="25"/>
      <c r="T14" s="25"/>
      <c r="U14" s="25"/>
      <c r="V14" s="25"/>
    </row>
    <row r="15" customFormat="false" ht="33" hidden="false" customHeight="true" outlineLevel="0" collapsed="false">
      <c r="A15" s="4" t="s">
        <v>120</v>
      </c>
      <c r="B15" s="4"/>
      <c r="C15" s="28" t="s">
        <v>916</v>
      </c>
      <c r="D15" s="28"/>
      <c r="E15" s="28"/>
      <c r="F15" s="28"/>
      <c r="G15" s="28"/>
      <c r="H15" s="28"/>
      <c r="I15" s="28"/>
      <c r="J15" s="28"/>
      <c r="K15" s="28"/>
      <c r="L15" s="28"/>
      <c r="M15" s="28"/>
      <c r="N15" s="28"/>
      <c r="O15" s="28"/>
      <c r="P15" s="28"/>
      <c r="Q15" s="28"/>
      <c r="R15" s="28"/>
      <c r="S15" s="28"/>
      <c r="T15" s="28"/>
      <c r="U15" s="28"/>
      <c r="V15" s="28"/>
    </row>
    <row r="17" customFormat="false" ht="18" hidden="false" customHeight="true" outlineLevel="0" collapsed="false">
      <c r="A17" s="6" t="s">
        <v>168</v>
      </c>
      <c r="B17" s="6"/>
      <c r="C17" s="6"/>
      <c r="D17" s="6"/>
      <c r="E17" s="6"/>
      <c r="F17" s="6"/>
      <c r="G17" s="6"/>
      <c r="H17" s="6"/>
      <c r="I17" s="6"/>
      <c r="J17" s="6"/>
      <c r="K17" s="6"/>
      <c r="L17" s="6"/>
      <c r="M17" s="6"/>
      <c r="N17" s="6"/>
      <c r="O17" s="6"/>
      <c r="P17" s="6"/>
      <c r="Q17" s="6"/>
      <c r="R17" s="6"/>
      <c r="S17" s="6"/>
      <c r="T17" s="6"/>
      <c r="U17" s="6"/>
      <c r="V17" s="6"/>
    </row>
    <row r="18" customFormat="false" ht="15" hidden="false" customHeight="true" outlineLevel="0" collapsed="false">
      <c r="A18" s="8" t="s">
        <v>169</v>
      </c>
      <c r="B18" s="9" t="s">
        <v>170</v>
      </c>
      <c r="C18" s="9" t="s">
        <v>71</v>
      </c>
      <c r="D18" s="9" t="s">
        <v>72</v>
      </c>
      <c r="E18" s="9" t="s">
        <v>73</v>
      </c>
      <c r="F18" s="9" t="s">
        <v>74</v>
      </c>
      <c r="G18" s="9" t="s">
        <v>75</v>
      </c>
      <c r="H18" s="9" t="s">
        <v>76</v>
      </c>
      <c r="I18" s="9" t="s">
        <v>77</v>
      </c>
      <c r="J18" s="9" t="s">
        <v>78</v>
      </c>
      <c r="K18" s="9" t="s">
        <v>79</v>
      </c>
      <c r="L18" s="9" t="s">
        <v>80</v>
      </c>
      <c r="M18" s="9" t="s">
        <v>81</v>
      </c>
      <c r="N18" s="9" t="s">
        <v>82</v>
      </c>
      <c r="O18" s="9" t="s">
        <v>83</v>
      </c>
      <c r="P18" s="9" t="s">
        <v>84</v>
      </c>
      <c r="Q18" s="9" t="s">
        <v>85</v>
      </c>
      <c r="R18" s="9" t="s">
        <v>86</v>
      </c>
      <c r="S18" s="9" t="s">
        <v>87</v>
      </c>
      <c r="T18" s="8" t="s">
        <v>171</v>
      </c>
      <c r="U18" s="8"/>
      <c r="V18" s="8"/>
    </row>
    <row r="19" customFormat="false" ht="36" hidden="false" customHeight="true" outlineLevel="0" collapsed="false">
      <c r="A19" s="10" t="s">
        <v>172</v>
      </c>
      <c r="B19" s="29" t="s">
        <v>173</v>
      </c>
      <c r="C19" s="5"/>
      <c r="D19" s="5"/>
      <c r="E19" s="5"/>
      <c r="F19" s="5"/>
      <c r="G19" s="5"/>
      <c r="H19" s="5"/>
      <c r="I19" s="5"/>
      <c r="J19" s="5"/>
      <c r="K19" s="5"/>
      <c r="L19" s="5"/>
      <c r="M19" s="5"/>
      <c r="N19" s="5"/>
      <c r="O19" s="30" t="n">
        <v>480000</v>
      </c>
      <c r="P19" s="5"/>
      <c r="Q19" s="5"/>
      <c r="R19" s="5"/>
      <c r="S19" s="30" t="n">
        <v>900000</v>
      </c>
      <c r="T19" s="25" t="s">
        <v>917</v>
      </c>
      <c r="U19" s="25"/>
      <c r="V19" s="25"/>
    </row>
    <row r="20" customFormat="false" ht="24.75" hidden="false" customHeight="true" outlineLevel="0" collapsed="false">
      <c r="A20" s="10" t="s">
        <v>175</v>
      </c>
      <c r="B20" s="29" t="s">
        <v>176</v>
      </c>
      <c r="C20" s="5"/>
      <c r="D20" s="5"/>
      <c r="E20" s="5"/>
      <c r="F20" s="5"/>
      <c r="G20" s="5"/>
      <c r="H20" s="5"/>
      <c r="I20" s="5"/>
      <c r="J20" s="5"/>
      <c r="K20" s="5"/>
      <c r="L20" s="5"/>
      <c r="M20" s="5"/>
      <c r="N20" s="5"/>
      <c r="O20" s="29" t="s">
        <v>520</v>
      </c>
      <c r="P20" s="5"/>
      <c r="Q20" s="5"/>
      <c r="R20" s="5"/>
      <c r="S20" s="29" t="s">
        <v>520</v>
      </c>
      <c r="T20" s="25" t="s">
        <v>179</v>
      </c>
      <c r="U20" s="25"/>
      <c r="V20" s="25"/>
    </row>
    <row r="21" customFormat="false" ht="15" hidden="false" customHeight="true" outlineLevel="0" collapsed="false">
      <c r="A21" s="10" t="s">
        <v>180</v>
      </c>
      <c r="B21" s="29" t="s">
        <v>181</v>
      </c>
      <c r="C21" s="5"/>
      <c r="D21" s="5"/>
      <c r="E21" s="5"/>
      <c r="F21" s="5"/>
      <c r="G21" s="5"/>
      <c r="H21" s="5"/>
      <c r="I21" s="5"/>
      <c r="J21" s="5"/>
      <c r="K21" s="5"/>
      <c r="L21" s="5"/>
      <c r="M21" s="5"/>
      <c r="N21" s="5"/>
      <c r="O21" s="5"/>
      <c r="P21" s="5"/>
      <c r="Q21" s="5"/>
      <c r="R21" s="5"/>
      <c r="S21" s="5"/>
      <c r="T21" s="25" t="s">
        <v>688</v>
      </c>
      <c r="U21" s="25"/>
      <c r="V21" s="25"/>
    </row>
    <row r="22" customFormat="false" ht="36" hidden="false" customHeight="true" outlineLevel="0" collapsed="false">
      <c r="A22" s="10" t="s">
        <v>183</v>
      </c>
      <c r="B22" s="29" t="s">
        <v>181</v>
      </c>
      <c r="C22" s="30" t="n">
        <f aca="false">232006+35107</f>
        <v>267113</v>
      </c>
      <c r="D22" s="30" t="n">
        <f aca="false">269194+53544</f>
        <v>322738</v>
      </c>
      <c r="E22" s="30" t="n">
        <f aca="false">298991+56329</f>
        <v>355320</v>
      </c>
      <c r="F22" s="5"/>
      <c r="G22" s="5"/>
      <c r="H22" s="5"/>
      <c r="I22" s="5"/>
      <c r="J22" s="5"/>
      <c r="K22" s="5"/>
      <c r="L22" s="5"/>
      <c r="M22" s="5"/>
      <c r="N22" s="5"/>
      <c r="O22" s="5"/>
      <c r="P22" s="5"/>
      <c r="Q22" s="5"/>
      <c r="R22" s="5"/>
      <c r="S22" s="30" t="n">
        <v>642000</v>
      </c>
      <c r="T22" s="25" t="s">
        <v>918</v>
      </c>
      <c r="U22" s="25"/>
      <c r="V22" s="25"/>
    </row>
    <row r="23" customFormat="false" ht="15" hidden="false" customHeight="true" outlineLevel="0" collapsed="false">
      <c r="A23" s="10" t="s">
        <v>185</v>
      </c>
      <c r="B23" s="29" t="s">
        <v>181</v>
      </c>
      <c r="C23" s="5"/>
      <c r="D23" s="5"/>
      <c r="E23" s="5"/>
      <c r="F23" s="5"/>
      <c r="G23" s="5"/>
      <c r="H23" s="5"/>
      <c r="I23" s="5"/>
      <c r="J23" s="5"/>
      <c r="K23" s="5"/>
      <c r="L23" s="5"/>
      <c r="M23" s="5"/>
      <c r="N23" s="5"/>
      <c r="O23" s="5"/>
      <c r="P23" s="5"/>
      <c r="Q23" s="5"/>
      <c r="R23" s="30" t="n">
        <v>553585</v>
      </c>
      <c r="S23" s="30" t="n">
        <v>631387</v>
      </c>
      <c r="T23" s="25" t="s">
        <v>919</v>
      </c>
      <c r="U23" s="25"/>
      <c r="V23" s="25"/>
    </row>
    <row r="24" customFormat="false" ht="15" hidden="false" customHeight="true" outlineLevel="0" collapsed="false">
      <c r="A24" s="10" t="s">
        <v>187</v>
      </c>
      <c r="B24" s="29" t="s">
        <v>181</v>
      </c>
      <c r="C24" s="5"/>
      <c r="D24" s="5"/>
      <c r="E24" s="5"/>
      <c r="F24" s="5"/>
      <c r="G24" s="5"/>
      <c r="H24" s="5"/>
      <c r="I24" s="5"/>
      <c r="J24" s="5"/>
      <c r="K24" s="5"/>
      <c r="L24" s="5"/>
      <c r="M24" s="5"/>
      <c r="N24" s="5"/>
      <c r="O24" s="5"/>
      <c r="P24" s="5"/>
      <c r="Q24" s="5"/>
      <c r="R24" s="5"/>
      <c r="S24" s="5"/>
      <c r="T24" s="25"/>
      <c r="U24" s="25"/>
      <c r="V24" s="25"/>
    </row>
    <row r="25" customFormat="false" ht="24.75" hidden="false" customHeight="true" outlineLevel="0" collapsed="false">
      <c r="A25" s="10" t="s">
        <v>188</v>
      </c>
      <c r="B25" s="29" t="s">
        <v>189</v>
      </c>
      <c r="C25" s="17" t="str">
        <f aca="false">IF(AND(ISNUMBER(C21),ISNUMBER(C19)),C21/C19,"")</f>
        <v/>
      </c>
      <c r="D25" s="17" t="str">
        <f aca="false">IF(AND(ISNUMBER(D21),ISNUMBER(D19)),D21/D19,"")</f>
        <v/>
      </c>
      <c r="E25" s="17" t="str">
        <f aca="false">IF(AND(ISNUMBER(E21),ISNUMBER(E19)),E21/E19,"")</f>
        <v/>
      </c>
      <c r="F25" s="17" t="str">
        <f aca="false">IF(AND(ISNUMBER(F21),ISNUMBER(F19)),F21/F19,"")</f>
        <v/>
      </c>
      <c r="G25" s="17" t="str">
        <f aca="false">IF(AND(ISNUMBER(G21),ISNUMBER(G19)),G21/G19,"")</f>
        <v/>
      </c>
      <c r="H25" s="17" t="str">
        <f aca="false">IF(AND(ISNUMBER(H21),ISNUMBER(H19)),H21/H19,"")</f>
        <v/>
      </c>
      <c r="I25" s="17" t="str">
        <f aca="false">IF(AND(ISNUMBER(I21),ISNUMBER(I19)),I21/I19,"")</f>
        <v/>
      </c>
      <c r="J25" s="17" t="str">
        <f aca="false">IF(AND(ISNUMBER(J21),ISNUMBER(J19)),J21/J19,"")</f>
        <v/>
      </c>
      <c r="K25" s="17" t="str">
        <f aca="false">IF(AND(ISNUMBER(K21),ISNUMBER(K19)),K21/K19,"")</f>
        <v/>
      </c>
      <c r="L25" s="17" t="str">
        <f aca="false">IF(AND(ISNUMBER(L21),ISNUMBER(L19)),L21/L19,"")</f>
        <v/>
      </c>
      <c r="M25" s="17" t="str">
        <f aca="false">IF(AND(ISNUMBER(M21),ISNUMBER(M19)),M21/M19,"")</f>
        <v/>
      </c>
      <c r="N25" s="17" t="str">
        <f aca="false">IF(AND(ISNUMBER(N21),ISNUMBER(N19)),N21/N19,"")</f>
        <v/>
      </c>
      <c r="O25" s="17" t="str">
        <f aca="false">IF(AND(ISNUMBER(O21),ISNUMBER(O19)),O21/O19,"")</f>
        <v/>
      </c>
      <c r="P25" s="17" t="str">
        <f aca="false">IF(AND(ISNUMBER(P21),ISNUMBER(P19)),P21/P19,"")</f>
        <v/>
      </c>
      <c r="Q25" s="17" t="str">
        <f aca="false">IF(AND(ISNUMBER(Q21),ISNUMBER(Q19)),Q21/Q19,"")</f>
        <v/>
      </c>
      <c r="R25" s="17" t="str">
        <f aca="false">IF(AND(ISNUMBER(R21),ISNUMBER(R19)),R21/R19,"")</f>
        <v/>
      </c>
      <c r="S25" s="17" t="str">
        <f aca="false">IF(AND(ISNUMBER(S21),ISNUMBER(S19)),S21/S19,"")</f>
        <v/>
      </c>
      <c r="T25" s="25" t="s">
        <v>190</v>
      </c>
      <c r="U25" s="25"/>
      <c r="V25" s="25"/>
    </row>
    <row r="26" customFormat="false" ht="15" hidden="false" customHeight="true" outlineLevel="0" collapsed="false">
      <c r="A26" s="10" t="s">
        <v>191</v>
      </c>
      <c r="B26" s="29" t="s">
        <v>189</v>
      </c>
      <c r="C26" s="17" t="str">
        <f aca="false">IF(AND(ISNUMBER(C21),ISNUMBER(C19)),C21/C19,"")</f>
        <v/>
      </c>
      <c r="D26" s="17" t="str">
        <f aca="false">IF(AND(ISNUMBER(D21),ISNUMBER(D19)),D21/IF(ISNUMBER(C19),AVERAGE(C19,D19),D19),"")</f>
        <v/>
      </c>
      <c r="E26" s="17" t="str">
        <f aca="false">IF(AND(ISNUMBER(E21),ISNUMBER(E19)),E21/IF(ISNUMBER(D19),AVERAGE(D19,E19),E19),"")</f>
        <v/>
      </c>
      <c r="F26" s="17" t="str">
        <f aca="false">IF(AND(ISNUMBER(F21),ISNUMBER(F19)),F21/IF(ISNUMBER(E19),AVERAGE(E19,F19),F19),"")</f>
        <v/>
      </c>
      <c r="G26" s="17" t="str">
        <f aca="false">IF(AND(ISNUMBER(G21),ISNUMBER(G19)),G21/IF(ISNUMBER(F19),AVERAGE(F19,G19),G19),"")</f>
        <v/>
      </c>
      <c r="H26" s="17" t="str">
        <f aca="false">IF(AND(ISNUMBER(H21),ISNUMBER(H19)),H21/IF(ISNUMBER(G19),AVERAGE(G19,H19),H19),"")</f>
        <v/>
      </c>
      <c r="I26" s="17" t="str">
        <f aca="false">IF(AND(ISNUMBER(I21),ISNUMBER(I19)),I21/IF(ISNUMBER(H19),AVERAGE(H19,I19),I19),"")</f>
        <v/>
      </c>
      <c r="J26" s="17" t="str">
        <f aca="false">IF(AND(ISNUMBER(J21),ISNUMBER(J19)),J21/IF(ISNUMBER(I19),AVERAGE(I19,J19),J19),"")</f>
        <v/>
      </c>
      <c r="K26" s="17" t="str">
        <f aca="false">IF(AND(ISNUMBER(K21),ISNUMBER(K19)),K21/IF(ISNUMBER(J19),AVERAGE(J19,K19),K19),"")</f>
        <v/>
      </c>
      <c r="L26" s="17" t="str">
        <f aca="false">IF(AND(ISNUMBER(L21),ISNUMBER(L19)),L21/IF(ISNUMBER(K19),AVERAGE(K19,L19),L19),"")</f>
        <v/>
      </c>
      <c r="M26" s="17" t="str">
        <f aca="false">IF(AND(ISNUMBER(M21),ISNUMBER(M19)),M21/IF(ISNUMBER(L19),AVERAGE(L19,M19),M19),"")</f>
        <v/>
      </c>
      <c r="N26" s="17" t="str">
        <f aca="false">IF(AND(ISNUMBER(N21),ISNUMBER(N19)),N21/IF(ISNUMBER(M19),AVERAGE(M19,N19),N19),"")</f>
        <v/>
      </c>
      <c r="O26" s="17" t="str">
        <f aca="false">IF(AND(ISNUMBER(O21),ISNUMBER(O19)),O21/IF(ISNUMBER(N19),AVERAGE(N19,O19),O19),"")</f>
        <v/>
      </c>
      <c r="P26" s="17" t="str">
        <f aca="false">IF(AND(ISNUMBER(P21),ISNUMBER(P19)),P21/IF(ISNUMBER(O19),AVERAGE(O19,P19),P19),"")</f>
        <v/>
      </c>
      <c r="Q26" s="17" t="str">
        <f aca="false">IF(AND(ISNUMBER(Q21),ISNUMBER(Q19)),Q21/IF(ISNUMBER(P19),AVERAGE(P19,Q19),Q19),"")</f>
        <v/>
      </c>
      <c r="R26" s="17" t="str">
        <f aca="false">IF(AND(ISNUMBER(R21),ISNUMBER(R19)),R21/IF(ISNUMBER(Q19),AVERAGE(Q19,R19),R19),"")</f>
        <v/>
      </c>
      <c r="S26" s="17" t="str">
        <f aca="false">IF(AND(ISNUMBER(S21),ISNUMBER(S19)),S21/IF(ISNUMBER(R19),AVERAGE(R19,S19),S19),"")</f>
        <v/>
      </c>
      <c r="T26" s="25" t="s">
        <v>192</v>
      </c>
      <c r="U26" s="25"/>
      <c r="V26" s="25"/>
    </row>
    <row r="27" customFormat="false" ht="24.75" hidden="false" customHeight="true" outlineLevel="0" collapsed="false">
      <c r="A27" s="10" t="s">
        <v>193</v>
      </c>
      <c r="B27" s="29" t="s">
        <v>189</v>
      </c>
      <c r="C27" s="17" t="str">
        <f aca="false">IF(ISNUMBER(C19),IF(ISNUMBER(C22),C22/C19,IF(ISNUMBER(C23),C23/C19,"")),"")</f>
        <v/>
      </c>
      <c r="D27" s="17" t="str">
        <f aca="false">IF(ISNUMBER(D19),IF(ISNUMBER(D22),D22/D19,IF(ISNUMBER(D23),D23/D19,"")),"")</f>
        <v/>
      </c>
      <c r="E27" s="17" t="str">
        <f aca="false">IF(ISNUMBER(E19),IF(ISNUMBER(E22),E22/E19,IF(ISNUMBER(E23),E23/E19,"")),"")</f>
        <v/>
      </c>
      <c r="F27" s="17" t="str">
        <f aca="false">IF(ISNUMBER(F19),IF(ISNUMBER(F22),F22/F19,IF(ISNUMBER(F23),F23/F19,"")),"")</f>
        <v/>
      </c>
      <c r="G27" s="17" t="str">
        <f aca="false">IF(ISNUMBER(G19),IF(ISNUMBER(G22),G22/G19,IF(ISNUMBER(G23),G23/G19,"")),"")</f>
        <v/>
      </c>
      <c r="H27" s="17" t="str">
        <f aca="false">IF(ISNUMBER(H19),IF(ISNUMBER(H22),H22/H19,IF(ISNUMBER(H23),H23/H19,"")),"")</f>
        <v/>
      </c>
      <c r="I27" s="17" t="str">
        <f aca="false">IF(ISNUMBER(I19),IF(ISNUMBER(I22),I22/I19,IF(ISNUMBER(I23),I23/I19,"")),"")</f>
        <v/>
      </c>
      <c r="J27" s="17" t="str">
        <f aca="false">IF(ISNUMBER(J19),IF(ISNUMBER(J22),J22/J19,IF(ISNUMBER(J23),J23/J19,"")),"")</f>
        <v/>
      </c>
      <c r="K27" s="17" t="str">
        <f aca="false">IF(ISNUMBER(K19),IF(ISNUMBER(K22),K22/K19,IF(ISNUMBER(K23),K23/K19,"")),"")</f>
        <v/>
      </c>
      <c r="L27" s="17" t="str">
        <f aca="false">IF(ISNUMBER(L19),IF(ISNUMBER(L22),L22/L19,IF(ISNUMBER(L23),L23/L19,"")),"")</f>
        <v/>
      </c>
      <c r="M27" s="17" t="str">
        <f aca="false">IF(ISNUMBER(M19),IF(ISNUMBER(M22),M22/M19,IF(ISNUMBER(M23),M23/M19,"")),"")</f>
        <v/>
      </c>
      <c r="N27" s="17" t="str">
        <f aca="false">IF(ISNUMBER(N19),IF(ISNUMBER(N22),N22/N19,IF(ISNUMBER(N23),N23/N19,"")),"")</f>
        <v/>
      </c>
      <c r="O27" s="17" t="str">
        <f aca="false">IF(ISNUMBER(O19),IF(ISNUMBER(O22),O22/O19,IF(ISNUMBER(O23),O23/O19,"")),"")</f>
        <v/>
      </c>
      <c r="P27" s="17" t="str">
        <f aca="false">IF(ISNUMBER(P19),IF(ISNUMBER(P22),P22/P19,IF(ISNUMBER(P23),P23/P19,"")),"")</f>
        <v/>
      </c>
      <c r="Q27" s="17" t="str">
        <f aca="false">IF(ISNUMBER(Q19),IF(ISNUMBER(Q22),Q22/Q19,IF(ISNUMBER(Q23),Q23/Q19,"")),"")</f>
        <v/>
      </c>
      <c r="R27" s="17" t="str">
        <f aca="false">IF(ISNUMBER(R19),IF(ISNUMBER(R22),R22/R19,IF(ISNUMBER(R23),R23/R19,"")),"")</f>
        <v/>
      </c>
      <c r="S27" s="17" t="n">
        <f aca="false">IF(ISNUMBER(S19),IF(ISNUMBER(S22),S22/S19,IF(ISNUMBER(S23),S23/S19,"")),"")</f>
        <v>0.713333333333333</v>
      </c>
      <c r="T27" s="25" t="s">
        <v>194</v>
      </c>
      <c r="U27" s="25"/>
      <c r="V27" s="25"/>
    </row>
    <row r="28" customFormat="false" ht="15" hidden="false" customHeight="true" outlineLevel="0" collapsed="false">
      <c r="A28" s="10" t="s">
        <v>195</v>
      </c>
      <c r="B28" s="29" t="s">
        <v>173</v>
      </c>
      <c r="C28" s="5"/>
      <c r="D28" s="18" t="str">
        <f aca="false">IF(AND(ISNUMBER(D19),ISNUMBER(C19)),D19-C19,"")</f>
        <v/>
      </c>
      <c r="E28" s="18" t="str">
        <f aca="false">IF(AND(ISNUMBER(E19),ISNUMBER(D19)),E19-D19,"")</f>
        <v/>
      </c>
      <c r="F28" s="18" t="str">
        <f aca="false">IF(AND(ISNUMBER(F19),ISNUMBER(E19)),F19-E19,"")</f>
        <v/>
      </c>
      <c r="G28" s="18" t="str">
        <f aca="false">IF(AND(ISNUMBER(G19),ISNUMBER(F19)),G19-F19,"")</f>
        <v/>
      </c>
      <c r="H28" s="18" t="str">
        <f aca="false">IF(AND(ISNUMBER(H19),ISNUMBER(G19)),H19-G19,"")</f>
        <v/>
      </c>
      <c r="I28" s="18" t="str">
        <f aca="false">IF(AND(ISNUMBER(I19),ISNUMBER(H19)),I19-H19,"")</f>
        <v/>
      </c>
      <c r="J28" s="18" t="str">
        <f aca="false">IF(AND(ISNUMBER(J19),ISNUMBER(I19)),J19-I19,"")</f>
        <v/>
      </c>
      <c r="K28" s="18" t="str">
        <f aca="false">IF(AND(ISNUMBER(K19),ISNUMBER(J19)),K19-J19,"")</f>
        <v/>
      </c>
      <c r="L28" s="18" t="str">
        <f aca="false">IF(AND(ISNUMBER(L19),ISNUMBER(K19)),L19-K19,"")</f>
        <v/>
      </c>
      <c r="M28" s="18" t="str">
        <f aca="false">IF(AND(ISNUMBER(M19),ISNUMBER(L19)),M19-L19,"")</f>
        <v/>
      </c>
      <c r="N28" s="18" t="str">
        <f aca="false">IF(AND(ISNUMBER(N19),ISNUMBER(M19)),N19-M19,"")</f>
        <v/>
      </c>
      <c r="O28" s="18" t="str">
        <f aca="false">IF(AND(ISNUMBER(O19),ISNUMBER(N19)),O19-N19,"")</f>
        <v/>
      </c>
      <c r="P28" s="18" t="str">
        <f aca="false">IF(AND(ISNUMBER(P19),ISNUMBER(O19)),P19-O19,"")</f>
        <v/>
      </c>
      <c r="Q28" s="18" t="str">
        <f aca="false">IF(AND(ISNUMBER(Q19),ISNUMBER(P19)),Q19-P19,"")</f>
        <v/>
      </c>
      <c r="R28" s="18" t="str">
        <f aca="false">IF(AND(ISNUMBER(R19),ISNUMBER(Q19)),R19-Q19,"")</f>
        <v/>
      </c>
      <c r="S28" s="18" t="str">
        <f aca="false">IF(AND(ISNUMBER(S19),ISNUMBER(R19)),S19-R19,"")</f>
        <v/>
      </c>
      <c r="T28" s="25" t="s">
        <v>196</v>
      </c>
      <c r="U28" s="25"/>
      <c r="V28" s="25"/>
    </row>
    <row r="29" customFormat="false" ht="15" hidden="false" customHeight="true" outlineLevel="0" collapsed="false">
      <c r="A29" s="10" t="s">
        <v>197</v>
      </c>
      <c r="B29" s="29" t="s">
        <v>189</v>
      </c>
      <c r="C29" s="31"/>
      <c r="D29" s="31"/>
      <c r="E29" s="31"/>
      <c r="F29" s="31"/>
      <c r="G29" s="31"/>
      <c r="H29" s="31"/>
      <c r="I29" s="31"/>
      <c r="J29" s="31"/>
      <c r="K29" s="31"/>
      <c r="L29" s="31"/>
      <c r="M29" s="31"/>
      <c r="N29" s="31"/>
      <c r="O29" s="31"/>
      <c r="P29" s="31"/>
      <c r="Q29" s="31"/>
      <c r="R29" s="31"/>
      <c r="S29" s="31"/>
      <c r="T29" s="25"/>
      <c r="U29" s="25"/>
      <c r="V29" s="25"/>
    </row>
    <row r="30" customFormat="false" ht="24.75" hidden="false" customHeight="true" outlineLevel="0" collapsed="false">
      <c r="A30" s="10" t="s">
        <v>199</v>
      </c>
      <c r="B30" s="29"/>
      <c r="C30" s="29" t="s">
        <v>920</v>
      </c>
      <c r="D30" s="29" t="s">
        <v>921</v>
      </c>
      <c r="E30" s="29" t="s">
        <v>920</v>
      </c>
      <c r="F30" s="29"/>
      <c r="G30" s="29"/>
      <c r="H30" s="29"/>
      <c r="I30" s="29"/>
      <c r="J30" s="29"/>
      <c r="K30" s="29"/>
      <c r="L30" s="29" t="s">
        <v>922</v>
      </c>
      <c r="M30" s="29"/>
      <c r="N30" s="29"/>
      <c r="O30" s="29" t="s">
        <v>923</v>
      </c>
      <c r="P30" s="29" t="s">
        <v>924</v>
      </c>
      <c r="Q30" s="29" t="s">
        <v>925</v>
      </c>
      <c r="R30" s="29" t="s">
        <v>926</v>
      </c>
      <c r="S30" s="29" t="s">
        <v>927</v>
      </c>
      <c r="T30" s="25"/>
      <c r="U30" s="25"/>
      <c r="V30" s="25"/>
    </row>
    <row r="31" customFormat="false" ht="57.75" hidden="false" customHeight="true" outlineLevel="0" collapsed="false">
      <c r="A31" s="10" t="s">
        <v>216</v>
      </c>
      <c r="B31" s="29"/>
      <c r="C31" s="25" t="s">
        <v>928</v>
      </c>
      <c r="D31" s="25" t="s">
        <v>929</v>
      </c>
      <c r="E31" s="25" t="s">
        <v>930</v>
      </c>
      <c r="F31" s="25"/>
      <c r="G31" s="25"/>
      <c r="H31" s="25"/>
      <c r="I31" s="25"/>
      <c r="J31" s="25"/>
      <c r="K31" s="25"/>
      <c r="L31" s="25" t="s">
        <v>931</v>
      </c>
      <c r="M31" s="25"/>
      <c r="N31" s="25"/>
      <c r="O31" s="25" t="s">
        <v>932</v>
      </c>
      <c r="P31" s="25" t="s">
        <v>933</v>
      </c>
      <c r="Q31" s="25" t="s">
        <v>934</v>
      </c>
      <c r="R31" s="25"/>
      <c r="S31" s="25" t="s">
        <v>935</v>
      </c>
      <c r="T31" s="25"/>
      <c r="U31" s="25"/>
      <c r="V31" s="25"/>
    </row>
    <row r="33" customFormat="false" ht="18" hidden="false" customHeight="true" outlineLevel="0" collapsed="false">
      <c r="A33" s="6" t="s">
        <v>233</v>
      </c>
      <c r="B33" s="6"/>
      <c r="C33" s="6"/>
      <c r="D33" s="6"/>
      <c r="E33" s="6"/>
      <c r="F33" s="6"/>
      <c r="G33" s="6"/>
      <c r="H33" s="6"/>
      <c r="I33" s="6"/>
      <c r="J33" s="6"/>
      <c r="K33" s="6"/>
      <c r="L33" s="6"/>
      <c r="M33" s="6"/>
      <c r="N33" s="6"/>
      <c r="O33" s="6"/>
      <c r="P33" s="6"/>
      <c r="Q33" s="6"/>
      <c r="R33" s="6"/>
      <c r="S33" s="6"/>
      <c r="T33" s="6"/>
      <c r="U33" s="6"/>
      <c r="V33" s="6"/>
    </row>
    <row r="34" customFormat="false" ht="15" hidden="false" customHeight="true" outlineLevel="0" collapsed="false">
      <c r="A34" s="8" t="s">
        <v>234</v>
      </c>
      <c r="B34" s="9" t="s">
        <v>170</v>
      </c>
      <c r="C34" s="9" t="s">
        <v>71</v>
      </c>
      <c r="D34" s="9" t="s">
        <v>72</v>
      </c>
      <c r="E34" s="9" t="s">
        <v>73</v>
      </c>
      <c r="F34" s="9" t="s">
        <v>74</v>
      </c>
      <c r="G34" s="9" t="s">
        <v>75</v>
      </c>
      <c r="H34" s="9" t="s">
        <v>76</v>
      </c>
      <c r="I34" s="9" t="s">
        <v>77</v>
      </c>
      <c r="J34" s="9" t="s">
        <v>78</v>
      </c>
      <c r="K34" s="9" t="s">
        <v>79</v>
      </c>
      <c r="L34" s="9" t="s">
        <v>80</v>
      </c>
      <c r="M34" s="9" t="s">
        <v>81</v>
      </c>
      <c r="N34" s="9" t="s">
        <v>82</v>
      </c>
      <c r="O34" s="9" t="s">
        <v>83</v>
      </c>
      <c r="P34" s="9" t="s">
        <v>84</v>
      </c>
      <c r="Q34" s="9" t="s">
        <v>85</v>
      </c>
      <c r="R34" s="9" t="s">
        <v>86</v>
      </c>
      <c r="S34" s="9" t="s">
        <v>87</v>
      </c>
      <c r="T34" s="8" t="s">
        <v>235</v>
      </c>
      <c r="U34" s="8"/>
      <c r="V34" s="8"/>
    </row>
    <row r="35" customFormat="false" ht="15" hidden="false" customHeight="true" outlineLevel="0" collapsed="false">
      <c r="A35" s="10" t="s">
        <v>936</v>
      </c>
      <c r="B35" s="29" t="s">
        <v>173</v>
      </c>
      <c r="C35" s="32"/>
      <c r="D35" s="30" t="n">
        <v>250000</v>
      </c>
      <c r="E35" s="32"/>
      <c r="F35" s="32"/>
      <c r="G35" s="32"/>
      <c r="H35" s="32"/>
      <c r="I35" s="32"/>
      <c r="J35" s="32"/>
      <c r="K35" s="32"/>
      <c r="L35" s="30" t="n">
        <v>154000</v>
      </c>
      <c r="M35" s="32"/>
      <c r="N35" s="32"/>
      <c r="O35" s="32"/>
      <c r="P35" s="32"/>
      <c r="Q35" s="32"/>
      <c r="R35" s="32"/>
      <c r="S35" s="32"/>
      <c r="T35" s="25" t="s">
        <v>937</v>
      </c>
      <c r="U35" s="25"/>
      <c r="V35" s="25"/>
    </row>
    <row r="36" customFormat="false" ht="15" hidden="false" customHeight="true" outlineLevel="0" collapsed="false">
      <c r="A36" s="10" t="s">
        <v>938</v>
      </c>
      <c r="B36" s="29" t="s">
        <v>173</v>
      </c>
      <c r="C36" s="32"/>
      <c r="D36" s="32"/>
      <c r="E36" s="32"/>
      <c r="F36" s="32"/>
      <c r="G36" s="32"/>
      <c r="H36" s="32"/>
      <c r="I36" s="32"/>
      <c r="J36" s="32"/>
      <c r="K36" s="32"/>
      <c r="L36" s="32"/>
      <c r="M36" s="32"/>
      <c r="N36" s="32"/>
      <c r="O36" s="32"/>
      <c r="P36" s="32"/>
      <c r="Q36" s="30" t="n">
        <v>300000</v>
      </c>
      <c r="R36" s="30" t="n">
        <v>300000</v>
      </c>
      <c r="S36" s="32"/>
      <c r="T36" s="25" t="s">
        <v>939</v>
      </c>
      <c r="U36" s="25"/>
      <c r="V36" s="25"/>
    </row>
    <row r="37" customFormat="false" ht="15" hidden="false" customHeight="true" outlineLevel="0" collapsed="false">
      <c r="A37" s="10" t="s">
        <v>940</v>
      </c>
      <c r="B37" s="29" t="s">
        <v>173</v>
      </c>
      <c r="C37" s="32"/>
      <c r="D37" s="32"/>
      <c r="E37" s="32"/>
      <c r="F37" s="32"/>
      <c r="G37" s="32"/>
      <c r="H37" s="32"/>
      <c r="I37" s="32"/>
      <c r="J37" s="32"/>
      <c r="K37" s="32"/>
      <c r="L37" s="32"/>
      <c r="M37" s="32"/>
      <c r="N37" s="32"/>
      <c r="O37" s="32"/>
      <c r="P37" s="32"/>
      <c r="Q37" s="32"/>
      <c r="R37" s="32"/>
      <c r="S37" s="32"/>
      <c r="T37" s="25" t="s">
        <v>941</v>
      </c>
      <c r="U37" s="25"/>
      <c r="V37" s="25"/>
    </row>
    <row r="38" customFormat="false" ht="15" hidden="false" customHeight="true" outlineLevel="0" collapsed="false">
      <c r="A38" s="10" t="s">
        <v>942</v>
      </c>
      <c r="B38" s="29" t="s">
        <v>173</v>
      </c>
      <c r="C38" s="32"/>
      <c r="D38" s="32"/>
      <c r="E38" s="32"/>
      <c r="F38" s="32"/>
      <c r="G38" s="32"/>
      <c r="H38" s="32"/>
      <c r="I38" s="32"/>
      <c r="J38" s="32"/>
      <c r="K38" s="32"/>
      <c r="L38" s="32"/>
      <c r="M38" s="32"/>
      <c r="N38" s="32"/>
      <c r="O38" s="32"/>
      <c r="P38" s="32"/>
      <c r="Q38" s="32"/>
      <c r="R38" s="32"/>
      <c r="S38" s="32"/>
      <c r="T38" s="25" t="s">
        <v>941</v>
      </c>
      <c r="U38" s="25"/>
      <c r="V38" s="25"/>
    </row>
    <row r="39" customFormat="false" ht="15" hidden="false" customHeight="true" outlineLevel="0" collapsed="false">
      <c r="A39" s="10" t="s">
        <v>943</v>
      </c>
      <c r="B39" s="29" t="s">
        <v>173</v>
      </c>
      <c r="C39" s="32"/>
      <c r="D39" s="32"/>
      <c r="E39" s="32"/>
      <c r="F39" s="32"/>
      <c r="G39" s="32"/>
      <c r="H39" s="32"/>
      <c r="I39" s="32"/>
      <c r="J39" s="32"/>
      <c r="K39" s="32"/>
      <c r="L39" s="32"/>
      <c r="M39" s="32"/>
      <c r="N39" s="32"/>
      <c r="O39" s="32"/>
      <c r="P39" s="32"/>
      <c r="Q39" s="32"/>
      <c r="R39" s="32"/>
      <c r="S39" s="32"/>
      <c r="T39" s="25" t="s">
        <v>944</v>
      </c>
      <c r="U39" s="25"/>
      <c r="V39" s="25"/>
    </row>
    <row r="41" customFormat="false" ht="18" hidden="false" customHeight="true" outlineLevel="0" collapsed="false">
      <c r="A41" s="6" t="s">
        <v>249</v>
      </c>
      <c r="B41" s="6"/>
      <c r="C41" s="6"/>
      <c r="D41" s="6"/>
      <c r="E41" s="6"/>
      <c r="F41" s="6"/>
      <c r="G41" s="6"/>
      <c r="H41" s="6"/>
      <c r="I41" s="6"/>
      <c r="J41" s="6"/>
      <c r="K41" s="6"/>
      <c r="L41" s="6"/>
      <c r="M41" s="6"/>
      <c r="N41" s="6"/>
      <c r="O41" s="6"/>
      <c r="P41" s="6"/>
      <c r="Q41" s="6"/>
      <c r="R41" s="6"/>
      <c r="S41" s="6"/>
      <c r="T41" s="6"/>
      <c r="U41" s="6"/>
      <c r="V41" s="6"/>
    </row>
    <row r="42" customFormat="false" ht="40.5" hidden="false" customHeight="true" outlineLevel="0" collapsed="false">
      <c r="A42" s="9" t="s">
        <v>250</v>
      </c>
      <c r="B42" s="9" t="s">
        <v>251</v>
      </c>
      <c r="C42" s="9"/>
      <c r="D42" s="9" t="s">
        <v>252</v>
      </c>
      <c r="E42" s="9"/>
      <c r="F42" s="9" t="s">
        <v>253</v>
      </c>
      <c r="G42" s="9" t="s">
        <v>254</v>
      </c>
      <c r="H42" s="9"/>
      <c r="I42" s="9" t="s">
        <v>255</v>
      </c>
      <c r="J42" s="9"/>
      <c r="K42" s="9"/>
      <c r="L42" s="9"/>
      <c r="M42" s="9" t="s">
        <v>256</v>
      </c>
      <c r="N42" s="9"/>
      <c r="O42" s="9" t="s">
        <v>257</v>
      </c>
      <c r="P42" s="9" t="s">
        <v>258</v>
      </c>
      <c r="Q42" s="9" t="s">
        <v>110</v>
      </c>
      <c r="R42" s="9" t="s">
        <v>259</v>
      </c>
      <c r="S42" s="9" t="s">
        <v>171</v>
      </c>
      <c r="T42" s="9"/>
      <c r="U42" s="9"/>
      <c r="V42" s="9" t="s">
        <v>260</v>
      </c>
    </row>
    <row r="43" customFormat="false" ht="27.75" hidden="false" customHeight="true" outlineLevel="0" collapsed="false">
      <c r="A43" s="10" t="s">
        <v>945</v>
      </c>
      <c r="B43" s="5" t="s">
        <v>717</v>
      </c>
      <c r="C43" s="5"/>
      <c r="D43" s="5" t="s">
        <v>946</v>
      </c>
      <c r="E43" s="5"/>
      <c r="F43" s="5" t="s">
        <v>947</v>
      </c>
      <c r="G43" s="5" t="s">
        <v>948</v>
      </c>
      <c r="H43" s="5"/>
      <c r="I43" s="5" t="s">
        <v>949</v>
      </c>
      <c r="J43" s="5"/>
      <c r="K43" s="5"/>
      <c r="L43" s="5"/>
      <c r="M43" s="5" t="s">
        <v>950</v>
      </c>
      <c r="N43" s="5"/>
      <c r="O43" s="5"/>
      <c r="P43" s="5" t="s">
        <v>121</v>
      </c>
      <c r="Q43" s="5" t="s">
        <v>301</v>
      </c>
      <c r="R43" s="5" t="s">
        <v>277</v>
      </c>
      <c r="S43" s="5" t="s">
        <v>951</v>
      </c>
      <c r="T43" s="5"/>
      <c r="U43" s="5"/>
      <c r="V43" s="5" t="s">
        <v>952</v>
      </c>
    </row>
    <row r="44" customFormat="false" ht="15" hidden="false" customHeight="true" outlineLevel="0" collapsed="false">
      <c r="A44" s="10" t="s">
        <v>953</v>
      </c>
      <c r="B44" s="5" t="s">
        <v>717</v>
      </c>
      <c r="C44" s="5"/>
      <c r="D44" s="5" t="s">
        <v>954</v>
      </c>
      <c r="E44" s="5"/>
      <c r="F44" s="5" t="s">
        <v>955</v>
      </c>
      <c r="G44" s="5" t="s">
        <v>956</v>
      </c>
      <c r="H44" s="5"/>
      <c r="I44" s="5" t="s">
        <v>957</v>
      </c>
      <c r="J44" s="5"/>
      <c r="K44" s="5"/>
      <c r="L44" s="5"/>
      <c r="M44" s="5" t="s">
        <v>958</v>
      </c>
      <c r="N44" s="5"/>
      <c r="O44" s="5"/>
      <c r="P44" s="5" t="s">
        <v>121</v>
      </c>
      <c r="Q44" s="5" t="s">
        <v>301</v>
      </c>
      <c r="R44" s="5" t="s">
        <v>277</v>
      </c>
      <c r="S44" s="5" t="s">
        <v>959</v>
      </c>
      <c r="T44" s="5"/>
      <c r="U44" s="5"/>
      <c r="V44" s="5" t="s">
        <v>960</v>
      </c>
    </row>
    <row r="45" customFormat="false" ht="27.75" hidden="false" customHeight="true" outlineLevel="0" collapsed="false">
      <c r="A45" s="10" t="s">
        <v>961</v>
      </c>
      <c r="B45" s="5" t="s">
        <v>962</v>
      </c>
      <c r="C45" s="5"/>
      <c r="D45" s="5" t="s">
        <v>946</v>
      </c>
      <c r="E45" s="5"/>
      <c r="F45" s="5" t="s">
        <v>963</v>
      </c>
      <c r="G45" s="5" t="s">
        <v>964</v>
      </c>
      <c r="H45" s="5"/>
      <c r="I45" s="5" t="s">
        <v>965</v>
      </c>
      <c r="J45" s="5"/>
      <c r="K45" s="5"/>
      <c r="L45" s="5"/>
      <c r="M45" s="5" t="s">
        <v>958</v>
      </c>
      <c r="N45" s="5"/>
      <c r="O45" s="30" t="n">
        <v>250000</v>
      </c>
      <c r="P45" s="30" t="n">
        <v>154000</v>
      </c>
      <c r="Q45" s="5" t="s">
        <v>966</v>
      </c>
      <c r="R45" s="5" t="s">
        <v>277</v>
      </c>
      <c r="S45" s="5" t="s">
        <v>967</v>
      </c>
      <c r="T45" s="5"/>
      <c r="U45" s="5"/>
      <c r="V45" s="5" t="s">
        <v>968</v>
      </c>
    </row>
    <row r="46" customFormat="false" ht="52.5" hidden="false" customHeight="true" outlineLevel="0" collapsed="false">
      <c r="A46" s="10" t="s">
        <v>938</v>
      </c>
      <c r="B46" s="5" t="s">
        <v>962</v>
      </c>
      <c r="C46" s="5"/>
      <c r="D46" s="5" t="s">
        <v>969</v>
      </c>
      <c r="E46" s="5"/>
      <c r="F46" s="5" t="s">
        <v>970</v>
      </c>
      <c r="G46" s="5" t="s">
        <v>964</v>
      </c>
      <c r="H46" s="5"/>
      <c r="I46" s="5" t="s">
        <v>971</v>
      </c>
      <c r="J46" s="5"/>
      <c r="K46" s="5"/>
      <c r="L46" s="5"/>
      <c r="M46" s="5" t="s">
        <v>121</v>
      </c>
      <c r="N46" s="5"/>
      <c r="O46" s="30" t="n">
        <v>300000</v>
      </c>
      <c r="P46" s="30" t="n">
        <v>300000</v>
      </c>
      <c r="Q46" s="5" t="s">
        <v>972</v>
      </c>
      <c r="R46" s="5" t="s">
        <v>973</v>
      </c>
      <c r="S46" s="5" t="s">
        <v>974</v>
      </c>
      <c r="T46" s="5"/>
      <c r="U46" s="5"/>
      <c r="V46" s="5" t="s">
        <v>975</v>
      </c>
    </row>
    <row r="47" customFormat="false" ht="27.75" hidden="false" customHeight="true" outlineLevel="0" collapsed="false">
      <c r="A47" s="10" t="s">
        <v>976</v>
      </c>
      <c r="B47" s="5" t="s">
        <v>977</v>
      </c>
      <c r="C47" s="5"/>
      <c r="D47" s="5" t="s">
        <v>978</v>
      </c>
      <c r="E47" s="5"/>
      <c r="F47" s="5" t="s">
        <v>979</v>
      </c>
      <c r="G47" s="5" t="s">
        <v>980</v>
      </c>
      <c r="H47" s="5"/>
      <c r="I47" s="5" t="s">
        <v>981</v>
      </c>
      <c r="J47" s="5"/>
      <c r="K47" s="5"/>
      <c r="L47" s="5"/>
      <c r="M47" s="5" t="s">
        <v>982</v>
      </c>
      <c r="N47" s="5"/>
      <c r="O47" s="5" t="s">
        <v>983</v>
      </c>
      <c r="P47" s="5" t="s">
        <v>984</v>
      </c>
      <c r="Q47" s="5" t="s">
        <v>766</v>
      </c>
      <c r="R47" s="5" t="s">
        <v>985</v>
      </c>
      <c r="S47" s="5" t="s">
        <v>986</v>
      </c>
      <c r="T47" s="5"/>
      <c r="U47" s="5"/>
      <c r="V47" s="5" t="s">
        <v>987</v>
      </c>
    </row>
    <row r="48" customFormat="false" ht="27.75" hidden="false" customHeight="true" outlineLevel="0" collapsed="false">
      <c r="A48" s="10" t="s">
        <v>988</v>
      </c>
      <c r="B48" s="5" t="s">
        <v>742</v>
      </c>
      <c r="C48" s="5"/>
      <c r="D48" s="5" t="s">
        <v>989</v>
      </c>
      <c r="E48" s="5"/>
      <c r="F48" s="5" t="s">
        <v>990</v>
      </c>
      <c r="G48" s="5" t="s">
        <v>991</v>
      </c>
      <c r="H48" s="5"/>
      <c r="I48" s="5" t="s">
        <v>992</v>
      </c>
      <c r="J48" s="5"/>
      <c r="K48" s="5"/>
      <c r="L48" s="5"/>
      <c r="M48" s="5" t="s">
        <v>301</v>
      </c>
      <c r="N48" s="5"/>
      <c r="O48" s="5" t="s">
        <v>993</v>
      </c>
      <c r="P48" s="5" t="s">
        <v>994</v>
      </c>
      <c r="Q48" s="5" t="s">
        <v>995</v>
      </c>
      <c r="R48" s="5" t="s">
        <v>996</v>
      </c>
      <c r="S48" s="5"/>
      <c r="T48" s="5"/>
      <c r="U48" s="5"/>
      <c r="V48" s="5" t="s">
        <v>997</v>
      </c>
    </row>
    <row r="50" customFormat="false" ht="18" hidden="false" customHeight="true" outlineLevel="0" collapsed="false">
      <c r="A50" s="6" t="s">
        <v>316</v>
      </c>
      <c r="B50" s="6"/>
      <c r="C50" s="6"/>
      <c r="D50" s="6"/>
      <c r="E50" s="6"/>
      <c r="F50" s="6"/>
      <c r="G50" s="6"/>
      <c r="H50" s="6"/>
      <c r="I50" s="6"/>
      <c r="J50" s="6"/>
      <c r="K50" s="6"/>
      <c r="L50" s="6"/>
      <c r="M50" s="6"/>
      <c r="N50" s="6"/>
      <c r="O50" s="6"/>
      <c r="P50" s="6"/>
      <c r="Q50" s="6"/>
      <c r="R50" s="6"/>
      <c r="S50" s="6"/>
      <c r="T50" s="6"/>
      <c r="U50" s="6"/>
      <c r="V50" s="6"/>
    </row>
    <row r="51" customFormat="false" ht="40.5" hidden="false" customHeight="true" outlineLevel="0" collapsed="false">
      <c r="A51" s="9" t="s">
        <v>317</v>
      </c>
      <c r="B51" s="9" t="s">
        <v>318</v>
      </c>
      <c r="C51" s="9" t="s">
        <v>319</v>
      </c>
      <c r="D51" s="9" t="s">
        <v>320</v>
      </c>
      <c r="E51" s="9"/>
      <c r="F51" s="9" t="s">
        <v>250</v>
      </c>
      <c r="G51" s="9"/>
      <c r="H51" s="9" t="s">
        <v>321</v>
      </c>
      <c r="I51" s="9" t="s">
        <v>322</v>
      </c>
      <c r="J51" s="9" t="s">
        <v>323</v>
      </c>
      <c r="K51" s="9" t="s">
        <v>324</v>
      </c>
      <c r="L51" s="9" t="s">
        <v>259</v>
      </c>
      <c r="M51" s="9"/>
      <c r="N51" s="9" t="s">
        <v>171</v>
      </c>
      <c r="O51" s="9"/>
      <c r="P51" s="9"/>
      <c r="Q51" s="9"/>
      <c r="R51" s="9"/>
      <c r="S51" s="9"/>
      <c r="T51" s="9"/>
      <c r="U51" s="9"/>
      <c r="V51" s="9" t="s">
        <v>325</v>
      </c>
    </row>
    <row r="52" customFormat="false" ht="15" hidden="false" customHeight="true" outlineLevel="0" collapsed="false">
      <c r="A52" s="10" t="s">
        <v>998</v>
      </c>
      <c r="B52" s="5" t="s">
        <v>999</v>
      </c>
      <c r="C52" s="5" t="s">
        <v>1000</v>
      </c>
      <c r="D52" s="5" t="s">
        <v>1001</v>
      </c>
      <c r="E52" s="5"/>
      <c r="F52" s="5" t="s">
        <v>664</v>
      </c>
      <c r="G52" s="5"/>
      <c r="H52" s="5"/>
      <c r="I52" s="5"/>
      <c r="J52" s="5"/>
      <c r="K52" s="5"/>
      <c r="L52" s="5" t="s">
        <v>301</v>
      </c>
      <c r="M52" s="5"/>
      <c r="N52" s="5" t="s">
        <v>1002</v>
      </c>
      <c r="O52" s="5"/>
      <c r="P52" s="5"/>
      <c r="Q52" s="5"/>
      <c r="R52" s="5"/>
      <c r="S52" s="5"/>
      <c r="T52" s="5"/>
      <c r="U52" s="5"/>
      <c r="V52" s="5" t="s">
        <v>920</v>
      </c>
    </row>
    <row r="53" customFormat="false" ht="15" hidden="false" customHeight="true" outlineLevel="0" collapsed="false">
      <c r="A53" s="10" t="s">
        <v>1003</v>
      </c>
      <c r="B53" s="5" t="s">
        <v>955</v>
      </c>
      <c r="C53" s="5" t="s">
        <v>600</v>
      </c>
      <c r="D53" s="5" t="s">
        <v>1004</v>
      </c>
      <c r="E53" s="5"/>
      <c r="F53" s="5" t="s">
        <v>1005</v>
      </c>
      <c r="G53" s="5"/>
      <c r="H53" s="5"/>
      <c r="I53" s="5"/>
      <c r="J53" s="5"/>
      <c r="K53" s="5"/>
      <c r="L53" s="5" t="s">
        <v>1006</v>
      </c>
      <c r="M53" s="5"/>
      <c r="N53" s="5" t="s">
        <v>1007</v>
      </c>
      <c r="O53" s="5"/>
      <c r="P53" s="5"/>
      <c r="Q53" s="5"/>
      <c r="R53" s="5"/>
      <c r="S53" s="5"/>
      <c r="T53" s="5"/>
      <c r="U53" s="5"/>
      <c r="V53" s="5" t="s">
        <v>920</v>
      </c>
    </row>
    <row r="54" customFormat="false" ht="15" hidden="false" customHeight="true" outlineLevel="0" collapsed="false">
      <c r="A54" s="10" t="s">
        <v>1008</v>
      </c>
      <c r="B54" s="5" t="s">
        <v>990</v>
      </c>
      <c r="C54" s="5" t="s">
        <v>71</v>
      </c>
      <c r="D54" s="5" t="s">
        <v>1009</v>
      </c>
      <c r="E54" s="5"/>
      <c r="F54" s="5" t="s">
        <v>1010</v>
      </c>
      <c r="G54" s="5"/>
      <c r="H54" s="30" t="n">
        <v>60000</v>
      </c>
      <c r="I54" s="5"/>
      <c r="J54" s="5"/>
      <c r="K54" s="5"/>
      <c r="L54" s="5" t="s">
        <v>1009</v>
      </c>
      <c r="M54" s="5"/>
      <c r="N54" s="5" t="s">
        <v>1011</v>
      </c>
      <c r="O54" s="5"/>
      <c r="P54" s="5"/>
      <c r="Q54" s="5"/>
      <c r="R54" s="5"/>
      <c r="S54" s="5"/>
      <c r="T54" s="5"/>
      <c r="U54" s="5"/>
      <c r="V54" s="5" t="s">
        <v>1012</v>
      </c>
    </row>
    <row r="55" customFormat="false" ht="15" hidden="false" customHeight="true" outlineLevel="0" collapsed="false">
      <c r="A55" s="10" t="s">
        <v>1013</v>
      </c>
      <c r="B55" s="5" t="s">
        <v>963</v>
      </c>
      <c r="C55" s="5" t="s">
        <v>72</v>
      </c>
      <c r="D55" s="5" t="s">
        <v>328</v>
      </c>
      <c r="E55" s="5"/>
      <c r="F55" s="5" t="s">
        <v>961</v>
      </c>
      <c r="G55" s="5"/>
      <c r="H55" s="30" t="n">
        <v>250000</v>
      </c>
      <c r="I55" s="30" t="n">
        <v>250000</v>
      </c>
      <c r="J55" s="5"/>
      <c r="K55" s="5"/>
      <c r="L55" s="5" t="s">
        <v>329</v>
      </c>
      <c r="M55" s="5"/>
      <c r="N55" s="5" t="s">
        <v>1014</v>
      </c>
      <c r="O55" s="5"/>
      <c r="P55" s="5"/>
      <c r="Q55" s="5"/>
      <c r="R55" s="5"/>
      <c r="S55" s="5"/>
      <c r="T55" s="5"/>
      <c r="U55" s="5"/>
      <c r="V55" s="5" t="s">
        <v>1015</v>
      </c>
    </row>
    <row r="56" customFormat="false" ht="15" hidden="false" customHeight="true" outlineLevel="0" collapsed="false">
      <c r="A56" s="10" t="s">
        <v>1016</v>
      </c>
      <c r="B56" s="5" t="s">
        <v>1017</v>
      </c>
      <c r="C56" s="5" t="s">
        <v>73</v>
      </c>
      <c r="D56" s="5" t="s">
        <v>1018</v>
      </c>
      <c r="E56" s="5"/>
      <c r="F56" s="5" t="s">
        <v>664</v>
      </c>
      <c r="G56" s="5"/>
      <c r="H56" s="5"/>
      <c r="I56" s="5"/>
      <c r="J56" s="5"/>
      <c r="K56" s="5"/>
      <c r="L56" s="5" t="s">
        <v>329</v>
      </c>
      <c r="M56" s="5"/>
      <c r="N56" s="5" t="s">
        <v>1019</v>
      </c>
      <c r="O56" s="5"/>
      <c r="P56" s="5"/>
      <c r="Q56" s="5"/>
      <c r="R56" s="5"/>
      <c r="S56" s="5"/>
      <c r="T56" s="5"/>
      <c r="U56" s="5"/>
      <c r="V56" s="5" t="s">
        <v>920</v>
      </c>
    </row>
    <row r="57" customFormat="false" ht="15" hidden="false" customHeight="true" outlineLevel="0" collapsed="false">
      <c r="A57" s="10" t="s">
        <v>1020</v>
      </c>
      <c r="B57" s="5" t="s">
        <v>966</v>
      </c>
      <c r="C57" s="5" t="s">
        <v>80</v>
      </c>
      <c r="D57" s="5" t="s">
        <v>784</v>
      </c>
      <c r="E57" s="5"/>
      <c r="F57" s="5" t="s">
        <v>961</v>
      </c>
      <c r="G57" s="5"/>
      <c r="H57" s="5"/>
      <c r="I57" s="30" t="n">
        <v>154000</v>
      </c>
      <c r="J57" s="5"/>
      <c r="K57" s="5"/>
      <c r="L57" s="5" t="s">
        <v>786</v>
      </c>
      <c r="M57" s="5"/>
      <c r="N57" s="5" t="s">
        <v>1021</v>
      </c>
      <c r="O57" s="5"/>
      <c r="P57" s="5"/>
      <c r="Q57" s="5"/>
      <c r="R57" s="5"/>
      <c r="S57" s="5"/>
      <c r="T57" s="5"/>
      <c r="U57" s="5"/>
      <c r="V57" s="5" t="s">
        <v>922</v>
      </c>
    </row>
    <row r="58" customFormat="false" ht="15" hidden="false" customHeight="true" outlineLevel="0" collapsed="false">
      <c r="A58" s="10" t="s">
        <v>1022</v>
      </c>
      <c r="B58" s="5" t="s">
        <v>1023</v>
      </c>
      <c r="C58" s="5" t="s">
        <v>83</v>
      </c>
      <c r="D58" s="5" t="s">
        <v>784</v>
      </c>
      <c r="E58" s="5"/>
      <c r="F58" s="5" t="s">
        <v>1024</v>
      </c>
      <c r="G58" s="5"/>
      <c r="H58" s="5"/>
      <c r="I58" s="5"/>
      <c r="J58" s="30" t="n">
        <v>480000</v>
      </c>
      <c r="K58" s="5"/>
      <c r="L58" s="5" t="s">
        <v>786</v>
      </c>
      <c r="M58" s="5"/>
      <c r="N58" s="5"/>
      <c r="O58" s="5"/>
      <c r="P58" s="5"/>
      <c r="Q58" s="5"/>
      <c r="R58" s="5"/>
      <c r="S58" s="5"/>
      <c r="T58" s="5"/>
      <c r="U58" s="5"/>
      <c r="V58" s="5" t="s">
        <v>923</v>
      </c>
    </row>
    <row r="59" customFormat="false" ht="15" hidden="false" customHeight="true" outlineLevel="0" collapsed="false">
      <c r="A59" s="10" t="s">
        <v>1025</v>
      </c>
      <c r="B59" s="5" t="s">
        <v>1026</v>
      </c>
      <c r="C59" s="5" t="s">
        <v>84</v>
      </c>
      <c r="D59" s="5" t="s">
        <v>1027</v>
      </c>
      <c r="E59" s="5"/>
      <c r="F59" s="5" t="s">
        <v>1028</v>
      </c>
      <c r="G59" s="5"/>
      <c r="H59" s="30" t="n">
        <v>300000</v>
      </c>
      <c r="I59" s="5"/>
      <c r="J59" s="5"/>
      <c r="K59" s="5"/>
      <c r="L59" s="5" t="s">
        <v>1029</v>
      </c>
      <c r="M59" s="5"/>
      <c r="N59" s="5" t="s">
        <v>1030</v>
      </c>
      <c r="O59" s="5"/>
      <c r="P59" s="5"/>
      <c r="Q59" s="5"/>
      <c r="R59" s="5"/>
      <c r="S59" s="5"/>
      <c r="T59" s="5"/>
      <c r="U59" s="5"/>
      <c r="V59" s="5" t="s">
        <v>924</v>
      </c>
    </row>
    <row r="60" customFormat="false" ht="40.5" hidden="false" customHeight="true" outlineLevel="0" collapsed="false">
      <c r="A60" s="10" t="s">
        <v>1031</v>
      </c>
      <c r="B60" s="5" t="s">
        <v>1032</v>
      </c>
      <c r="C60" s="5" t="s">
        <v>85</v>
      </c>
      <c r="D60" s="5" t="s">
        <v>1033</v>
      </c>
      <c r="E60" s="5"/>
      <c r="F60" s="5" t="s">
        <v>1028</v>
      </c>
      <c r="G60" s="5"/>
      <c r="H60" s="30" t="n">
        <v>300000</v>
      </c>
      <c r="I60" s="30" t="n">
        <v>300000</v>
      </c>
      <c r="J60" s="5"/>
      <c r="K60" s="5"/>
      <c r="L60" s="5" t="s">
        <v>329</v>
      </c>
      <c r="M60" s="5"/>
      <c r="N60" s="5" t="s">
        <v>1034</v>
      </c>
      <c r="O60" s="5"/>
      <c r="P60" s="5"/>
      <c r="Q60" s="5"/>
      <c r="R60" s="5"/>
      <c r="S60" s="5"/>
      <c r="T60" s="5"/>
      <c r="U60" s="5"/>
      <c r="V60" s="5" t="s">
        <v>925</v>
      </c>
    </row>
    <row r="61" customFormat="false" ht="15" hidden="false" customHeight="true" outlineLevel="0" collapsed="false">
      <c r="A61" s="10" t="s">
        <v>1035</v>
      </c>
      <c r="B61" s="5" t="s">
        <v>1036</v>
      </c>
      <c r="C61" s="5" t="s">
        <v>86</v>
      </c>
      <c r="D61" s="5" t="s">
        <v>392</v>
      </c>
      <c r="E61" s="5"/>
      <c r="F61" s="5" t="s">
        <v>976</v>
      </c>
      <c r="G61" s="5"/>
      <c r="H61" s="5"/>
      <c r="I61" s="5"/>
      <c r="J61" s="5"/>
      <c r="K61" s="30" t="n">
        <v>9000</v>
      </c>
      <c r="L61" s="5" t="s">
        <v>393</v>
      </c>
      <c r="M61" s="5"/>
      <c r="N61" s="5"/>
      <c r="O61" s="5"/>
      <c r="P61" s="5"/>
      <c r="Q61" s="5"/>
      <c r="R61" s="5"/>
      <c r="S61" s="5"/>
      <c r="T61" s="5"/>
      <c r="U61" s="5"/>
      <c r="V61" s="5" t="s">
        <v>1037</v>
      </c>
    </row>
    <row r="62" customFormat="false" ht="15" hidden="false" customHeight="true" outlineLevel="0" collapsed="false">
      <c r="A62" s="10" t="s">
        <v>1038</v>
      </c>
      <c r="B62" s="5" t="s">
        <v>637</v>
      </c>
      <c r="C62" s="5" t="s">
        <v>87</v>
      </c>
      <c r="D62" s="5" t="s">
        <v>1039</v>
      </c>
      <c r="E62" s="5"/>
      <c r="F62" s="5" t="s">
        <v>301</v>
      </c>
      <c r="G62" s="5"/>
      <c r="H62" s="5"/>
      <c r="I62" s="5"/>
      <c r="J62" s="5"/>
      <c r="K62" s="5"/>
      <c r="L62" s="5" t="s">
        <v>1040</v>
      </c>
      <c r="M62" s="5"/>
      <c r="N62" s="5" t="s">
        <v>1041</v>
      </c>
      <c r="O62" s="5"/>
      <c r="P62" s="5"/>
      <c r="Q62" s="5"/>
      <c r="R62" s="5"/>
      <c r="S62" s="5"/>
      <c r="T62" s="5"/>
      <c r="U62" s="5"/>
      <c r="V62" s="5" t="s">
        <v>1042</v>
      </c>
    </row>
    <row r="63" customFormat="false" ht="15" hidden="false" customHeight="true" outlineLevel="0" collapsed="false">
      <c r="A63" s="10" t="s">
        <v>1043</v>
      </c>
      <c r="B63" s="5" t="s">
        <v>979</v>
      </c>
      <c r="C63" s="5" t="s">
        <v>87</v>
      </c>
      <c r="D63" s="5" t="s">
        <v>328</v>
      </c>
      <c r="E63" s="5"/>
      <c r="F63" s="5" t="s">
        <v>976</v>
      </c>
      <c r="G63" s="5"/>
      <c r="H63" s="5"/>
      <c r="I63" s="5" t="s">
        <v>1044</v>
      </c>
      <c r="J63" s="30" t="n">
        <v>900000</v>
      </c>
      <c r="K63" s="30" t="n">
        <v>9000</v>
      </c>
      <c r="L63" s="5" t="s">
        <v>1045</v>
      </c>
      <c r="M63" s="5"/>
      <c r="N63" s="5" t="s">
        <v>1046</v>
      </c>
      <c r="O63" s="5"/>
      <c r="P63" s="5"/>
      <c r="Q63" s="5"/>
      <c r="R63" s="5"/>
      <c r="S63" s="5"/>
      <c r="T63" s="5"/>
      <c r="U63" s="5"/>
      <c r="V63" s="5" t="s">
        <v>1037</v>
      </c>
    </row>
    <row r="64" customFormat="false" ht="27.75" hidden="false" customHeight="true" outlineLevel="0" collapsed="false">
      <c r="A64" s="10" t="s">
        <v>1047</v>
      </c>
      <c r="B64" s="5" t="s">
        <v>1048</v>
      </c>
      <c r="C64" s="5" t="s">
        <v>425</v>
      </c>
      <c r="D64" s="5" t="s">
        <v>1049</v>
      </c>
      <c r="E64" s="5"/>
      <c r="F64" s="5" t="s">
        <v>1050</v>
      </c>
      <c r="G64" s="5"/>
      <c r="H64" s="30" t="n">
        <v>400000</v>
      </c>
      <c r="I64" s="5"/>
      <c r="J64" s="30" t="n">
        <v>1300000</v>
      </c>
      <c r="K64" s="5"/>
      <c r="L64" s="5" t="s">
        <v>341</v>
      </c>
      <c r="M64" s="5"/>
      <c r="N64" s="5" t="s">
        <v>1051</v>
      </c>
      <c r="O64" s="5"/>
      <c r="P64" s="5"/>
      <c r="Q64" s="5"/>
      <c r="R64" s="5"/>
      <c r="S64" s="5"/>
      <c r="T64" s="5"/>
      <c r="U64" s="5"/>
      <c r="V64" s="5" t="s">
        <v>1052</v>
      </c>
    </row>
    <row r="66" customFormat="false" ht="18" hidden="false" customHeight="true" outlineLevel="0" collapsed="false">
      <c r="A66" s="6" t="s">
        <v>433</v>
      </c>
      <c r="B66" s="6"/>
      <c r="C66" s="6"/>
      <c r="D66" s="6"/>
      <c r="E66" s="6"/>
      <c r="F66" s="6"/>
      <c r="G66" s="6"/>
      <c r="H66" s="6"/>
      <c r="I66" s="6"/>
      <c r="J66" s="6"/>
      <c r="K66" s="6"/>
      <c r="L66" s="6"/>
      <c r="M66" s="6"/>
      <c r="N66" s="6"/>
      <c r="O66" s="6"/>
      <c r="P66" s="6"/>
      <c r="Q66" s="6"/>
      <c r="R66" s="6"/>
      <c r="S66" s="6"/>
      <c r="T66" s="6"/>
      <c r="U66" s="6"/>
      <c r="V66" s="6"/>
    </row>
    <row r="67" customFormat="false" ht="15" hidden="false" customHeight="true" outlineLevel="0" collapsed="false">
      <c r="A67" s="9" t="s">
        <v>434</v>
      </c>
      <c r="B67" s="9" t="s">
        <v>435</v>
      </c>
      <c r="C67" s="9"/>
      <c r="D67" s="9" t="s">
        <v>70</v>
      </c>
      <c r="E67" s="9"/>
      <c r="F67" s="9" t="s">
        <v>436</v>
      </c>
      <c r="G67" s="9"/>
      <c r="H67" s="9"/>
      <c r="I67" s="9"/>
      <c r="J67" s="9"/>
      <c r="K67" s="9"/>
      <c r="L67" s="9" t="s">
        <v>437</v>
      </c>
      <c r="M67" s="9"/>
      <c r="N67" s="9"/>
      <c r="O67" s="9" t="s">
        <v>438</v>
      </c>
      <c r="P67" s="9" t="s">
        <v>171</v>
      </c>
      <c r="Q67" s="9"/>
      <c r="R67" s="9"/>
      <c r="S67" s="9"/>
      <c r="T67" s="9"/>
      <c r="U67" s="9"/>
      <c r="V67" s="9" t="s">
        <v>260</v>
      </c>
    </row>
    <row r="68" customFormat="false" ht="27.75" hidden="false" customHeight="true" outlineLevel="0" collapsed="false">
      <c r="A68" s="10" t="s">
        <v>1053</v>
      </c>
      <c r="B68" s="5" t="s">
        <v>1054</v>
      </c>
      <c r="C68" s="5"/>
      <c r="D68" s="5" t="s">
        <v>1055</v>
      </c>
      <c r="E68" s="5"/>
      <c r="F68" s="5" t="s">
        <v>1056</v>
      </c>
      <c r="G68" s="5"/>
      <c r="H68" s="5"/>
      <c r="I68" s="5"/>
      <c r="J68" s="5"/>
      <c r="K68" s="5"/>
      <c r="L68" s="5" t="s">
        <v>664</v>
      </c>
      <c r="M68" s="5"/>
      <c r="N68" s="5"/>
      <c r="O68" s="5" t="s">
        <v>1057</v>
      </c>
      <c r="P68" s="5"/>
      <c r="Q68" s="5"/>
      <c r="R68" s="5"/>
      <c r="S68" s="5"/>
      <c r="T68" s="5"/>
      <c r="U68" s="5"/>
      <c r="V68" s="5" t="s">
        <v>1058</v>
      </c>
    </row>
    <row r="69" customFormat="false" ht="27.75" hidden="false" customHeight="true" outlineLevel="0" collapsed="false">
      <c r="A69" s="10" t="s">
        <v>1059</v>
      </c>
      <c r="B69" s="5" t="s">
        <v>1060</v>
      </c>
      <c r="C69" s="5"/>
      <c r="D69" s="5" t="s">
        <v>448</v>
      </c>
      <c r="E69" s="5"/>
      <c r="F69" s="5" t="s">
        <v>1061</v>
      </c>
      <c r="G69" s="5"/>
      <c r="H69" s="5"/>
      <c r="I69" s="5"/>
      <c r="J69" s="5"/>
      <c r="K69" s="5"/>
      <c r="L69" s="5" t="s">
        <v>664</v>
      </c>
      <c r="M69" s="5"/>
      <c r="N69" s="5"/>
      <c r="O69" s="5" t="s">
        <v>831</v>
      </c>
      <c r="P69" s="5"/>
      <c r="Q69" s="5"/>
      <c r="R69" s="5"/>
      <c r="S69" s="5"/>
      <c r="T69" s="5"/>
      <c r="U69" s="5"/>
      <c r="V69" s="5" t="s">
        <v>1058</v>
      </c>
    </row>
    <row r="70" customFormat="false" ht="27.75" hidden="false" customHeight="true" outlineLevel="0" collapsed="false">
      <c r="A70" s="10" t="s">
        <v>958</v>
      </c>
      <c r="B70" s="5" t="s">
        <v>1062</v>
      </c>
      <c r="C70" s="5"/>
      <c r="D70" s="5" t="s">
        <v>1063</v>
      </c>
      <c r="E70" s="5"/>
      <c r="F70" s="5" t="s">
        <v>1064</v>
      </c>
      <c r="G70" s="5"/>
      <c r="H70" s="5"/>
      <c r="I70" s="5"/>
      <c r="J70" s="5"/>
      <c r="K70" s="5"/>
      <c r="L70" s="5" t="s">
        <v>1065</v>
      </c>
      <c r="M70" s="5"/>
      <c r="N70" s="5"/>
      <c r="O70" s="5" t="s">
        <v>1066</v>
      </c>
      <c r="P70" s="5" t="s">
        <v>1067</v>
      </c>
      <c r="Q70" s="5"/>
      <c r="R70" s="5"/>
      <c r="S70" s="5"/>
      <c r="T70" s="5"/>
      <c r="U70" s="5"/>
      <c r="V70" s="5" t="s">
        <v>1068</v>
      </c>
    </row>
    <row r="71" customFormat="false" ht="15" hidden="false" customHeight="true" outlineLevel="0" collapsed="false">
      <c r="A71" s="10" t="s">
        <v>1069</v>
      </c>
      <c r="B71" s="5" t="s">
        <v>447</v>
      </c>
      <c r="C71" s="5"/>
      <c r="D71" s="5" t="s">
        <v>1070</v>
      </c>
      <c r="E71" s="5"/>
      <c r="F71" s="5" t="s">
        <v>1071</v>
      </c>
      <c r="G71" s="5"/>
      <c r="H71" s="5"/>
      <c r="I71" s="5"/>
      <c r="J71" s="5"/>
      <c r="K71" s="5"/>
      <c r="L71" s="5" t="s">
        <v>121</v>
      </c>
      <c r="M71" s="5"/>
      <c r="N71" s="5"/>
      <c r="O71" s="5" t="s">
        <v>1072</v>
      </c>
      <c r="P71" s="5" t="s">
        <v>1073</v>
      </c>
      <c r="Q71" s="5"/>
      <c r="R71" s="5"/>
      <c r="S71" s="5"/>
      <c r="T71" s="5"/>
      <c r="U71" s="5"/>
      <c r="V71" s="5" t="s">
        <v>1074</v>
      </c>
    </row>
    <row r="72" customFormat="false" ht="15" hidden="false" customHeight="true" outlineLevel="0" collapsed="false">
      <c r="A72" s="10" t="s">
        <v>1075</v>
      </c>
      <c r="B72" s="5" t="s">
        <v>447</v>
      </c>
      <c r="C72" s="5"/>
      <c r="D72" s="5" t="s">
        <v>1076</v>
      </c>
      <c r="E72" s="5"/>
      <c r="F72" s="5" t="s">
        <v>1077</v>
      </c>
      <c r="G72" s="5"/>
      <c r="H72" s="5"/>
      <c r="I72" s="5"/>
      <c r="J72" s="5"/>
      <c r="K72" s="5"/>
      <c r="L72" s="5" t="s">
        <v>1078</v>
      </c>
      <c r="M72" s="5"/>
      <c r="N72" s="5"/>
      <c r="O72" s="5" t="s">
        <v>1079</v>
      </c>
      <c r="P72" s="5" t="s">
        <v>1080</v>
      </c>
      <c r="Q72" s="5"/>
      <c r="R72" s="5"/>
      <c r="S72" s="5"/>
      <c r="T72" s="5"/>
      <c r="U72" s="5"/>
      <c r="V72" s="5" t="s">
        <v>1081</v>
      </c>
    </row>
    <row r="74" customFormat="false" ht="18" hidden="false" customHeight="true" outlineLevel="0" collapsed="false">
      <c r="A74" s="6" t="s">
        <v>468</v>
      </c>
      <c r="B74" s="6"/>
      <c r="C74" s="6"/>
      <c r="D74" s="6"/>
      <c r="E74" s="6"/>
      <c r="F74" s="6"/>
      <c r="G74" s="6"/>
      <c r="H74" s="6"/>
      <c r="I74" s="6"/>
      <c r="J74" s="6"/>
      <c r="K74" s="6"/>
      <c r="L74" s="6"/>
      <c r="M74" s="6"/>
      <c r="N74" s="6"/>
      <c r="O74" s="6"/>
      <c r="P74" s="6"/>
      <c r="Q74" s="6"/>
      <c r="R74" s="6"/>
      <c r="S74" s="6"/>
      <c r="T74" s="6"/>
      <c r="U74" s="6"/>
      <c r="V74" s="6"/>
    </row>
    <row r="75" customFormat="false" ht="40.5" hidden="false" customHeight="true" outlineLevel="0" collapsed="false">
      <c r="A75" s="9" t="s">
        <v>469</v>
      </c>
      <c r="B75" s="9" t="s">
        <v>251</v>
      </c>
      <c r="C75" s="9"/>
      <c r="D75" s="9" t="s">
        <v>470</v>
      </c>
      <c r="E75" s="9" t="s">
        <v>471</v>
      </c>
      <c r="F75" s="9" t="s">
        <v>324</v>
      </c>
      <c r="G75" s="9" t="s">
        <v>472</v>
      </c>
      <c r="H75" s="9" t="s">
        <v>473</v>
      </c>
      <c r="I75" s="9"/>
      <c r="J75" s="9" t="s">
        <v>171</v>
      </c>
      <c r="K75" s="9"/>
      <c r="L75" s="9"/>
      <c r="M75" s="9"/>
      <c r="N75" s="9"/>
      <c r="O75" s="9"/>
      <c r="P75" s="9"/>
      <c r="Q75" s="9"/>
      <c r="R75" s="9"/>
      <c r="S75" s="9"/>
      <c r="T75" s="9"/>
      <c r="U75" s="9"/>
      <c r="V75" s="9" t="s">
        <v>325</v>
      </c>
    </row>
    <row r="76" customFormat="false" ht="27.75" hidden="false" customHeight="true" outlineLevel="0" collapsed="false">
      <c r="A76" s="10" t="s">
        <v>1082</v>
      </c>
      <c r="B76" s="5" t="s">
        <v>479</v>
      </c>
      <c r="C76" s="5"/>
      <c r="D76" s="30" t="n">
        <v>300000</v>
      </c>
      <c r="E76" s="5" t="s">
        <v>1083</v>
      </c>
      <c r="F76" s="5"/>
      <c r="G76" s="5" t="s">
        <v>484</v>
      </c>
      <c r="H76" s="5" t="s">
        <v>341</v>
      </c>
      <c r="I76" s="5"/>
      <c r="J76" s="5" t="s">
        <v>1084</v>
      </c>
      <c r="K76" s="5"/>
      <c r="L76" s="5"/>
      <c r="M76" s="5"/>
      <c r="N76" s="5"/>
      <c r="O76" s="5"/>
      <c r="P76" s="5"/>
      <c r="Q76" s="5"/>
      <c r="R76" s="5"/>
      <c r="S76" s="5"/>
      <c r="T76" s="5"/>
      <c r="U76" s="5"/>
      <c r="V76" s="5" t="s">
        <v>1052</v>
      </c>
    </row>
    <row r="77" customFormat="false" ht="27.75" hidden="false" customHeight="true" outlineLevel="0" collapsed="false">
      <c r="A77" s="10" t="s">
        <v>1085</v>
      </c>
      <c r="B77" s="5" t="s">
        <v>1086</v>
      </c>
      <c r="C77" s="5"/>
      <c r="D77" s="5"/>
      <c r="E77" s="5" t="s">
        <v>1079</v>
      </c>
      <c r="F77" s="5"/>
      <c r="G77" s="5" t="s">
        <v>498</v>
      </c>
      <c r="H77" s="5" t="s">
        <v>1087</v>
      </c>
      <c r="I77" s="5"/>
      <c r="J77" s="5" t="s">
        <v>1088</v>
      </c>
      <c r="K77" s="5"/>
      <c r="L77" s="5"/>
      <c r="M77" s="5"/>
      <c r="N77" s="5"/>
      <c r="O77" s="5"/>
      <c r="P77" s="5"/>
      <c r="Q77" s="5"/>
      <c r="R77" s="5"/>
      <c r="S77" s="5"/>
      <c r="T77" s="5"/>
      <c r="U77" s="5"/>
      <c r="V77" s="5" t="s">
        <v>1089</v>
      </c>
    </row>
    <row r="78" customFormat="false" ht="27.75" hidden="false" customHeight="true" outlineLevel="0" collapsed="false">
      <c r="A78" s="10" t="s">
        <v>1090</v>
      </c>
      <c r="B78" s="5" t="s">
        <v>669</v>
      </c>
      <c r="C78" s="5"/>
      <c r="D78" s="30" t="n">
        <v>250000</v>
      </c>
      <c r="E78" s="5" t="s">
        <v>1091</v>
      </c>
      <c r="F78" s="30" t="n">
        <v>9000</v>
      </c>
      <c r="G78" s="5" t="s">
        <v>498</v>
      </c>
      <c r="H78" s="5" t="s">
        <v>1092</v>
      </c>
      <c r="I78" s="5"/>
      <c r="J78" s="5" t="s">
        <v>1093</v>
      </c>
      <c r="K78" s="5"/>
      <c r="L78" s="5"/>
      <c r="M78" s="5"/>
      <c r="N78" s="5"/>
      <c r="O78" s="5"/>
      <c r="P78" s="5"/>
      <c r="Q78" s="5"/>
      <c r="R78" s="5"/>
      <c r="S78" s="5"/>
      <c r="T78" s="5"/>
      <c r="U78" s="5"/>
      <c r="V78" s="5" t="s">
        <v>1094</v>
      </c>
    </row>
    <row r="79" customFormat="false" ht="15" hidden="false" customHeight="true" outlineLevel="0" collapsed="false">
      <c r="A79" s="10" t="s">
        <v>1095</v>
      </c>
      <c r="B79" s="5" t="s">
        <v>497</v>
      </c>
      <c r="C79" s="5"/>
      <c r="D79" s="5"/>
      <c r="E79" s="5" t="s">
        <v>1096</v>
      </c>
      <c r="F79" s="5"/>
      <c r="G79" s="5" t="s">
        <v>498</v>
      </c>
      <c r="H79" s="5" t="s">
        <v>499</v>
      </c>
      <c r="I79" s="5"/>
      <c r="J79" s="5" t="s">
        <v>1097</v>
      </c>
      <c r="K79" s="5"/>
      <c r="L79" s="5"/>
      <c r="M79" s="5"/>
      <c r="N79" s="5"/>
      <c r="O79" s="5"/>
      <c r="P79" s="5"/>
      <c r="Q79" s="5"/>
      <c r="R79" s="5"/>
      <c r="S79" s="5"/>
      <c r="T79" s="5"/>
      <c r="U79" s="5"/>
      <c r="V79" s="5" t="s">
        <v>1089</v>
      </c>
    </row>
    <row r="81" customFormat="false" ht="18" hidden="false" customHeight="true" outlineLevel="0" collapsed="false">
      <c r="A81" s="6" t="s">
        <v>502</v>
      </c>
      <c r="B81" s="6"/>
      <c r="C81" s="6"/>
      <c r="D81" s="6"/>
      <c r="E81" s="6"/>
      <c r="F81" s="6"/>
      <c r="G81" s="6"/>
      <c r="H81" s="6"/>
      <c r="I81" s="6"/>
      <c r="J81" s="6"/>
      <c r="K81" s="6"/>
      <c r="L81" s="6"/>
      <c r="M81" s="6"/>
      <c r="N81" s="6"/>
      <c r="O81" s="6"/>
      <c r="P81" s="6"/>
      <c r="Q81" s="6"/>
      <c r="R81" s="6"/>
      <c r="S81" s="6"/>
      <c r="T81" s="6"/>
      <c r="U81" s="6"/>
      <c r="V81" s="6"/>
    </row>
    <row r="82" customFormat="false" ht="15" hidden="false" customHeight="true" outlineLevel="0" collapsed="false">
      <c r="A82" s="10" t="s">
        <v>1098</v>
      </c>
      <c r="B82" s="10"/>
      <c r="C82" s="10"/>
      <c r="D82" s="10"/>
      <c r="E82" s="10"/>
      <c r="F82" s="10"/>
      <c r="G82" s="10"/>
      <c r="H82" s="10"/>
      <c r="I82" s="10"/>
      <c r="J82" s="10"/>
      <c r="K82" s="10"/>
      <c r="L82" s="10"/>
      <c r="M82" s="10"/>
      <c r="N82" s="10"/>
      <c r="O82" s="10"/>
      <c r="P82" s="10"/>
      <c r="Q82" s="10"/>
      <c r="R82" s="10"/>
      <c r="S82" s="10"/>
      <c r="T82" s="10"/>
      <c r="U82" s="10"/>
      <c r="V82" s="10"/>
    </row>
    <row r="83" customFormat="false" ht="15" hidden="false" customHeight="true" outlineLevel="0" collapsed="false">
      <c r="A83" s="10" t="s">
        <v>1099</v>
      </c>
      <c r="B83" s="10"/>
      <c r="C83" s="10"/>
      <c r="D83" s="10"/>
      <c r="E83" s="10"/>
      <c r="F83" s="10"/>
      <c r="G83" s="10"/>
      <c r="H83" s="10"/>
      <c r="I83" s="10"/>
      <c r="J83" s="10"/>
      <c r="K83" s="10"/>
      <c r="L83" s="10"/>
      <c r="M83" s="10"/>
      <c r="N83" s="10"/>
      <c r="O83" s="10"/>
      <c r="P83" s="10"/>
      <c r="Q83" s="10"/>
      <c r="R83" s="10"/>
      <c r="S83" s="10"/>
      <c r="T83" s="10"/>
      <c r="U83" s="10"/>
      <c r="V83" s="10"/>
    </row>
    <row r="84" customFormat="false" ht="15" hidden="false" customHeight="true" outlineLevel="0" collapsed="false">
      <c r="A84" s="10" t="s">
        <v>1100</v>
      </c>
      <c r="B84" s="10"/>
      <c r="C84" s="10"/>
      <c r="D84" s="10"/>
      <c r="E84" s="10"/>
      <c r="F84" s="10"/>
      <c r="G84" s="10"/>
      <c r="H84" s="10"/>
      <c r="I84" s="10"/>
      <c r="J84" s="10"/>
      <c r="K84" s="10"/>
      <c r="L84" s="10"/>
      <c r="M84" s="10"/>
      <c r="N84" s="10"/>
      <c r="O84" s="10"/>
      <c r="P84" s="10"/>
      <c r="Q84" s="10"/>
      <c r="R84" s="10"/>
      <c r="S84" s="10"/>
      <c r="T84" s="10"/>
      <c r="U84" s="10"/>
      <c r="V84" s="10"/>
    </row>
    <row r="85" customFormat="false" ht="15" hidden="false" customHeight="true" outlineLevel="0" collapsed="false">
      <c r="A85" s="10" t="s">
        <v>1101</v>
      </c>
      <c r="B85" s="10"/>
      <c r="C85" s="10"/>
      <c r="D85" s="10"/>
      <c r="E85" s="10"/>
      <c r="F85" s="10"/>
      <c r="G85" s="10"/>
      <c r="H85" s="10"/>
      <c r="I85" s="10"/>
      <c r="J85" s="10"/>
      <c r="K85" s="10"/>
      <c r="L85" s="10"/>
      <c r="M85" s="10"/>
      <c r="N85" s="10"/>
      <c r="O85" s="10"/>
      <c r="P85" s="10"/>
      <c r="Q85" s="10"/>
      <c r="R85" s="10"/>
      <c r="S85" s="10"/>
      <c r="T85" s="10"/>
      <c r="U85" s="10"/>
      <c r="V85" s="10"/>
    </row>
  </sheetData>
  <mergeCells count="208">
    <mergeCell ref="A3:V3"/>
    <mergeCell ref="A4:V4"/>
    <mergeCell ref="A5:B5"/>
    <mergeCell ref="C5:E5"/>
    <mergeCell ref="F5:V5"/>
    <mergeCell ref="A6:B6"/>
    <mergeCell ref="C6:E6"/>
    <mergeCell ref="F6:V6"/>
    <mergeCell ref="A7:B7"/>
    <mergeCell ref="C7:E7"/>
    <mergeCell ref="F7:V7"/>
    <mergeCell ref="A8:B8"/>
    <mergeCell ref="C8:E8"/>
    <mergeCell ref="F8:V8"/>
    <mergeCell ref="A9:B9"/>
    <mergeCell ref="C9:E9"/>
    <mergeCell ref="F9:V9"/>
    <mergeCell ref="A10:B10"/>
    <mergeCell ref="C10:E10"/>
    <mergeCell ref="F10:V10"/>
    <mergeCell ref="A11:B11"/>
    <mergeCell ref="C11:E11"/>
    <mergeCell ref="F11:V11"/>
    <mergeCell ref="A12:B12"/>
    <mergeCell ref="C12:E12"/>
    <mergeCell ref="F12:V12"/>
    <mergeCell ref="A13:B13"/>
    <mergeCell ref="C13:E13"/>
    <mergeCell ref="F13:V13"/>
    <mergeCell ref="A14:B14"/>
    <mergeCell ref="C14:E14"/>
    <mergeCell ref="F14:V14"/>
    <mergeCell ref="A15:B15"/>
    <mergeCell ref="C15:V15"/>
    <mergeCell ref="A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A33:V33"/>
    <mergeCell ref="T34:V34"/>
    <mergeCell ref="T35:V35"/>
    <mergeCell ref="T36:V36"/>
    <mergeCell ref="T37:V37"/>
    <mergeCell ref="T38:V38"/>
    <mergeCell ref="T39:V39"/>
    <mergeCell ref="A41:V41"/>
    <mergeCell ref="B42:C42"/>
    <mergeCell ref="D42:E42"/>
    <mergeCell ref="G42:H42"/>
    <mergeCell ref="I42:L42"/>
    <mergeCell ref="M42:N42"/>
    <mergeCell ref="S42:U42"/>
    <mergeCell ref="B43:C43"/>
    <mergeCell ref="D43:E43"/>
    <mergeCell ref="G43:H43"/>
    <mergeCell ref="I43:L43"/>
    <mergeCell ref="M43:N43"/>
    <mergeCell ref="S43:U43"/>
    <mergeCell ref="B44:C44"/>
    <mergeCell ref="D44:E44"/>
    <mergeCell ref="G44:H44"/>
    <mergeCell ref="I44:L44"/>
    <mergeCell ref="M44:N44"/>
    <mergeCell ref="S44:U44"/>
    <mergeCell ref="B45:C45"/>
    <mergeCell ref="D45:E45"/>
    <mergeCell ref="G45:H45"/>
    <mergeCell ref="I45:L45"/>
    <mergeCell ref="M45:N45"/>
    <mergeCell ref="S45:U45"/>
    <mergeCell ref="B46:C46"/>
    <mergeCell ref="D46:E46"/>
    <mergeCell ref="G46:H46"/>
    <mergeCell ref="I46:L46"/>
    <mergeCell ref="M46:N46"/>
    <mergeCell ref="S46:U46"/>
    <mergeCell ref="B47:C47"/>
    <mergeCell ref="D47:E47"/>
    <mergeCell ref="G47:H47"/>
    <mergeCell ref="I47:L47"/>
    <mergeCell ref="M47:N47"/>
    <mergeCell ref="S47:U47"/>
    <mergeCell ref="B48:C48"/>
    <mergeCell ref="D48:E48"/>
    <mergeCell ref="G48:H48"/>
    <mergeCell ref="I48:L48"/>
    <mergeCell ref="M48:N48"/>
    <mergeCell ref="S48:U48"/>
    <mergeCell ref="A50:V50"/>
    <mergeCell ref="D51:E51"/>
    <mergeCell ref="F51:G51"/>
    <mergeCell ref="L51:M51"/>
    <mergeCell ref="N51:U51"/>
    <mergeCell ref="D52:E52"/>
    <mergeCell ref="F52:G52"/>
    <mergeCell ref="L52:M52"/>
    <mergeCell ref="N52:U52"/>
    <mergeCell ref="D53:E53"/>
    <mergeCell ref="F53:G53"/>
    <mergeCell ref="L53:M53"/>
    <mergeCell ref="N53:U53"/>
    <mergeCell ref="D54:E54"/>
    <mergeCell ref="F54:G54"/>
    <mergeCell ref="L54:M54"/>
    <mergeCell ref="N54:U54"/>
    <mergeCell ref="D55:E55"/>
    <mergeCell ref="F55:G55"/>
    <mergeCell ref="L55:M55"/>
    <mergeCell ref="N55:U55"/>
    <mergeCell ref="D56:E56"/>
    <mergeCell ref="F56:G56"/>
    <mergeCell ref="L56:M56"/>
    <mergeCell ref="N56:U56"/>
    <mergeCell ref="D57:E57"/>
    <mergeCell ref="F57:G57"/>
    <mergeCell ref="L57:M57"/>
    <mergeCell ref="N57:U57"/>
    <mergeCell ref="D58:E58"/>
    <mergeCell ref="F58:G58"/>
    <mergeCell ref="L58:M58"/>
    <mergeCell ref="N58:U58"/>
    <mergeCell ref="D59:E59"/>
    <mergeCell ref="F59:G59"/>
    <mergeCell ref="L59:M59"/>
    <mergeCell ref="N59:U59"/>
    <mergeCell ref="D60:E60"/>
    <mergeCell ref="F60:G60"/>
    <mergeCell ref="L60:M60"/>
    <mergeCell ref="N60:U60"/>
    <mergeCell ref="D61:E61"/>
    <mergeCell ref="F61:G61"/>
    <mergeCell ref="L61:M61"/>
    <mergeCell ref="N61:U61"/>
    <mergeCell ref="D62:E62"/>
    <mergeCell ref="F62:G62"/>
    <mergeCell ref="L62:M62"/>
    <mergeCell ref="N62:U62"/>
    <mergeCell ref="D63:E63"/>
    <mergeCell ref="F63:G63"/>
    <mergeCell ref="L63:M63"/>
    <mergeCell ref="N63:U63"/>
    <mergeCell ref="D64:E64"/>
    <mergeCell ref="F64:G64"/>
    <mergeCell ref="L64:M64"/>
    <mergeCell ref="N64:U64"/>
    <mergeCell ref="A66:V66"/>
    <mergeCell ref="B67:C67"/>
    <mergeCell ref="D67:E67"/>
    <mergeCell ref="F67:K67"/>
    <mergeCell ref="L67:N67"/>
    <mergeCell ref="P67:U67"/>
    <mergeCell ref="B68:C68"/>
    <mergeCell ref="D68:E68"/>
    <mergeCell ref="F68:K68"/>
    <mergeCell ref="L68:N68"/>
    <mergeCell ref="P68:U68"/>
    <mergeCell ref="B69:C69"/>
    <mergeCell ref="D69:E69"/>
    <mergeCell ref="F69:K69"/>
    <mergeCell ref="L69:N69"/>
    <mergeCell ref="P69:U69"/>
    <mergeCell ref="B70:C70"/>
    <mergeCell ref="D70:E70"/>
    <mergeCell ref="F70:K70"/>
    <mergeCell ref="L70:N70"/>
    <mergeCell ref="P70:U70"/>
    <mergeCell ref="B71:C71"/>
    <mergeCell ref="D71:E71"/>
    <mergeCell ref="F71:K71"/>
    <mergeCell ref="L71:N71"/>
    <mergeCell ref="P71:U71"/>
    <mergeCell ref="B72:C72"/>
    <mergeCell ref="D72:E72"/>
    <mergeCell ref="F72:K72"/>
    <mergeCell ref="L72:N72"/>
    <mergeCell ref="P72:U72"/>
    <mergeCell ref="A74:V74"/>
    <mergeCell ref="B75:C75"/>
    <mergeCell ref="H75:I75"/>
    <mergeCell ref="J75:U75"/>
    <mergeCell ref="B76:C76"/>
    <mergeCell ref="H76:I76"/>
    <mergeCell ref="J76:U76"/>
    <mergeCell ref="B77:C77"/>
    <mergeCell ref="H77:I77"/>
    <mergeCell ref="J77:U77"/>
    <mergeCell ref="B78:C78"/>
    <mergeCell ref="H78:I78"/>
    <mergeCell ref="J78:U78"/>
    <mergeCell ref="B79:C79"/>
    <mergeCell ref="H79:I79"/>
    <mergeCell ref="J79:U79"/>
    <mergeCell ref="A81:V81"/>
    <mergeCell ref="A82:V82"/>
    <mergeCell ref="A83:V83"/>
    <mergeCell ref="A84:V84"/>
    <mergeCell ref="A85:V85"/>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1" min="3" style="0" width="11"/>
    <col collapsed="false" customWidth="true" hidden="false" outlineLevel="0" max="22" min="22" style="0" width="36"/>
  </cols>
  <sheetData>
    <row r="1" customFormat="false" ht="18.55" hidden="false" customHeight="false" outlineLevel="0" collapsed="false">
      <c r="A1" s="1" t="s">
        <v>1102</v>
      </c>
    </row>
    <row r="2" customFormat="false" ht="15" hidden="false" customHeight="false" outlineLevel="0" collapsed="false">
      <c r="A2" s="2" t="s">
        <v>1103</v>
      </c>
    </row>
    <row r="3" customFormat="false" ht="15" hidden="false" customHeight="true" outlineLevel="0" collapsed="false">
      <c r="A3" s="23" t="s">
        <v>1104</v>
      </c>
      <c r="B3" s="23"/>
      <c r="C3" s="23"/>
      <c r="D3" s="23"/>
      <c r="E3" s="23"/>
      <c r="F3" s="23"/>
      <c r="G3" s="23"/>
      <c r="H3" s="23"/>
      <c r="I3" s="23"/>
      <c r="J3" s="23"/>
      <c r="K3" s="23"/>
      <c r="L3" s="23"/>
      <c r="M3" s="23"/>
      <c r="N3" s="23"/>
      <c r="O3" s="23"/>
      <c r="P3" s="23"/>
      <c r="Q3" s="23"/>
      <c r="R3" s="23"/>
      <c r="S3" s="23"/>
      <c r="T3" s="23"/>
      <c r="U3" s="23"/>
      <c r="V3" s="23"/>
    </row>
    <row r="4" customFormat="false" ht="18" hidden="false" customHeight="true" outlineLevel="0" collapsed="false">
      <c r="A4" s="6" t="s">
        <v>151</v>
      </c>
      <c r="B4" s="6"/>
      <c r="C4" s="6"/>
      <c r="D4" s="6"/>
      <c r="E4" s="6"/>
      <c r="F4" s="6"/>
      <c r="G4" s="6"/>
      <c r="H4" s="6"/>
      <c r="I4" s="6"/>
      <c r="J4" s="6"/>
      <c r="K4" s="6"/>
      <c r="L4" s="6"/>
      <c r="M4" s="6"/>
      <c r="N4" s="6"/>
      <c r="O4" s="6"/>
      <c r="P4" s="6"/>
      <c r="Q4" s="6"/>
      <c r="R4" s="6"/>
      <c r="S4" s="6"/>
      <c r="T4" s="6"/>
      <c r="U4" s="6"/>
      <c r="V4" s="6"/>
    </row>
    <row r="5" customFormat="false" ht="15" hidden="false" customHeight="true" outlineLevel="0" collapsed="false">
      <c r="A5" s="4" t="s">
        <v>152</v>
      </c>
      <c r="B5" s="4"/>
      <c r="C5" s="5" t="s">
        <v>121</v>
      </c>
      <c r="D5" s="5"/>
      <c r="E5" s="5"/>
      <c r="F5" s="25" t="s">
        <v>1105</v>
      </c>
      <c r="G5" s="25"/>
      <c r="H5" s="25"/>
      <c r="I5" s="25"/>
      <c r="J5" s="25"/>
      <c r="K5" s="25"/>
      <c r="L5" s="25"/>
      <c r="M5" s="25"/>
      <c r="N5" s="25"/>
      <c r="O5" s="25"/>
      <c r="P5" s="25"/>
      <c r="Q5" s="25"/>
      <c r="R5" s="25"/>
      <c r="S5" s="25"/>
      <c r="T5" s="25"/>
      <c r="U5" s="25"/>
      <c r="V5" s="25"/>
    </row>
    <row r="6" customFormat="false" ht="15" hidden="false" customHeight="true" outlineLevel="0" collapsed="false">
      <c r="A6" s="4" t="s">
        <v>110</v>
      </c>
      <c r="B6" s="4"/>
      <c r="C6" s="5" t="s">
        <v>941</v>
      </c>
      <c r="D6" s="5"/>
      <c r="E6" s="5"/>
      <c r="F6" s="25"/>
      <c r="G6" s="25"/>
      <c r="H6" s="25"/>
      <c r="I6" s="25"/>
      <c r="J6" s="25"/>
      <c r="K6" s="25"/>
      <c r="L6" s="25"/>
      <c r="M6" s="25"/>
      <c r="N6" s="25"/>
      <c r="O6" s="25"/>
      <c r="P6" s="25"/>
      <c r="Q6" s="25"/>
      <c r="R6" s="25"/>
      <c r="S6" s="25"/>
      <c r="T6" s="25"/>
      <c r="U6" s="25"/>
      <c r="V6" s="25"/>
    </row>
    <row r="7" customFormat="false" ht="27.75" hidden="false" customHeight="true" outlineLevel="0" collapsed="false">
      <c r="A7" s="4" t="s">
        <v>155</v>
      </c>
      <c r="B7" s="4"/>
      <c r="C7" s="5" t="s">
        <v>1106</v>
      </c>
      <c r="D7" s="5"/>
      <c r="E7" s="5"/>
      <c r="F7" s="25"/>
      <c r="G7" s="25"/>
      <c r="H7" s="25"/>
      <c r="I7" s="25"/>
      <c r="J7" s="25"/>
      <c r="K7" s="25"/>
      <c r="L7" s="25"/>
      <c r="M7" s="25"/>
      <c r="N7" s="25"/>
      <c r="O7" s="25"/>
      <c r="P7" s="25"/>
      <c r="Q7" s="25"/>
      <c r="R7" s="25"/>
      <c r="S7" s="25"/>
      <c r="T7" s="25"/>
      <c r="U7" s="25"/>
      <c r="V7" s="25"/>
    </row>
    <row r="8" customFormat="false" ht="27.75" hidden="false" customHeight="true" outlineLevel="0" collapsed="false">
      <c r="A8" s="4" t="s">
        <v>111</v>
      </c>
      <c r="B8" s="4"/>
      <c r="C8" s="5" t="s">
        <v>1107</v>
      </c>
      <c r="D8" s="5"/>
      <c r="E8" s="5"/>
      <c r="F8" s="25"/>
      <c r="G8" s="25"/>
      <c r="H8" s="25"/>
      <c r="I8" s="25"/>
      <c r="J8" s="25"/>
      <c r="K8" s="25"/>
      <c r="L8" s="25"/>
      <c r="M8" s="25"/>
      <c r="N8" s="25"/>
      <c r="O8" s="25"/>
      <c r="P8" s="25"/>
      <c r="Q8" s="25"/>
      <c r="R8" s="25"/>
      <c r="S8" s="25"/>
      <c r="T8" s="25"/>
      <c r="U8" s="25"/>
      <c r="V8" s="25"/>
    </row>
    <row r="9" customFormat="false" ht="15" hidden="false" customHeight="true" outlineLevel="0" collapsed="false">
      <c r="A9" s="4" t="s">
        <v>158</v>
      </c>
      <c r="B9" s="4"/>
      <c r="C9" s="26" t="n">
        <f aca="false">IF(ISNUMBER(S22),S22,"n.d.")</f>
        <v>428329</v>
      </c>
      <c r="D9" s="26"/>
      <c r="E9" s="26"/>
      <c r="F9" s="25" t="s">
        <v>1108</v>
      </c>
      <c r="G9" s="25"/>
      <c r="H9" s="25"/>
      <c r="I9" s="25"/>
      <c r="J9" s="25"/>
      <c r="K9" s="25"/>
      <c r="L9" s="25"/>
      <c r="M9" s="25"/>
      <c r="N9" s="25"/>
      <c r="O9" s="25"/>
      <c r="P9" s="25"/>
      <c r="Q9" s="25"/>
      <c r="R9" s="25"/>
      <c r="S9" s="25"/>
      <c r="T9" s="25"/>
      <c r="U9" s="25"/>
      <c r="V9" s="25"/>
    </row>
    <row r="10" customFormat="false" ht="27.75" hidden="false" customHeight="true" outlineLevel="0" collapsed="false">
      <c r="A10" s="4" t="s">
        <v>160</v>
      </c>
      <c r="B10" s="4"/>
      <c r="C10" s="5" t="s">
        <v>1108</v>
      </c>
      <c r="D10" s="5"/>
      <c r="E10" s="5"/>
      <c r="F10" s="25"/>
      <c r="G10" s="25"/>
      <c r="H10" s="25"/>
      <c r="I10" s="25"/>
      <c r="J10" s="25"/>
      <c r="K10" s="25"/>
      <c r="L10" s="25"/>
      <c r="M10" s="25"/>
      <c r="N10" s="25"/>
      <c r="O10" s="25"/>
      <c r="P10" s="25"/>
      <c r="Q10" s="25"/>
      <c r="R10" s="25"/>
      <c r="S10" s="25"/>
      <c r="T10" s="25"/>
      <c r="U10" s="25"/>
      <c r="V10" s="25"/>
    </row>
    <row r="11" customFormat="false" ht="15" hidden="false" customHeight="true" outlineLevel="0" collapsed="false">
      <c r="A11" s="4" t="s">
        <v>114</v>
      </c>
      <c r="B11" s="4"/>
      <c r="C11" s="27" t="str">
        <f aca="false">"n.d."</f>
        <v>n.d.</v>
      </c>
      <c r="D11" s="27"/>
      <c r="E11" s="27"/>
      <c r="F11" s="25" t="s">
        <v>1109</v>
      </c>
      <c r="G11" s="25"/>
      <c r="H11" s="25"/>
      <c r="I11" s="25"/>
      <c r="J11" s="25"/>
      <c r="K11" s="25"/>
      <c r="L11" s="25"/>
      <c r="M11" s="25"/>
      <c r="N11" s="25"/>
      <c r="O11" s="25"/>
      <c r="P11" s="25"/>
      <c r="Q11" s="25"/>
      <c r="R11" s="25"/>
      <c r="S11" s="25"/>
      <c r="T11" s="25"/>
      <c r="U11" s="25"/>
      <c r="V11" s="25"/>
    </row>
    <row r="12" customFormat="false" ht="15" hidden="false" customHeight="true" outlineLevel="0" collapsed="false">
      <c r="A12" s="4" t="s">
        <v>162</v>
      </c>
      <c r="B12" s="4"/>
      <c r="C12" s="5" t="s">
        <v>121</v>
      </c>
      <c r="D12" s="5"/>
      <c r="E12" s="5"/>
      <c r="F12" s="25" t="s">
        <v>1110</v>
      </c>
      <c r="G12" s="25"/>
      <c r="H12" s="25"/>
      <c r="I12" s="25"/>
      <c r="J12" s="25"/>
      <c r="K12" s="25"/>
      <c r="L12" s="25"/>
      <c r="M12" s="25"/>
      <c r="N12" s="25"/>
      <c r="O12" s="25"/>
      <c r="P12" s="25"/>
      <c r="Q12" s="25"/>
      <c r="R12" s="25"/>
      <c r="S12" s="25"/>
      <c r="T12" s="25"/>
      <c r="U12" s="25"/>
      <c r="V12" s="25"/>
    </row>
    <row r="13" customFormat="false" ht="15" hidden="false" customHeight="true" outlineLevel="0" collapsed="false">
      <c r="A13" s="4" t="s">
        <v>164</v>
      </c>
      <c r="B13" s="4"/>
      <c r="C13" s="5" t="s">
        <v>121</v>
      </c>
      <c r="D13" s="5"/>
      <c r="E13" s="5"/>
      <c r="F13" s="25" t="s">
        <v>1111</v>
      </c>
      <c r="G13" s="25"/>
      <c r="H13" s="25"/>
      <c r="I13" s="25"/>
      <c r="J13" s="25"/>
      <c r="K13" s="25"/>
      <c r="L13" s="25"/>
      <c r="M13" s="25"/>
      <c r="N13" s="25"/>
      <c r="O13" s="25"/>
      <c r="P13" s="25"/>
      <c r="Q13" s="25"/>
      <c r="R13" s="25"/>
      <c r="S13" s="25"/>
      <c r="T13" s="25"/>
      <c r="U13" s="25"/>
      <c r="V13" s="25"/>
    </row>
    <row r="14" customFormat="false" ht="15" hidden="false" customHeight="true" outlineLevel="0" collapsed="false">
      <c r="A14" s="4" t="s">
        <v>130</v>
      </c>
      <c r="B14" s="4"/>
      <c r="C14" s="5" t="s">
        <v>312</v>
      </c>
      <c r="D14" s="5"/>
      <c r="E14" s="5"/>
      <c r="F14" s="25"/>
      <c r="G14" s="25"/>
      <c r="H14" s="25"/>
      <c r="I14" s="25"/>
      <c r="J14" s="25"/>
      <c r="K14" s="25"/>
      <c r="L14" s="25"/>
      <c r="M14" s="25"/>
      <c r="N14" s="25"/>
      <c r="O14" s="25"/>
      <c r="P14" s="25"/>
      <c r="Q14" s="25"/>
      <c r="R14" s="25"/>
      <c r="S14" s="25"/>
      <c r="T14" s="25"/>
      <c r="U14" s="25"/>
      <c r="V14" s="25"/>
    </row>
    <row r="15" customFormat="false" ht="33" hidden="false" customHeight="true" outlineLevel="0" collapsed="false">
      <c r="A15" s="4" t="s">
        <v>120</v>
      </c>
      <c r="B15" s="4"/>
      <c r="C15" s="28" t="s">
        <v>1112</v>
      </c>
      <c r="D15" s="28"/>
      <c r="E15" s="28"/>
      <c r="F15" s="28"/>
      <c r="G15" s="28"/>
      <c r="H15" s="28"/>
      <c r="I15" s="28"/>
      <c r="J15" s="28"/>
      <c r="K15" s="28"/>
      <c r="L15" s="28"/>
      <c r="M15" s="28"/>
      <c r="N15" s="28"/>
      <c r="O15" s="28"/>
      <c r="P15" s="28"/>
      <c r="Q15" s="28"/>
      <c r="R15" s="28"/>
      <c r="S15" s="28"/>
      <c r="T15" s="28"/>
      <c r="U15" s="28"/>
      <c r="V15" s="28"/>
    </row>
    <row r="17" customFormat="false" ht="18" hidden="false" customHeight="true" outlineLevel="0" collapsed="false">
      <c r="A17" s="6" t="s">
        <v>168</v>
      </c>
      <c r="B17" s="6"/>
      <c r="C17" s="6"/>
      <c r="D17" s="6"/>
      <c r="E17" s="6"/>
      <c r="F17" s="6"/>
      <c r="G17" s="6"/>
      <c r="H17" s="6"/>
      <c r="I17" s="6"/>
      <c r="J17" s="6"/>
      <c r="K17" s="6"/>
      <c r="L17" s="6"/>
      <c r="M17" s="6"/>
      <c r="N17" s="6"/>
      <c r="O17" s="6"/>
      <c r="P17" s="6"/>
      <c r="Q17" s="6"/>
      <c r="R17" s="6"/>
      <c r="S17" s="6"/>
      <c r="T17" s="6"/>
      <c r="U17" s="6"/>
      <c r="V17" s="6"/>
    </row>
    <row r="18" customFormat="false" ht="15" hidden="false" customHeight="true" outlineLevel="0" collapsed="false">
      <c r="A18" s="8" t="s">
        <v>169</v>
      </c>
      <c r="B18" s="9" t="s">
        <v>170</v>
      </c>
      <c r="C18" s="9" t="s">
        <v>71</v>
      </c>
      <c r="D18" s="9" t="s">
        <v>72</v>
      </c>
      <c r="E18" s="9" t="s">
        <v>73</v>
      </c>
      <c r="F18" s="9" t="s">
        <v>74</v>
      </c>
      <c r="G18" s="9" t="s">
        <v>75</v>
      </c>
      <c r="H18" s="9" t="s">
        <v>76</v>
      </c>
      <c r="I18" s="9" t="s">
        <v>77</v>
      </c>
      <c r="J18" s="9" t="s">
        <v>78</v>
      </c>
      <c r="K18" s="9" t="s">
        <v>79</v>
      </c>
      <c r="L18" s="9" t="s">
        <v>80</v>
      </c>
      <c r="M18" s="9" t="s">
        <v>81</v>
      </c>
      <c r="N18" s="9" t="s">
        <v>82</v>
      </c>
      <c r="O18" s="9" t="s">
        <v>83</v>
      </c>
      <c r="P18" s="9" t="s">
        <v>84</v>
      </c>
      <c r="Q18" s="9" t="s">
        <v>85</v>
      </c>
      <c r="R18" s="9" t="s">
        <v>86</v>
      </c>
      <c r="S18" s="9" t="s">
        <v>87</v>
      </c>
      <c r="T18" s="8" t="s">
        <v>171</v>
      </c>
      <c r="U18" s="8"/>
      <c r="V18" s="8"/>
    </row>
    <row r="19" customFormat="false" ht="24.75" hidden="false" customHeight="true" outlineLevel="0" collapsed="false">
      <c r="A19" s="10" t="s">
        <v>172</v>
      </c>
      <c r="B19" s="29" t="s">
        <v>173</v>
      </c>
      <c r="C19" s="5"/>
      <c r="D19" s="5"/>
      <c r="E19" s="5"/>
      <c r="F19" s="5"/>
      <c r="G19" s="5"/>
      <c r="H19" s="5"/>
      <c r="I19" s="5"/>
      <c r="J19" s="5"/>
      <c r="K19" s="5"/>
      <c r="L19" s="5"/>
      <c r="M19" s="5"/>
      <c r="N19" s="5"/>
      <c r="O19" s="5"/>
      <c r="P19" s="5"/>
      <c r="Q19" s="5"/>
      <c r="R19" s="5"/>
      <c r="S19" s="5"/>
      <c r="T19" s="25" t="s">
        <v>1113</v>
      </c>
      <c r="U19" s="25"/>
      <c r="V19" s="25"/>
    </row>
    <row r="20" customFormat="false" ht="24.75" hidden="false" customHeight="true" outlineLevel="0" collapsed="false">
      <c r="A20" s="10" t="s">
        <v>175</v>
      </c>
      <c r="B20" s="29" t="s">
        <v>176</v>
      </c>
      <c r="C20" s="5"/>
      <c r="D20" s="5"/>
      <c r="E20" s="5"/>
      <c r="F20" s="5"/>
      <c r="G20" s="5"/>
      <c r="H20" s="5"/>
      <c r="I20" s="5"/>
      <c r="J20" s="5"/>
      <c r="K20" s="5"/>
      <c r="L20" s="5"/>
      <c r="M20" s="5"/>
      <c r="N20" s="5"/>
      <c r="O20" s="5"/>
      <c r="P20" s="5"/>
      <c r="Q20" s="5"/>
      <c r="R20" s="5"/>
      <c r="S20" s="5"/>
      <c r="T20" s="25" t="s">
        <v>179</v>
      </c>
      <c r="U20" s="25"/>
      <c r="V20" s="25"/>
    </row>
    <row r="21" customFormat="false" ht="15" hidden="false" customHeight="true" outlineLevel="0" collapsed="false">
      <c r="A21" s="10" t="s">
        <v>180</v>
      </c>
      <c r="B21" s="29" t="s">
        <v>181</v>
      </c>
      <c r="C21" s="5"/>
      <c r="D21" s="5"/>
      <c r="E21" s="5"/>
      <c r="F21" s="5"/>
      <c r="G21" s="5"/>
      <c r="H21" s="5"/>
      <c r="I21" s="5"/>
      <c r="J21" s="5"/>
      <c r="K21" s="5"/>
      <c r="L21" s="5"/>
      <c r="M21" s="5"/>
      <c r="N21" s="5"/>
      <c r="O21" s="5"/>
      <c r="P21" s="5"/>
      <c r="Q21" s="5"/>
      <c r="R21" s="5"/>
      <c r="S21" s="5"/>
      <c r="T21" s="25" t="s">
        <v>688</v>
      </c>
      <c r="U21" s="25"/>
      <c r="V21" s="25"/>
    </row>
    <row r="22" customFormat="false" ht="36" hidden="false" customHeight="true" outlineLevel="0" collapsed="false">
      <c r="A22" s="10" t="s">
        <v>183</v>
      </c>
      <c r="B22" s="29" t="s">
        <v>181</v>
      </c>
      <c r="C22" s="30" t="n">
        <f aca="false">228987+179661</f>
        <v>408648</v>
      </c>
      <c r="D22" s="30" t="n">
        <f aca="false">311167+201564</f>
        <v>512731</v>
      </c>
      <c r="E22" s="30" t="n">
        <f aca="false">365677+234236</f>
        <v>599913</v>
      </c>
      <c r="F22" s="5"/>
      <c r="G22" s="5"/>
      <c r="H22" s="5"/>
      <c r="I22" s="5"/>
      <c r="J22" s="5"/>
      <c r="K22" s="5"/>
      <c r="L22" s="5"/>
      <c r="M22" s="5"/>
      <c r="N22" s="5"/>
      <c r="O22" s="5"/>
      <c r="P22" s="5"/>
      <c r="Q22" s="5"/>
      <c r="R22" s="30" t="n">
        <v>376903</v>
      </c>
      <c r="S22" s="30" t="n">
        <v>428329</v>
      </c>
      <c r="T22" s="25" t="s">
        <v>1114</v>
      </c>
      <c r="U22" s="25"/>
      <c r="V22" s="25"/>
    </row>
    <row r="23" customFormat="false" ht="15" hidden="false" customHeight="true" outlineLevel="0" collapsed="false">
      <c r="A23" s="10" t="s">
        <v>185</v>
      </c>
      <c r="B23" s="29" t="s">
        <v>181</v>
      </c>
      <c r="C23" s="5"/>
      <c r="D23" s="5"/>
      <c r="E23" s="5"/>
      <c r="F23" s="5"/>
      <c r="G23" s="5"/>
      <c r="H23" s="5"/>
      <c r="I23" s="5"/>
      <c r="J23" s="5"/>
      <c r="K23" s="5"/>
      <c r="L23" s="5"/>
      <c r="M23" s="5"/>
      <c r="N23" s="5"/>
      <c r="O23" s="5"/>
      <c r="P23" s="5"/>
      <c r="Q23" s="5"/>
      <c r="R23" s="30" t="n">
        <v>358570</v>
      </c>
      <c r="S23" s="30" t="n">
        <v>400113</v>
      </c>
      <c r="T23" s="25"/>
      <c r="U23" s="25"/>
      <c r="V23" s="25"/>
    </row>
    <row r="24" customFormat="false" ht="15" hidden="false" customHeight="true" outlineLevel="0" collapsed="false">
      <c r="A24" s="10" t="s">
        <v>187</v>
      </c>
      <c r="B24" s="29" t="s">
        <v>181</v>
      </c>
      <c r="C24" s="5"/>
      <c r="D24" s="5"/>
      <c r="E24" s="5"/>
      <c r="F24" s="5"/>
      <c r="G24" s="5"/>
      <c r="H24" s="5"/>
      <c r="I24" s="5"/>
      <c r="J24" s="5"/>
      <c r="K24" s="5"/>
      <c r="L24" s="5"/>
      <c r="M24" s="5"/>
      <c r="N24" s="5"/>
      <c r="O24" s="5"/>
      <c r="P24" s="5"/>
      <c r="Q24" s="5"/>
      <c r="R24" s="30" t="n">
        <v>18333</v>
      </c>
      <c r="S24" s="30" t="n">
        <v>28216</v>
      </c>
      <c r="T24" s="25"/>
      <c r="U24" s="25"/>
      <c r="V24" s="25"/>
    </row>
    <row r="25" customFormat="false" ht="24.75" hidden="false" customHeight="true" outlineLevel="0" collapsed="false">
      <c r="A25" s="10" t="s">
        <v>188</v>
      </c>
      <c r="B25" s="29" t="s">
        <v>189</v>
      </c>
      <c r="C25" s="17" t="str">
        <f aca="false">IF(AND(ISNUMBER(C21),ISNUMBER(C19)),C21/C19,"")</f>
        <v/>
      </c>
      <c r="D25" s="17" t="str">
        <f aca="false">IF(AND(ISNUMBER(D21),ISNUMBER(D19)),D21/D19,"")</f>
        <v/>
      </c>
      <c r="E25" s="17" t="str">
        <f aca="false">IF(AND(ISNUMBER(E21),ISNUMBER(E19)),E21/E19,"")</f>
        <v/>
      </c>
      <c r="F25" s="17" t="str">
        <f aca="false">IF(AND(ISNUMBER(F21),ISNUMBER(F19)),F21/F19,"")</f>
        <v/>
      </c>
      <c r="G25" s="17" t="str">
        <f aca="false">IF(AND(ISNUMBER(G21),ISNUMBER(G19)),G21/G19,"")</f>
        <v/>
      </c>
      <c r="H25" s="17" t="str">
        <f aca="false">IF(AND(ISNUMBER(H21),ISNUMBER(H19)),H21/H19,"")</f>
        <v/>
      </c>
      <c r="I25" s="17" t="str">
        <f aca="false">IF(AND(ISNUMBER(I21),ISNUMBER(I19)),I21/I19,"")</f>
        <v/>
      </c>
      <c r="J25" s="17" t="str">
        <f aca="false">IF(AND(ISNUMBER(J21),ISNUMBER(J19)),J21/J19,"")</f>
        <v/>
      </c>
      <c r="K25" s="17" t="str">
        <f aca="false">IF(AND(ISNUMBER(K21),ISNUMBER(K19)),K21/K19,"")</f>
        <v/>
      </c>
      <c r="L25" s="17" t="str">
        <f aca="false">IF(AND(ISNUMBER(L21),ISNUMBER(L19)),L21/L19,"")</f>
        <v/>
      </c>
      <c r="M25" s="17" t="str">
        <f aca="false">IF(AND(ISNUMBER(M21),ISNUMBER(M19)),M21/M19,"")</f>
        <v/>
      </c>
      <c r="N25" s="17" t="str">
        <f aca="false">IF(AND(ISNUMBER(N21),ISNUMBER(N19)),N21/N19,"")</f>
        <v/>
      </c>
      <c r="O25" s="17" t="str">
        <f aca="false">IF(AND(ISNUMBER(O21),ISNUMBER(O19)),O21/O19,"")</f>
        <v/>
      </c>
      <c r="P25" s="17" t="str">
        <f aca="false">IF(AND(ISNUMBER(P21),ISNUMBER(P19)),P21/P19,"")</f>
        <v/>
      </c>
      <c r="Q25" s="17" t="str">
        <f aca="false">IF(AND(ISNUMBER(Q21),ISNUMBER(Q19)),Q21/Q19,"")</f>
        <v/>
      </c>
      <c r="R25" s="17" t="str">
        <f aca="false">IF(AND(ISNUMBER(R21),ISNUMBER(R19)),R21/R19,"")</f>
        <v/>
      </c>
      <c r="S25" s="17" t="str">
        <f aca="false">IF(AND(ISNUMBER(S21),ISNUMBER(S19)),S21/S19,"")</f>
        <v/>
      </c>
      <c r="T25" s="25" t="s">
        <v>190</v>
      </c>
      <c r="U25" s="25"/>
      <c r="V25" s="25"/>
    </row>
    <row r="26" customFormat="false" ht="15" hidden="false" customHeight="true" outlineLevel="0" collapsed="false">
      <c r="A26" s="10" t="s">
        <v>191</v>
      </c>
      <c r="B26" s="29" t="s">
        <v>189</v>
      </c>
      <c r="C26" s="17" t="str">
        <f aca="false">IF(AND(ISNUMBER(C21),ISNUMBER(C19)),C21/C19,"")</f>
        <v/>
      </c>
      <c r="D26" s="17" t="str">
        <f aca="false">IF(AND(ISNUMBER(D21),ISNUMBER(D19)),D21/IF(ISNUMBER(C19),AVERAGE(C19,D19),D19),"")</f>
        <v/>
      </c>
      <c r="E26" s="17" t="str">
        <f aca="false">IF(AND(ISNUMBER(E21),ISNUMBER(E19)),E21/IF(ISNUMBER(D19),AVERAGE(D19,E19),E19),"")</f>
        <v/>
      </c>
      <c r="F26" s="17" t="str">
        <f aca="false">IF(AND(ISNUMBER(F21),ISNUMBER(F19)),F21/IF(ISNUMBER(E19),AVERAGE(E19,F19),F19),"")</f>
        <v/>
      </c>
      <c r="G26" s="17" t="str">
        <f aca="false">IF(AND(ISNUMBER(G21),ISNUMBER(G19)),G21/IF(ISNUMBER(F19),AVERAGE(F19,G19),G19),"")</f>
        <v/>
      </c>
      <c r="H26" s="17" t="str">
        <f aca="false">IF(AND(ISNUMBER(H21),ISNUMBER(H19)),H21/IF(ISNUMBER(G19),AVERAGE(G19,H19),H19),"")</f>
        <v/>
      </c>
      <c r="I26" s="17" t="str">
        <f aca="false">IF(AND(ISNUMBER(I21),ISNUMBER(I19)),I21/IF(ISNUMBER(H19),AVERAGE(H19,I19),I19),"")</f>
        <v/>
      </c>
      <c r="J26" s="17" t="str">
        <f aca="false">IF(AND(ISNUMBER(J21),ISNUMBER(J19)),J21/IF(ISNUMBER(I19),AVERAGE(I19,J19),J19),"")</f>
        <v/>
      </c>
      <c r="K26" s="17" t="str">
        <f aca="false">IF(AND(ISNUMBER(K21),ISNUMBER(K19)),K21/IF(ISNUMBER(J19),AVERAGE(J19,K19),K19),"")</f>
        <v/>
      </c>
      <c r="L26" s="17" t="str">
        <f aca="false">IF(AND(ISNUMBER(L21),ISNUMBER(L19)),L21/IF(ISNUMBER(K19),AVERAGE(K19,L19),L19),"")</f>
        <v/>
      </c>
      <c r="M26" s="17" t="str">
        <f aca="false">IF(AND(ISNUMBER(M21),ISNUMBER(M19)),M21/IF(ISNUMBER(L19),AVERAGE(L19,M19),M19),"")</f>
        <v/>
      </c>
      <c r="N26" s="17" t="str">
        <f aca="false">IF(AND(ISNUMBER(N21),ISNUMBER(N19)),N21/IF(ISNUMBER(M19),AVERAGE(M19,N19),N19),"")</f>
        <v/>
      </c>
      <c r="O26" s="17" t="str">
        <f aca="false">IF(AND(ISNUMBER(O21),ISNUMBER(O19)),O21/IF(ISNUMBER(N19),AVERAGE(N19,O19),O19),"")</f>
        <v/>
      </c>
      <c r="P26" s="17" t="str">
        <f aca="false">IF(AND(ISNUMBER(P21),ISNUMBER(P19)),P21/IF(ISNUMBER(O19),AVERAGE(O19,P19),P19),"")</f>
        <v/>
      </c>
      <c r="Q26" s="17" t="str">
        <f aca="false">IF(AND(ISNUMBER(Q21),ISNUMBER(Q19)),Q21/IF(ISNUMBER(P19),AVERAGE(P19,Q19),Q19),"")</f>
        <v/>
      </c>
      <c r="R26" s="17" t="str">
        <f aca="false">IF(AND(ISNUMBER(R21),ISNUMBER(R19)),R21/IF(ISNUMBER(Q19),AVERAGE(Q19,R19),R19),"")</f>
        <v/>
      </c>
      <c r="S26" s="17" t="str">
        <f aca="false">IF(AND(ISNUMBER(S21),ISNUMBER(S19)),S21/IF(ISNUMBER(R19),AVERAGE(R19,S19),S19),"")</f>
        <v/>
      </c>
      <c r="T26" s="25" t="s">
        <v>192</v>
      </c>
      <c r="U26" s="25"/>
      <c r="V26" s="25"/>
    </row>
    <row r="27" customFormat="false" ht="24.75" hidden="false" customHeight="true" outlineLevel="0" collapsed="false">
      <c r="A27" s="10" t="s">
        <v>193</v>
      </c>
      <c r="B27" s="29" t="s">
        <v>189</v>
      </c>
      <c r="C27" s="17" t="str">
        <f aca="false">IF(ISNUMBER(C19),IF(ISNUMBER(C22),C22/C19,IF(ISNUMBER(C23),C23/C19,"")),"")</f>
        <v/>
      </c>
      <c r="D27" s="17" t="str">
        <f aca="false">IF(ISNUMBER(D19),IF(ISNUMBER(D22),D22/D19,IF(ISNUMBER(D23),D23/D19,"")),"")</f>
        <v/>
      </c>
      <c r="E27" s="17" t="str">
        <f aca="false">IF(ISNUMBER(E19),IF(ISNUMBER(E22),E22/E19,IF(ISNUMBER(E23),E23/E19,"")),"")</f>
        <v/>
      </c>
      <c r="F27" s="17" t="str">
        <f aca="false">IF(ISNUMBER(F19),IF(ISNUMBER(F22),F22/F19,IF(ISNUMBER(F23),F23/F19,"")),"")</f>
        <v/>
      </c>
      <c r="G27" s="17" t="str">
        <f aca="false">IF(ISNUMBER(G19),IF(ISNUMBER(G22),G22/G19,IF(ISNUMBER(G23),G23/G19,"")),"")</f>
        <v/>
      </c>
      <c r="H27" s="17" t="str">
        <f aca="false">IF(ISNUMBER(H19),IF(ISNUMBER(H22),H22/H19,IF(ISNUMBER(H23),H23/H19,"")),"")</f>
        <v/>
      </c>
      <c r="I27" s="17" t="str">
        <f aca="false">IF(ISNUMBER(I19),IF(ISNUMBER(I22),I22/I19,IF(ISNUMBER(I23),I23/I19,"")),"")</f>
        <v/>
      </c>
      <c r="J27" s="17" t="str">
        <f aca="false">IF(ISNUMBER(J19),IF(ISNUMBER(J22),J22/J19,IF(ISNUMBER(J23),J23/J19,"")),"")</f>
        <v/>
      </c>
      <c r="K27" s="17" t="str">
        <f aca="false">IF(ISNUMBER(K19),IF(ISNUMBER(K22),K22/K19,IF(ISNUMBER(K23),K23/K19,"")),"")</f>
        <v/>
      </c>
      <c r="L27" s="17" t="str">
        <f aca="false">IF(ISNUMBER(L19),IF(ISNUMBER(L22),L22/L19,IF(ISNUMBER(L23),L23/L19,"")),"")</f>
        <v/>
      </c>
      <c r="M27" s="17" t="str">
        <f aca="false">IF(ISNUMBER(M19),IF(ISNUMBER(M22),M22/M19,IF(ISNUMBER(M23),M23/M19,"")),"")</f>
        <v/>
      </c>
      <c r="N27" s="17" t="str">
        <f aca="false">IF(ISNUMBER(N19),IF(ISNUMBER(N22),N22/N19,IF(ISNUMBER(N23),N23/N19,"")),"")</f>
        <v/>
      </c>
      <c r="O27" s="17" t="str">
        <f aca="false">IF(ISNUMBER(O19),IF(ISNUMBER(O22),O22/O19,IF(ISNUMBER(O23),O23/O19,"")),"")</f>
        <v/>
      </c>
      <c r="P27" s="17" t="str">
        <f aca="false">IF(ISNUMBER(P19),IF(ISNUMBER(P22),P22/P19,IF(ISNUMBER(P23),P23/P19,"")),"")</f>
        <v/>
      </c>
      <c r="Q27" s="17" t="str">
        <f aca="false">IF(ISNUMBER(Q19),IF(ISNUMBER(Q22),Q22/Q19,IF(ISNUMBER(Q23),Q23/Q19,"")),"")</f>
        <v/>
      </c>
      <c r="R27" s="17" t="str">
        <f aca="false">IF(ISNUMBER(R19),IF(ISNUMBER(R22),R22/R19,IF(ISNUMBER(R23),R23/R19,"")),"")</f>
        <v/>
      </c>
      <c r="S27" s="17" t="str">
        <f aca="false">IF(ISNUMBER(S19),IF(ISNUMBER(S22),S22/S19,IF(ISNUMBER(S23),S23/S19,"")),"")</f>
        <v/>
      </c>
      <c r="T27" s="25" t="s">
        <v>194</v>
      </c>
      <c r="U27" s="25"/>
      <c r="V27" s="25"/>
    </row>
    <row r="28" customFormat="false" ht="15" hidden="false" customHeight="true" outlineLevel="0" collapsed="false">
      <c r="A28" s="10" t="s">
        <v>195</v>
      </c>
      <c r="B28" s="29" t="s">
        <v>173</v>
      </c>
      <c r="C28" s="5"/>
      <c r="D28" s="18" t="str">
        <f aca="false">IF(AND(ISNUMBER(D19),ISNUMBER(C19)),D19-C19,"")</f>
        <v/>
      </c>
      <c r="E28" s="18" t="str">
        <f aca="false">IF(AND(ISNUMBER(E19),ISNUMBER(D19)),E19-D19,"")</f>
        <v/>
      </c>
      <c r="F28" s="18" t="str">
        <f aca="false">IF(AND(ISNUMBER(F19),ISNUMBER(E19)),F19-E19,"")</f>
        <v/>
      </c>
      <c r="G28" s="18" t="str">
        <f aca="false">IF(AND(ISNUMBER(G19),ISNUMBER(F19)),G19-F19,"")</f>
        <v/>
      </c>
      <c r="H28" s="18" t="str">
        <f aca="false">IF(AND(ISNUMBER(H19),ISNUMBER(G19)),H19-G19,"")</f>
        <v/>
      </c>
      <c r="I28" s="18" t="str">
        <f aca="false">IF(AND(ISNUMBER(I19),ISNUMBER(H19)),I19-H19,"")</f>
        <v/>
      </c>
      <c r="J28" s="18" t="str">
        <f aca="false">IF(AND(ISNUMBER(J19),ISNUMBER(I19)),J19-I19,"")</f>
        <v/>
      </c>
      <c r="K28" s="18" t="str">
        <f aca="false">IF(AND(ISNUMBER(K19),ISNUMBER(J19)),K19-J19,"")</f>
        <v/>
      </c>
      <c r="L28" s="18" t="str">
        <f aca="false">IF(AND(ISNUMBER(L19),ISNUMBER(K19)),L19-K19,"")</f>
        <v/>
      </c>
      <c r="M28" s="18" t="str">
        <f aca="false">IF(AND(ISNUMBER(M19),ISNUMBER(L19)),M19-L19,"")</f>
        <v/>
      </c>
      <c r="N28" s="18" t="str">
        <f aca="false">IF(AND(ISNUMBER(N19),ISNUMBER(M19)),N19-M19,"")</f>
        <v/>
      </c>
      <c r="O28" s="18" t="str">
        <f aca="false">IF(AND(ISNUMBER(O19),ISNUMBER(N19)),O19-N19,"")</f>
        <v/>
      </c>
      <c r="P28" s="18" t="str">
        <f aca="false">IF(AND(ISNUMBER(P19),ISNUMBER(O19)),P19-O19,"")</f>
        <v/>
      </c>
      <c r="Q28" s="18" t="str">
        <f aca="false">IF(AND(ISNUMBER(Q19),ISNUMBER(P19)),Q19-P19,"")</f>
        <v/>
      </c>
      <c r="R28" s="18" t="str">
        <f aca="false">IF(AND(ISNUMBER(R19),ISNUMBER(Q19)),R19-Q19,"")</f>
        <v/>
      </c>
      <c r="S28" s="18" t="str">
        <f aca="false">IF(AND(ISNUMBER(S19),ISNUMBER(R19)),S19-R19,"")</f>
        <v/>
      </c>
      <c r="T28" s="25" t="s">
        <v>196</v>
      </c>
      <c r="U28" s="25"/>
      <c r="V28" s="25"/>
    </row>
    <row r="29" customFormat="false" ht="15" hidden="false" customHeight="true" outlineLevel="0" collapsed="false">
      <c r="A29" s="10" t="s">
        <v>197</v>
      </c>
      <c r="B29" s="29" t="s">
        <v>189</v>
      </c>
      <c r="C29" s="31"/>
      <c r="D29" s="31"/>
      <c r="E29" s="31"/>
      <c r="F29" s="31"/>
      <c r="G29" s="31"/>
      <c r="H29" s="31"/>
      <c r="I29" s="31"/>
      <c r="J29" s="31"/>
      <c r="K29" s="31"/>
      <c r="L29" s="31"/>
      <c r="M29" s="31"/>
      <c r="N29" s="31"/>
      <c r="O29" s="31"/>
      <c r="P29" s="31"/>
      <c r="Q29" s="31"/>
      <c r="R29" s="31"/>
      <c r="S29" s="31"/>
      <c r="T29" s="25"/>
      <c r="U29" s="25"/>
      <c r="V29" s="25"/>
    </row>
    <row r="30" customFormat="false" ht="15" hidden="false" customHeight="true" outlineLevel="0" collapsed="false">
      <c r="A30" s="10" t="s">
        <v>199</v>
      </c>
      <c r="B30" s="29"/>
      <c r="C30" s="29" t="s">
        <v>920</v>
      </c>
      <c r="D30" s="29" t="s">
        <v>920</v>
      </c>
      <c r="E30" s="29" t="s">
        <v>920</v>
      </c>
      <c r="F30" s="29"/>
      <c r="G30" s="29"/>
      <c r="H30" s="29"/>
      <c r="I30" s="29"/>
      <c r="J30" s="29"/>
      <c r="K30" s="29"/>
      <c r="L30" s="29"/>
      <c r="M30" s="29"/>
      <c r="N30" s="29"/>
      <c r="O30" s="29"/>
      <c r="P30" s="29"/>
      <c r="Q30" s="29"/>
      <c r="R30" s="29" t="s">
        <v>1115</v>
      </c>
      <c r="S30" s="29" t="s">
        <v>1116</v>
      </c>
      <c r="T30" s="25"/>
      <c r="U30" s="25"/>
      <c r="V30" s="25"/>
    </row>
    <row r="31" customFormat="false" ht="46.5" hidden="false" customHeight="true" outlineLevel="0" collapsed="false">
      <c r="A31" s="10" t="s">
        <v>216</v>
      </c>
      <c r="B31" s="29"/>
      <c r="C31" s="25" t="s">
        <v>1117</v>
      </c>
      <c r="D31" s="25"/>
      <c r="E31" s="25" t="s">
        <v>1118</v>
      </c>
      <c r="F31" s="25"/>
      <c r="G31" s="25"/>
      <c r="H31" s="25"/>
      <c r="I31" s="25"/>
      <c r="J31" s="25"/>
      <c r="K31" s="25"/>
      <c r="L31" s="25"/>
      <c r="M31" s="25" t="s">
        <v>1119</v>
      </c>
      <c r="N31" s="25"/>
      <c r="O31" s="25"/>
      <c r="P31" s="25"/>
      <c r="Q31" s="25"/>
      <c r="R31" s="25" t="s">
        <v>1120</v>
      </c>
      <c r="S31" s="25" t="s">
        <v>1121</v>
      </c>
      <c r="T31" s="25"/>
      <c r="U31" s="25"/>
      <c r="V31" s="25"/>
    </row>
    <row r="33" customFormat="false" ht="18" hidden="false" customHeight="true" outlineLevel="0" collapsed="false">
      <c r="A33" s="6" t="s">
        <v>233</v>
      </c>
      <c r="B33" s="6"/>
      <c r="C33" s="6"/>
      <c r="D33" s="6"/>
      <c r="E33" s="6"/>
      <c r="F33" s="6"/>
      <c r="G33" s="6"/>
      <c r="H33" s="6"/>
      <c r="I33" s="6"/>
      <c r="J33" s="6"/>
      <c r="K33" s="6"/>
      <c r="L33" s="6"/>
      <c r="M33" s="6"/>
      <c r="N33" s="6"/>
      <c r="O33" s="6"/>
      <c r="P33" s="6"/>
      <c r="Q33" s="6"/>
      <c r="R33" s="6"/>
      <c r="S33" s="6"/>
      <c r="T33" s="6"/>
      <c r="U33" s="6"/>
      <c r="V33" s="6"/>
    </row>
    <row r="34" customFormat="false" ht="15" hidden="false" customHeight="true" outlineLevel="0" collapsed="false">
      <c r="A34" s="8" t="s">
        <v>234</v>
      </c>
      <c r="B34" s="9" t="s">
        <v>170</v>
      </c>
      <c r="C34" s="9" t="s">
        <v>71</v>
      </c>
      <c r="D34" s="9" t="s">
        <v>72</v>
      </c>
      <c r="E34" s="9" t="s">
        <v>73</v>
      </c>
      <c r="F34" s="9" t="s">
        <v>74</v>
      </c>
      <c r="G34" s="9" t="s">
        <v>75</v>
      </c>
      <c r="H34" s="9" t="s">
        <v>76</v>
      </c>
      <c r="I34" s="9" t="s">
        <v>77</v>
      </c>
      <c r="J34" s="9" t="s">
        <v>78</v>
      </c>
      <c r="K34" s="9" t="s">
        <v>79</v>
      </c>
      <c r="L34" s="9" t="s">
        <v>80</v>
      </c>
      <c r="M34" s="9" t="s">
        <v>81</v>
      </c>
      <c r="N34" s="9" t="s">
        <v>82</v>
      </c>
      <c r="O34" s="9" t="s">
        <v>83</v>
      </c>
      <c r="P34" s="9" t="s">
        <v>84</v>
      </c>
      <c r="Q34" s="9" t="s">
        <v>85</v>
      </c>
      <c r="R34" s="9" t="s">
        <v>86</v>
      </c>
      <c r="S34" s="9" t="s">
        <v>87</v>
      </c>
      <c r="T34" s="8" t="s">
        <v>235</v>
      </c>
      <c r="U34" s="8"/>
      <c r="V34" s="8"/>
    </row>
    <row r="35" customFormat="false" ht="15" hidden="false" customHeight="true" outlineLevel="0" collapsed="false">
      <c r="A35" s="10" t="s">
        <v>1122</v>
      </c>
      <c r="B35" s="29" t="s">
        <v>173</v>
      </c>
      <c r="C35" s="32"/>
      <c r="D35" s="32"/>
      <c r="E35" s="32"/>
      <c r="F35" s="32"/>
      <c r="G35" s="32"/>
      <c r="H35" s="32"/>
      <c r="I35" s="32"/>
      <c r="J35" s="32"/>
      <c r="K35" s="32"/>
      <c r="L35" s="32"/>
      <c r="M35" s="32"/>
      <c r="N35" s="32"/>
      <c r="O35" s="32"/>
      <c r="P35" s="32"/>
      <c r="Q35" s="32"/>
      <c r="R35" s="32"/>
      <c r="S35" s="32"/>
      <c r="T35" s="25" t="s">
        <v>1123</v>
      </c>
      <c r="U35" s="25"/>
      <c r="V35" s="25"/>
    </row>
    <row r="36" customFormat="false" ht="15" hidden="false" customHeight="true" outlineLevel="0" collapsed="false">
      <c r="A36" s="10" t="s">
        <v>1124</v>
      </c>
      <c r="B36" s="29" t="s">
        <v>173</v>
      </c>
      <c r="C36" s="32"/>
      <c r="D36" s="32"/>
      <c r="E36" s="32"/>
      <c r="F36" s="32"/>
      <c r="G36" s="32"/>
      <c r="H36" s="32"/>
      <c r="I36" s="32"/>
      <c r="J36" s="32"/>
      <c r="K36" s="32"/>
      <c r="L36" s="32"/>
      <c r="M36" s="32"/>
      <c r="N36" s="32"/>
      <c r="O36" s="32"/>
      <c r="P36" s="32"/>
      <c r="Q36" s="32"/>
      <c r="R36" s="32"/>
      <c r="S36" s="34" t="n">
        <v>100000</v>
      </c>
      <c r="T36" s="25" t="s">
        <v>1125</v>
      </c>
      <c r="U36" s="25"/>
      <c r="V36" s="25"/>
    </row>
    <row r="38" customFormat="false" ht="18" hidden="false" customHeight="true" outlineLevel="0" collapsed="false">
      <c r="A38" s="6" t="s">
        <v>249</v>
      </c>
      <c r="B38" s="6"/>
      <c r="C38" s="6"/>
      <c r="D38" s="6"/>
      <c r="E38" s="6"/>
      <c r="F38" s="6"/>
      <c r="G38" s="6"/>
      <c r="H38" s="6"/>
      <c r="I38" s="6"/>
      <c r="J38" s="6"/>
      <c r="K38" s="6"/>
      <c r="L38" s="6"/>
      <c r="M38" s="6"/>
      <c r="N38" s="6"/>
      <c r="O38" s="6"/>
      <c r="P38" s="6"/>
      <c r="Q38" s="6"/>
      <c r="R38" s="6"/>
      <c r="S38" s="6"/>
      <c r="T38" s="6"/>
      <c r="U38" s="6"/>
      <c r="V38" s="6"/>
    </row>
    <row r="39" customFormat="false" ht="40.5" hidden="false" customHeight="true" outlineLevel="0" collapsed="false">
      <c r="A39" s="9" t="s">
        <v>250</v>
      </c>
      <c r="B39" s="9" t="s">
        <v>251</v>
      </c>
      <c r="C39" s="9"/>
      <c r="D39" s="9" t="s">
        <v>252</v>
      </c>
      <c r="E39" s="9"/>
      <c r="F39" s="9" t="s">
        <v>253</v>
      </c>
      <c r="G39" s="9" t="s">
        <v>254</v>
      </c>
      <c r="H39" s="9"/>
      <c r="I39" s="9" t="s">
        <v>255</v>
      </c>
      <c r="J39" s="9"/>
      <c r="K39" s="9"/>
      <c r="L39" s="9"/>
      <c r="M39" s="9" t="s">
        <v>256</v>
      </c>
      <c r="N39" s="9"/>
      <c r="O39" s="9" t="s">
        <v>257</v>
      </c>
      <c r="P39" s="9" t="s">
        <v>258</v>
      </c>
      <c r="Q39" s="9" t="s">
        <v>110</v>
      </c>
      <c r="R39" s="9" t="s">
        <v>259</v>
      </c>
      <c r="S39" s="9" t="s">
        <v>171</v>
      </c>
      <c r="T39" s="9"/>
      <c r="U39" s="9"/>
      <c r="V39" s="9" t="s">
        <v>260</v>
      </c>
    </row>
    <row r="40" customFormat="false" ht="27.75" hidden="false" customHeight="true" outlineLevel="0" collapsed="false">
      <c r="A40" s="10" t="s">
        <v>1126</v>
      </c>
      <c r="B40" s="5" t="s">
        <v>1127</v>
      </c>
      <c r="C40" s="5"/>
      <c r="D40" s="5" t="s">
        <v>1128</v>
      </c>
      <c r="E40" s="5"/>
      <c r="F40" s="5" t="s">
        <v>1129</v>
      </c>
      <c r="G40" s="5" t="s">
        <v>1130</v>
      </c>
      <c r="H40" s="5"/>
      <c r="I40" s="5" t="s">
        <v>1131</v>
      </c>
      <c r="J40" s="5"/>
      <c r="K40" s="5"/>
      <c r="L40" s="5"/>
      <c r="M40" s="5" t="s">
        <v>1132</v>
      </c>
      <c r="N40" s="5"/>
      <c r="O40" s="5"/>
      <c r="P40" s="5" t="s">
        <v>121</v>
      </c>
      <c r="Q40" s="5" t="s">
        <v>301</v>
      </c>
      <c r="R40" s="5" t="s">
        <v>277</v>
      </c>
      <c r="S40" s="5" t="s">
        <v>1133</v>
      </c>
      <c r="T40" s="5"/>
      <c r="U40" s="5"/>
      <c r="V40" s="5" t="s">
        <v>1134</v>
      </c>
    </row>
    <row r="41" customFormat="false" ht="27.75" hidden="false" customHeight="true" outlineLevel="0" collapsed="false">
      <c r="A41" s="10" t="s">
        <v>1135</v>
      </c>
      <c r="B41" s="5" t="s">
        <v>1136</v>
      </c>
      <c r="C41" s="5"/>
      <c r="D41" s="5" t="s">
        <v>1128</v>
      </c>
      <c r="E41" s="5"/>
      <c r="F41" s="5" t="s">
        <v>121</v>
      </c>
      <c r="G41" s="5" t="s">
        <v>1137</v>
      </c>
      <c r="H41" s="5"/>
      <c r="I41" s="5" t="s">
        <v>971</v>
      </c>
      <c r="J41" s="5"/>
      <c r="K41" s="5"/>
      <c r="L41" s="5"/>
      <c r="M41" s="5" t="s">
        <v>1138</v>
      </c>
      <c r="N41" s="5"/>
      <c r="O41" s="5"/>
      <c r="P41" s="5" t="s">
        <v>121</v>
      </c>
      <c r="Q41" s="5" t="s">
        <v>301</v>
      </c>
      <c r="R41" s="5" t="s">
        <v>277</v>
      </c>
      <c r="S41" s="5" t="s">
        <v>1139</v>
      </c>
      <c r="T41" s="5"/>
      <c r="U41" s="5"/>
      <c r="V41" s="5" t="s">
        <v>1140</v>
      </c>
    </row>
    <row r="42" customFormat="false" ht="27.75" hidden="false" customHeight="true" outlineLevel="0" collapsed="false">
      <c r="A42" s="10" t="s">
        <v>1141</v>
      </c>
      <c r="B42" s="5" t="s">
        <v>1142</v>
      </c>
      <c r="C42" s="5"/>
      <c r="D42" s="5" t="s">
        <v>1128</v>
      </c>
      <c r="E42" s="5"/>
      <c r="F42" s="5" t="s">
        <v>1143</v>
      </c>
      <c r="G42" s="5" t="s">
        <v>1144</v>
      </c>
      <c r="H42" s="5"/>
      <c r="I42" s="5" t="s">
        <v>121</v>
      </c>
      <c r="J42" s="5"/>
      <c r="K42" s="5"/>
      <c r="L42" s="5"/>
      <c r="M42" s="5" t="s">
        <v>121</v>
      </c>
      <c r="N42" s="5"/>
      <c r="O42" s="5"/>
      <c r="P42" s="5" t="s">
        <v>1145</v>
      </c>
      <c r="Q42" s="5" t="s">
        <v>1146</v>
      </c>
      <c r="R42" s="5" t="s">
        <v>277</v>
      </c>
      <c r="S42" s="5" t="s">
        <v>1147</v>
      </c>
      <c r="T42" s="5"/>
      <c r="U42" s="5"/>
      <c r="V42" s="5" t="s">
        <v>1148</v>
      </c>
    </row>
    <row r="43" customFormat="false" ht="27.75" hidden="false" customHeight="true" outlineLevel="0" collapsed="false">
      <c r="A43" s="10" t="s">
        <v>1010</v>
      </c>
      <c r="B43" s="5" t="s">
        <v>742</v>
      </c>
      <c r="C43" s="5"/>
      <c r="D43" s="5" t="s">
        <v>1128</v>
      </c>
      <c r="E43" s="5"/>
      <c r="F43" s="5" t="s">
        <v>1149</v>
      </c>
      <c r="G43" s="5" t="s">
        <v>1150</v>
      </c>
      <c r="H43" s="5"/>
      <c r="I43" s="5" t="s">
        <v>1151</v>
      </c>
      <c r="J43" s="5"/>
      <c r="K43" s="5"/>
      <c r="L43" s="5"/>
      <c r="M43" s="5" t="s">
        <v>1152</v>
      </c>
      <c r="N43" s="5"/>
      <c r="O43" s="30" t="n">
        <v>225000</v>
      </c>
      <c r="P43" s="5" t="s">
        <v>121</v>
      </c>
      <c r="Q43" s="5" t="s">
        <v>301</v>
      </c>
      <c r="R43" s="5" t="s">
        <v>277</v>
      </c>
      <c r="S43" s="5" t="s">
        <v>1153</v>
      </c>
      <c r="T43" s="5"/>
      <c r="U43" s="5"/>
      <c r="V43" s="5" t="s">
        <v>1154</v>
      </c>
    </row>
    <row r="44" customFormat="false" ht="27.75" hidden="false" customHeight="true" outlineLevel="0" collapsed="false">
      <c r="A44" s="10" t="s">
        <v>1155</v>
      </c>
      <c r="B44" s="5" t="s">
        <v>1156</v>
      </c>
      <c r="C44" s="5"/>
      <c r="D44" s="5" t="s">
        <v>1157</v>
      </c>
      <c r="E44" s="5"/>
      <c r="F44" s="5" t="s">
        <v>600</v>
      </c>
      <c r="G44" s="5" t="s">
        <v>1158</v>
      </c>
      <c r="H44" s="5"/>
      <c r="I44" s="5" t="s">
        <v>121</v>
      </c>
      <c r="J44" s="5"/>
      <c r="K44" s="5"/>
      <c r="L44" s="5"/>
      <c r="M44" s="5" t="s">
        <v>301</v>
      </c>
      <c r="N44" s="5"/>
      <c r="O44" s="5"/>
      <c r="P44" s="5" t="s">
        <v>121</v>
      </c>
      <c r="Q44" s="5" t="s">
        <v>301</v>
      </c>
      <c r="R44" s="5" t="s">
        <v>277</v>
      </c>
      <c r="S44" s="5" t="s">
        <v>1159</v>
      </c>
      <c r="T44" s="5"/>
      <c r="U44" s="5"/>
      <c r="V44" s="5" t="s">
        <v>1134</v>
      </c>
    </row>
    <row r="45" customFormat="false" ht="52.5" hidden="false" customHeight="true" outlineLevel="0" collapsed="false">
      <c r="A45" s="10" t="s">
        <v>1160</v>
      </c>
      <c r="B45" s="5" t="s">
        <v>1161</v>
      </c>
      <c r="C45" s="5"/>
      <c r="D45" s="5" t="s">
        <v>1162</v>
      </c>
      <c r="E45" s="5"/>
      <c r="F45" s="5" t="s">
        <v>301</v>
      </c>
      <c r="G45" s="5" t="s">
        <v>1163</v>
      </c>
      <c r="H45" s="5"/>
      <c r="I45" s="5" t="s">
        <v>301</v>
      </c>
      <c r="J45" s="5"/>
      <c r="K45" s="5"/>
      <c r="L45" s="5"/>
      <c r="M45" s="5" t="s">
        <v>301</v>
      </c>
      <c r="N45" s="5"/>
      <c r="O45" s="5"/>
      <c r="P45" s="5" t="s">
        <v>121</v>
      </c>
      <c r="Q45" s="5" t="s">
        <v>301</v>
      </c>
      <c r="R45" s="5" t="s">
        <v>1164</v>
      </c>
      <c r="S45" s="5" t="s">
        <v>1165</v>
      </c>
      <c r="T45" s="5"/>
      <c r="U45" s="5"/>
      <c r="V45" s="5" t="s">
        <v>1166</v>
      </c>
    </row>
    <row r="47" customFormat="false" ht="18" hidden="false" customHeight="true" outlineLevel="0" collapsed="false">
      <c r="A47" s="6" t="s">
        <v>316</v>
      </c>
      <c r="B47" s="6"/>
      <c r="C47" s="6"/>
      <c r="D47" s="6"/>
      <c r="E47" s="6"/>
      <c r="F47" s="6"/>
      <c r="G47" s="6"/>
      <c r="H47" s="6"/>
      <c r="I47" s="6"/>
      <c r="J47" s="6"/>
      <c r="K47" s="6"/>
      <c r="L47" s="6"/>
      <c r="M47" s="6"/>
      <c r="N47" s="6"/>
      <c r="O47" s="6"/>
      <c r="P47" s="6"/>
      <c r="Q47" s="6"/>
      <c r="R47" s="6"/>
      <c r="S47" s="6"/>
      <c r="T47" s="6"/>
      <c r="U47" s="6"/>
      <c r="V47" s="6"/>
    </row>
    <row r="48" customFormat="false" ht="40.5" hidden="false" customHeight="true" outlineLevel="0" collapsed="false">
      <c r="A48" s="9" t="s">
        <v>317</v>
      </c>
      <c r="B48" s="9" t="s">
        <v>318</v>
      </c>
      <c r="C48" s="9" t="s">
        <v>319</v>
      </c>
      <c r="D48" s="9" t="s">
        <v>320</v>
      </c>
      <c r="E48" s="9"/>
      <c r="F48" s="9" t="s">
        <v>250</v>
      </c>
      <c r="G48" s="9"/>
      <c r="H48" s="9" t="s">
        <v>321</v>
      </c>
      <c r="I48" s="9" t="s">
        <v>322</v>
      </c>
      <c r="J48" s="9" t="s">
        <v>323</v>
      </c>
      <c r="K48" s="9" t="s">
        <v>324</v>
      </c>
      <c r="L48" s="9" t="s">
        <v>259</v>
      </c>
      <c r="M48" s="9"/>
      <c r="N48" s="9" t="s">
        <v>171</v>
      </c>
      <c r="O48" s="9"/>
      <c r="P48" s="9"/>
      <c r="Q48" s="9"/>
      <c r="R48" s="9"/>
      <c r="S48" s="9"/>
      <c r="T48" s="9"/>
      <c r="U48" s="9"/>
      <c r="V48" s="9" t="s">
        <v>325</v>
      </c>
    </row>
    <row r="49" customFormat="false" ht="15" hidden="false" customHeight="true" outlineLevel="0" collapsed="false">
      <c r="A49" s="10" t="s">
        <v>1167</v>
      </c>
      <c r="B49" s="5" t="s">
        <v>1168</v>
      </c>
      <c r="C49" s="5" t="s">
        <v>1169</v>
      </c>
      <c r="D49" s="5" t="s">
        <v>630</v>
      </c>
      <c r="E49" s="5"/>
      <c r="F49" s="5" t="s">
        <v>1170</v>
      </c>
      <c r="G49" s="5"/>
      <c r="H49" s="5"/>
      <c r="I49" s="5"/>
      <c r="J49" s="5"/>
      <c r="K49" s="5"/>
      <c r="L49" s="5" t="s">
        <v>399</v>
      </c>
      <c r="M49" s="5"/>
      <c r="N49" s="5" t="s">
        <v>1171</v>
      </c>
      <c r="O49" s="5"/>
      <c r="P49" s="5"/>
      <c r="Q49" s="5"/>
      <c r="R49" s="5"/>
      <c r="S49" s="5"/>
      <c r="T49" s="5"/>
      <c r="U49" s="5"/>
      <c r="V49" s="5" t="s">
        <v>920</v>
      </c>
    </row>
    <row r="50" customFormat="false" ht="15" hidden="false" customHeight="true" outlineLevel="0" collapsed="false">
      <c r="A50" s="10" t="s">
        <v>1172</v>
      </c>
      <c r="B50" s="5" t="s">
        <v>1173</v>
      </c>
      <c r="C50" s="5" t="s">
        <v>334</v>
      </c>
      <c r="D50" s="5" t="s">
        <v>1174</v>
      </c>
      <c r="E50" s="5"/>
      <c r="F50" s="5" t="s">
        <v>1155</v>
      </c>
      <c r="G50" s="5"/>
      <c r="H50" s="5"/>
      <c r="I50" s="5"/>
      <c r="J50" s="5"/>
      <c r="K50" s="5"/>
      <c r="L50" s="5" t="s">
        <v>1175</v>
      </c>
      <c r="M50" s="5"/>
      <c r="N50" s="5" t="s">
        <v>1176</v>
      </c>
      <c r="O50" s="5"/>
      <c r="P50" s="5"/>
      <c r="Q50" s="5"/>
      <c r="R50" s="5"/>
      <c r="S50" s="5"/>
      <c r="T50" s="5"/>
      <c r="U50" s="5"/>
      <c r="V50" s="5" t="s">
        <v>920</v>
      </c>
    </row>
    <row r="51" customFormat="false" ht="15" hidden="false" customHeight="true" outlineLevel="0" collapsed="false">
      <c r="A51" s="10" t="s">
        <v>1177</v>
      </c>
      <c r="B51" s="5" t="s">
        <v>1149</v>
      </c>
      <c r="C51" s="5" t="s">
        <v>595</v>
      </c>
      <c r="D51" s="5" t="s">
        <v>328</v>
      </c>
      <c r="E51" s="5"/>
      <c r="F51" s="5" t="s">
        <v>1010</v>
      </c>
      <c r="G51" s="5"/>
      <c r="H51" s="30" t="n">
        <v>225000</v>
      </c>
      <c r="I51" s="30" t="n">
        <v>225000</v>
      </c>
      <c r="J51" s="5"/>
      <c r="K51" s="30" t="n">
        <v>1000</v>
      </c>
      <c r="L51" s="5" t="s">
        <v>329</v>
      </c>
      <c r="M51" s="5"/>
      <c r="N51" s="5" t="s">
        <v>1178</v>
      </c>
      <c r="O51" s="5"/>
      <c r="P51" s="5"/>
      <c r="Q51" s="5"/>
      <c r="R51" s="5"/>
      <c r="S51" s="5"/>
      <c r="T51" s="5"/>
      <c r="U51" s="5"/>
      <c r="V51" s="5" t="s">
        <v>1179</v>
      </c>
    </row>
    <row r="52" customFormat="false" ht="15" hidden="false" customHeight="true" outlineLevel="0" collapsed="false">
      <c r="A52" s="10" t="s">
        <v>1180</v>
      </c>
      <c r="B52" s="5" t="s">
        <v>1181</v>
      </c>
      <c r="C52" s="5" t="s">
        <v>81</v>
      </c>
      <c r="D52" s="5" t="s">
        <v>1182</v>
      </c>
      <c r="E52" s="5"/>
      <c r="F52" s="5" t="s">
        <v>1010</v>
      </c>
      <c r="G52" s="5"/>
      <c r="H52" s="5"/>
      <c r="I52" s="5"/>
      <c r="J52" s="5"/>
      <c r="K52" s="5"/>
      <c r="L52" s="5" t="s">
        <v>277</v>
      </c>
      <c r="M52" s="5"/>
      <c r="N52" s="5" t="s">
        <v>1183</v>
      </c>
      <c r="O52" s="5"/>
      <c r="P52" s="5"/>
      <c r="Q52" s="5"/>
      <c r="R52" s="5"/>
      <c r="S52" s="5"/>
      <c r="T52" s="5"/>
      <c r="U52" s="5"/>
      <c r="V52" s="5" t="s">
        <v>1184</v>
      </c>
    </row>
    <row r="53" customFormat="false" ht="15" hidden="false" customHeight="true" outlineLevel="0" collapsed="false">
      <c r="A53" s="10" t="s">
        <v>1185</v>
      </c>
      <c r="B53" s="5" t="s">
        <v>1186</v>
      </c>
      <c r="C53" s="5" t="s">
        <v>86</v>
      </c>
      <c r="D53" s="5" t="s">
        <v>784</v>
      </c>
      <c r="E53" s="5"/>
      <c r="F53" s="5" t="s">
        <v>1024</v>
      </c>
      <c r="G53" s="5"/>
      <c r="H53" s="5"/>
      <c r="I53" s="5"/>
      <c r="J53" s="5"/>
      <c r="K53" s="5"/>
      <c r="L53" s="5" t="s">
        <v>301</v>
      </c>
      <c r="M53" s="5"/>
      <c r="N53" s="5" t="s">
        <v>1187</v>
      </c>
      <c r="O53" s="5"/>
      <c r="P53" s="5"/>
      <c r="Q53" s="5"/>
      <c r="R53" s="5"/>
      <c r="S53" s="5"/>
      <c r="T53" s="5"/>
      <c r="U53" s="5"/>
      <c r="V53" s="5" t="s">
        <v>925</v>
      </c>
    </row>
    <row r="54" customFormat="false" ht="15" hidden="false" customHeight="true" outlineLevel="0" collapsed="false">
      <c r="A54" s="10" t="s">
        <v>1188</v>
      </c>
      <c r="B54" s="5" t="s">
        <v>1189</v>
      </c>
      <c r="C54" s="5" t="s">
        <v>87</v>
      </c>
      <c r="D54" s="5" t="s">
        <v>1190</v>
      </c>
      <c r="E54" s="5"/>
      <c r="F54" s="5" t="s">
        <v>1191</v>
      </c>
      <c r="G54" s="5"/>
      <c r="H54" s="5"/>
      <c r="I54" s="5"/>
      <c r="J54" s="5"/>
      <c r="K54" s="5" t="s">
        <v>1192</v>
      </c>
      <c r="L54" s="5" t="s">
        <v>341</v>
      </c>
      <c r="M54" s="5"/>
      <c r="N54" s="5" t="s">
        <v>1193</v>
      </c>
      <c r="O54" s="5"/>
      <c r="P54" s="5"/>
      <c r="Q54" s="5"/>
      <c r="R54" s="5"/>
      <c r="S54" s="5"/>
      <c r="T54" s="5"/>
      <c r="U54" s="5"/>
      <c r="V54" s="5" t="s">
        <v>1194</v>
      </c>
    </row>
    <row r="55" customFormat="false" ht="15" hidden="false" customHeight="true" outlineLevel="0" collapsed="false">
      <c r="A55" s="10" t="s">
        <v>1038</v>
      </c>
      <c r="B55" s="5" t="s">
        <v>637</v>
      </c>
      <c r="C55" s="5" t="s">
        <v>87</v>
      </c>
      <c r="D55" s="5" t="s">
        <v>1039</v>
      </c>
      <c r="E55" s="5"/>
      <c r="F55" s="5" t="s">
        <v>301</v>
      </c>
      <c r="G55" s="5"/>
      <c r="H55" s="5"/>
      <c r="I55" s="5"/>
      <c r="J55" s="5"/>
      <c r="K55" s="5"/>
      <c r="L55" s="5" t="s">
        <v>1040</v>
      </c>
      <c r="M55" s="5"/>
      <c r="N55" s="5" t="s">
        <v>1195</v>
      </c>
      <c r="O55" s="5"/>
      <c r="P55" s="5"/>
      <c r="Q55" s="5"/>
      <c r="R55" s="5"/>
      <c r="S55" s="5"/>
      <c r="T55" s="5"/>
      <c r="U55" s="5"/>
      <c r="V55" s="5" t="s">
        <v>1042</v>
      </c>
    </row>
    <row r="56" customFormat="false" ht="27.75" hidden="false" customHeight="true" outlineLevel="0" collapsed="false">
      <c r="A56" s="10" t="s">
        <v>1196</v>
      </c>
      <c r="B56" s="5" t="s">
        <v>1197</v>
      </c>
      <c r="C56" s="5" t="s">
        <v>425</v>
      </c>
      <c r="D56" s="5" t="s">
        <v>1198</v>
      </c>
      <c r="E56" s="5"/>
      <c r="F56" s="5" t="s">
        <v>1141</v>
      </c>
      <c r="G56" s="5"/>
      <c r="H56" s="5"/>
      <c r="I56" s="5" t="s">
        <v>1199</v>
      </c>
      <c r="J56" s="5"/>
      <c r="K56" s="5"/>
      <c r="L56" s="5" t="s">
        <v>301</v>
      </c>
      <c r="M56" s="5"/>
      <c r="N56" s="5"/>
      <c r="O56" s="5"/>
      <c r="P56" s="5"/>
      <c r="Q56" s="5"/>
      <c r="R56" s="5"/>
      <c r="S56" s="5"/>
      <c r="T56" s="5"/>
      <c r="U56" s="5"/>
      <c r="V56" s="5" t="s">
        <v>1200</v>
      </c>
    </row>
    <row r="57" customFormat="false" ht="27.75" hidden="false" customHeight="true" outlineLevel="0" collapsed="false">
      <c r="A57" s="10" t="s">
        <v>1201</v>
      </c>
      <c r="B57" s="5" t="s">
        <v>1202</v>
      </c>
      <c r="C57" s="5" t="s">
        <v>425</v>
      </c>
      <c r="D57" s="5" t="s">
        <v>1203</v>
      </c>
      <c r="E57" s="5"/>
      <c r="F57" s="5" t="s">
        <v>1204</v>
      </c>
      <c r="G57" s="5"/>
      <c r="H57" s="5"/>
      <c r="I57" s="5"/>
      <c r="J57" s="5"/>
      <c r="K57" s="5" t="s">
        <v>1192</v>
      </c>
      <c r="L57" s="5" t="s">
        <v>1205</v>
      </c>
      <c r="M57" s="5"/>
      <c r="N57" s="5" t="s">
        <v>1206</v>
      </c>
      <c r="O57" s="5"/>
      <c r="P57" s="5"/>
      <c r="Q57" s="5"/>
      <c r="R57" s="5"/>
      <c r="S57" s="5"/>
      <c r="T57" s="5"/>
      <c r="U57" s="5"/>
      <c r="V57" s="5" t="s">
        <v>1207</v>
      </c>
    </row>
    <row r="59" customFormat="false" ht="18" hidden="false" customHeight="true" outlineLevel="0" collapsed="false">
      <c r="A59" s="6" t="s">
        <v>433</v>
      </c>
      <c r="B59" s="6"/>
      <c r="C59" s="6"/>
      <c r="D59" s="6"/>
      <c r="E59" s="6"/>
      <c r="F59" s="6"/>
      <c r="G59" s="6"/>
      <c r="H59" s="6"/>
      <c r="I59" s="6"/>
      <c r="J59" s="6"/>
      <c r="K59" s="6"/>
      <c r="L59" s="6"/>
      <c r="M59" s="6"/>
      <c r="N59" s="6"/>
      <c r="O59" s="6"/>
      <c r="P59" s="6"/>
      <c r="Q59" s="6"/>
      <c r="R59" s="6"/>
      <c r="S59" s="6"/>
      <c r="T59" s="6"/>
      <c r="U59" s="6"/>
      <c r="V59" s="6"/>
    </row>
    <row r="60" customFormat="false" ht="15" hidden="false" customHeight="true" outlineLevel="0" collapsed="false">
      <c r="A60" s="9" t="s">
        <v>434</v>
      </c>
      <c r="B60" s="9" t="s">
        <v>435</v>
      </c>
      <c r="C60" s="9"/>
      <c r="D60" s="9" t="s">
        <v>70</v>
      </c>
      <c r="E60" s="9"/>
      <c r="F60" s="9" t="s">
        <v>436</v>
      </c>
      <c r="G60" s="9"/>
      <c r="H60" s="9"/>
      <c r="I60" s="9"/>
      <c r="J60" s="9"/>
      <c r="K60" s="9"/>
      <c r="L60" s="9" t="s">
        <v>437</v>
      </c>
      <c r="M60" s="9"/>
      <c r="N60" s="9"/>
      <c r="O60" s="9" t="s">
        <v>438</v>
      </c>
      <c r="P60" s="9" t="s">
        <v>171</v>
      </c>
      <c r="Q60" s="9"/>
      <c r="R60" s="9"/>
      <c r="S60" s="9"/>
      <c r="T60" s="9"/>
      <c r="U60" s="9"/>
      <c r="V60" s="9" t="s">
        <v>260</v>
      </c>
    </row>
    <row r="61" customFormat="false" ht="15" hidden="false" customHeight="true" outlineLevel="0" collapsed="false">
      <c r="A61" s="10" t="s">
        <v>1208</v>
      </c>
      <c r="B61" s="5" t="s">
        <v>1209</v>
      </c>
      <c r="C61" s="5"/>
      <c r="D61" s="5" t="s">
        <v>1210</v>
      </c>
      <c r="E61" s="5"/>
      <c r="F61" s="5" t="s">
        <v>1211</v>
      </c>
      <c r="G61" s="5"/>
      <c r="H61" s="5"/>
      <c r="I61" s="5"/>
      <c r="J61" s="5"/>
      <c r="K61" s="5"/>
      <c r="L61" s="5" t="s">
        <v>1010</v>
      </c>
      <c r="M61" s="5"/>
      <c r="N61" s="5"/>
      <c r="O61" s="5" t="s">
        <v>1212</v>
      </c>
      <c r="P61" s="5" t="s">
        <v>1213</v>
      </c>
      <c r="Q61" s="5"/>
      <c r="R61" s="5"/>
      <c r="S61" s="5"/>
      <c r="T61" s="5"/>
      <c r="U61" s="5"/>
      <c r="V61" s="5" t="s">
        <v>1214</v>
      </c>
    </row>
    <row r="62" customFormat="false" ht="15" hidden="false" customHeight="true" outlineLevel="0" collapsed="false">
      <c r="A62" s="10" t="s">
        <v>1215</v>
      </c>
      <c r="B62" s="5" t="s">
        <v>1216</v>
      </c>
      <c r="C62" s="5"/>
      <c r="D62" s="5" t="s">
        <v>1217</v>
      </c>
      <c r="E62" s="5"/>
      <c r="F62" s="5" t="s">
        <v>1218</v>
      </c>
      <c r="G62" s="5"/>
      <c r="H62" s="5"/>
      <c r="I62" s="5"/>
      <c r="J62" s="5"/>
      <c r="K62" s="5"/>
      <c r="L62" s="5" t="s">
        <v>121</v>
      </c>
      <c r="M62" s="5"/>
      <c r="N62" s="5"/>
      <c r="O62" s="5" t="s">
        <v>831</v>
      </c>
      <c r="P62" s="5"/>
      <c r="Q62" s="5"/>
      <c r="R62" s="5"/>
      <c r="S62" s="5"/>
      <c r="T62" s="5"/>
      <c r="U62" s="5"/>
      <c r="V62" s="5" t="s">
        <v>467</v>
      </c>
    </row>
    <row r="63" customFormat="false" ht="15" hidden="false" customHeight="true" outlineLevel="0" collapsed="false">
      <c r="A63" s="10" t="s">
        <v>1219</v>
      </c>
      <c r="B63" s="5" t="s">
        <v>1062</v>
      </c>
      <c r="C63" s="5"/>
      <c r="D63" s="5" t="s">
        <v>1220</v>
      </c>
      <c r="E63" s="5"/>
      <c r="F63" s="5" t="s">
        <v>1221</v>
      </c>
      <c r="G63" s="5"/>
      <c r="H63" s="5"/>
      <c r="I63" s="5"/>
      <c r="J63" s="5"/>
      <c r="K63" s="5"/>
      <c r="L63" s="5" t="s">
        <v>121</v>
      </c>
      <c r="M63" s="5"/>
      <c r="N63" s="5"/>
      <c r="O63" s="5" t="s">
        <v>1222</v>
      </c>
      <c r="P63" s="5" t="s">
        <v>1223</v>
      </c>
      <c r="Q63" s="5"/>
      <c r="R63" s="5"/>
      <c r="S63" s="5"/>
      <c r="T63" s="5"/>
      <c r="U63" s="5"/>
      <c r="V63" s="5" t="s">
        <v>1134</v>
      </c>
    </row>
    <row r="64" customFormat="false" ht="15" hidden="false" customHeight="true" outlineLevel="0" collapsed="false">
      <c r="A64" s="10" t="s">
        <v>1224</v>
      </c>
      <c r="B64" s="5" t="s">
        <v>461</v>
      </c>
      <c r="C64" s="5"/>
      <c r="D64" s="5" t="s">
        <v>1225</v>
      </c>
      <c r="E64" s="5"/>
      <c r="F64" s="5" t="s">
        <v>1226</v>
      </c>
      <c r="G64" s="5"/>
      <c r="H64" s="5"/>
      <c r="I64" s="5"/>
      <c r="J64" s="5"/>
      <c r="K64" s="5"/>
      <c r="L64" s="5" t="s">
        <v>1227</v>
      </c>
      <c r="M64" s="5"/>
      <c r="N64" s="5"/>
      <c r="O64" s="5" t="s">
        <v>1228</v>
      </c>
      <c r="P64" s="5"/>
      <c r="Q64" s="5"/>
      <c r="R64" s="5"/>
      <c r="S64" s="5"/>
      <c r="T64" s="5"/>
      <c r="U64" s="5"/>
      <c r="V64" s="5" t="s">
        <v>467</v>
      </c>
    </row>
    <row r="65" customFormat="false" ht="15" hidden="false" customHeight="true" outlineLevel="0" collapsed="false">
      <c r="A65" s="10" t="s">
        <v>1229</v>
      </c>
      <c r="B65" s="5" t="s">
        <v>461</v>
      </c>
      <c r="C65" s="5"/>
      <c r="D65" s="5" t="s">
        <v>1230</v>
      </c>
      <c r="E65" s="5"/>
      <c r="F65" s="5" t="s">
        <v>1229</v>
      </c>
      <c r="G65" s="5"/>
      <c r="H65" s="5"/>
      <c r="I65" s="5"/>
      <c r="J65" s="5"/>
      <c r="K65" s="5"/>
      <c r="L65" s="5" t="s">
        <v>1126</v>
      </c>
      <c r="M65" s="5"/>
      <c r="N65" s="5"/>
      <c r="O65" s="5" t="s">
        <v>71</v>
      </c>
      <c r="P65" s="5" t="s">
        <v>1231</v>
      </c>
      <c r="Q65" s="5"/>
      <c r="R65" s="5"/>
      <c r="S65" s="5"/>
      <c r="T65" s="5"/>
      <c r="U65" s="5"/>
      <c r="V65" s="5" t="s">
        <v>1214</v>
      </c>
    </row>
    <row r="66" customFormat="false" ht="15" hidden="false" customHeight="true" outlineLevel="0" collapsed="false">
      <c r="A66" s="10" t="s">
        <v>1232</v>
      </c>
      <c r="B66" s="5" t="s">
        <v>1233</v>
      </c>
      <c r="C66" s="5"/>
      <c r="D66" s="5" t="s">
        <v>1234</v>
      </c>
      <c r="E66" s="5"/>
      <c r="F66" s="5" t="s">
        <v>1235</v>
      </c>
      <c r="G66" s="5"/>
      <c r="H66" s="5"/>
      <c r="I66" s="5"/>
      <c r="J66" s="5"/>
      <c r="K66" s="5"/>
      <c r="L66" s="5" t="s">
        <v>1236</v>
      </c>
      <c r="M66" s="5"/>
      <c r="N66" s="5"/>
      <c r="O66" s="5" t="s">
        <v>301</v>
      </c>
      <c r="P66" s="5"/>
      <c r="Q66" s="5"/>
      <c r="R66" s="5"/>
      <c r="S66" s="5"/>
      <c r="T66" s="5"/>
      <c r="U66" s="5"/>
      <c r="V66" s="5" t="s">
        <v>1237</v>
      </c>
    </row>
    <row r="68" customFormat="false" ht="18" hidden="false" customHeight="true" outlineLevel="0" collapsed="false">
      <c r="A68" s="6" t="s">
        <v>468</v>
      </c>
      <c r="B68" s="6"/>
      <c r="C68" s="6"/>
      <c r="D68" s="6"/>
      <c r="E68" s="6"/>
      <c r="F68" s="6"/>
      <c r="G68" s="6"/>
      <c r="H68" s="6"/>
      <c r="I68" s="6"/>
      <c r="J68" s="6"/>
      <c r="K68" s="6"/>
      <c r="L68" s="6"/>
      <c r="M68" s="6"/>
      <c r="N68" s="6"/>
      <c r="O68" s="6"/>
      <c r="P68" s="6"/>
      <c r="Q68" s="6"/>
      <c r="R68" s="6"/>
      <c r="S68" s="6"/>
      <c r="T68" s="6"/>
      <c r="U68" s="6"/>
      <c r="V68" s="6"/>
    </row>
    <row r="69" customFormat="false" ht="40.5" hidden="false" customHeight="true" outlineLevel="0" collapsed="false">
      <c r="A69" s="9" t="s">
        <v>469</v>
      </c>
      <c r="B69" s="9" t="s">
        <v>251</v>
      </c>
      <c r="C69" s="9"/>
      <c r="D69" s="9" t="s">
        <v>470</v>
      </c>
      <c r="E69" s="9" t="s">
        <v>471</v>
      </c>
      <c r="F69" s="9" t="s">
        <v>324</v>
      </c>
      <c r="G69" s="9" t="s">
        <v>472</v>
      </c>
      <c r="H69" s="9" t="s">
        <v>473</v>
      </c>
      <c r="I69" s="9"/>
      <c r="J69" s="9" t="s">
        <v>171</v>
      </c>
      <c r="K69" s="9"/>
      <c r="L69" s="9"/>
      <c r="M69" s="9"/>
      <c r="N69" s="9"/>
      <c r="O69" s="9"/>
      <c r="P69" s="9"/>
      <c r="Q69" s="9"/>
      <c r="R69" s="9"/>
      <c r="S69" s="9"/>
      <c r="T69" s="9"/>
      <c r="U69" s="9"/>
      <c r="V69" s="9" t="s">
        <v>325</v>
      </c>
    </row>
    <row r="70" customFormat="false" ht="27.75" hidden="false" customHeight="true" outlineLevel="0" collapsed="false">
      <c r="A70" s="10" t="s">
        <v>1238</v>
      </c>
      <c r="B70" s="5" t="s">
        <v>1239</v>
      </c>
      <c r="C70" s="5"/>
      <c r="D70" s="5"/>
      <c r="E70" s="5" t="s">
        <v>1205</v>
      </c>
      <c r="F70" s="5" t="s">
        <v>1192</v>
      </c>
      <c r="G70" s="5" t="s">
        <v>498</v>
      </c>
      <c r="H70" s="5" t="s">
        <v>1240</v>
      </c>
      <c r="I70" s="5"/>
      <c r="J70" s="5" t="s">
        <v>1241</v>
      </c>
      <c r="K70" s="5"/>
      <c r="L70" s="5"/>
      <c r="M70" s="5"/>
      <c r="N70" s="5"/>
      <c r="O70" s="5"/>
      <c r="P70" s="5"/>
      <c r="Q70" s="5"/>
      <c r="R70" s="5"/>
      <c r="S70" s="5"/>
      <c r="T70" s="5"/>
      <c r="U70" s="5"/>
      <c r="V70" s="5" t="s">
        <v>1242</v>
      </c>
    </row>
    <row r="71" customFormat="false" ht="15" hidden="false" customHeight="true" outlineLevel="0" collapsed="false">
      <c r="A71" s="10" t="s">
        <v>1243</v>
      </c>
      <c r="B71" s="5" t="s">
        <v>497</v>
      </c>
      <c r="C71" s="5"/>
      <c r="D71" s="5"/>
      <c r="E71" s="5" t="s">
        <v>301</v>
      </c>
      <c r="F71" s="5"/>
      <c r="G71" s="5" t="s">
        <v>498</v>
      </c>
      <c r="H71" s="5" t="s">
        <v>1244</v>
      </c>
      <c r="I71" s="5"/>
      <c r="J71" s="5" t="s">
        <v>1245</v>
      </c>
      <c r="K71" s="5"/>
      <c r="L71" s="5"/>
      <c r="M71" s="5"/>
      <c r="N71" s="5"/>
      <c r="O71" s="5"/>
      <c r="P71" s="5"/>
      <c r="Q71" s="5"/>
      <c r="R71" s="5"/>
      <c r="S71" s="5"/>
      <c r="T71" s="5"/>
      <c r="U71" s="5"/>
      <c r="V71" s="5" t="s">
        <v>925</v>
      </c>
    </row>
    <row r="73" customFormat="false" ht="18" hidden="false" customHeight="true" outlineLevel="0" collapsed="false">
      <c r="A73" s="6" t="s">
        <v>502</v>
      </c>
      <c r="B73" s="6"/>
      <c r="C73" s="6"/>
      <c r="D73" s="6"/>
      <c r="E73" s="6"/>
      <c r="F73" s="6"/>
      <c r="G73" s="6"/>
      <c r="H73" s="6"/>
      <c r="I73" s="6"/>
      <c r="J73" s="6"/>
      <c r="K73" s="6"/>
      <c r="L73" s="6"/>
      <c r="M73" s="6"/>
      <c r="N73" s="6"/>
      <c r="O73" s="6"/>
      <c r="P73" s="6"/>
      <c r="Q73" s="6"/>
      <c r="R73" s="6"/>
      <c r="S73" s="6"/>
      <c r="T73" s="6"/>
      <c r="U73" s="6"/>
      <c r="V73" s="6"/>
    </row>
    <row r="74" customFormat="false" ht="15" hidden="false" customHeight="true" outlineLevel="0" collapsed="false">
      <c r="A74" s="10" t="s">
        <v>1246</v>
      </c>
      <c r="B74" s="10"/>
      <c r="C74" s="10"/>
      <c r="D74" s="10"/>
      <c r="E74" s="10"/>
      <c r="F74" s="10"/>
      <c r="G74" s="10"/>
      <c r="H74" s="10"/>
      <c r="I74" s="10"/>
      <c r="J74" s="10"/>
      <c r="K74" s="10"/>
      <c r="L74" s="10"/>
      <c r="M74" s="10"/>
      <c r="N74" s="10"/>
      <c r="O74" s="10"/>
      <c r="P74" s="10"/>
      <c r="Q74" s="10"/>
      <c r="R74" s="10"/>
      <c r="S74" s="10"/>
      <c r="T74" s="10"/>
      <c r="U74" s="10"/>
      <c r="V74" s="10"/>
    </row>
    <row r="75" customFormat="false" ht="15" hidden="false" customHeight="true" outlineLevel="0" collapsed="false">
      <c r="A75" s="10" t="s">
        <v>1247</v>
      </c>
      <c r="B75" s="10"/>
      <c r="C75" s="10"/>
      <c r="D75" s="10"/>
      <c r="E75" s="10"/>
      <c r="F75" s="10"/>
      <c r="G75" s="10"/>
      <c r="H75" s="10"/>
      <c r="I75" s="10"/>
      <c r="J75" s="10"/>
      <c r="K75" s="10"/>
      <c r="L75" s="10"/>
      <c r="M75" s="10"/>
      <c r="N75" s="10"/>
      <c r="O75" s="10"/>
      <c r="P75" s="10"/>
      <c r="Q75" s="10"/>
      <c r="R75" s="10"/>
      <c r="S75" s="10"/>
      <c r="T75" s="10"/>
      <c r="U75" s="10"/>
      <c r="V75" s="10"/>
    </row>
    <row r="76" customFormat="false" ht="15" hidden="false" customHeight="true" outlineLevel="0" collapsed="false">
      <c r="A76" s="10" t="s">
        <v>1248</v>
      </c>
      <c r="B76" s="10"/>
      <c r="C76" s="10"/>
      <c r="D76" s="10"/>
      <c r="E76" s="10"/>
      <c r="F76" s="10"/>
      <c r="G76" s="10"/>
      <c r="H76" s="10"/>
      <c r="I76" s="10"/>
      <c r="J76" s="10"/>
      <c r="K76" s="10"/>
      <c r="L76" s="10"/>
      <c r="M76" s="10"/>
      <c r="N76" s="10"/>
      <c r="O76" s="10"/>
      <c r="P76" s="10"/>
      <c r="Q76" s="10"/>
      <c r="R76" s="10"/>
      <c r="S76" s="10"/>
      <c r="T76" s="10"/>
      <c r="U76" s="10"/>
      <c r="V76" s="10"/>
    </row>
  </sheetData>
  <mergeCells count="187">
    <mergeCell ref="A3:V3"/>
    <mergeCell ref="A4:V4"/>
    <mergeCell ref="A5:B5"/>
    <mergeCell ref="C5:E5"/>
    <mergeCell ref="F5:V5"/>
    <mergeCell ref="A6:B6"/>
    <mergeCell ref="C6:E6"/>
    <mergeCell ref="F6:V6"/>
    <mergeCell ref="A7:B7"/>
    <mergeCell ref="C7:E7"/>
    <mergeCell ref="F7:V7"/>
    <mergeCell ref="A8:B8"/>
    <mergeCell ref="C8:E8"/>
    <mergeCell ref="F8:V8"/>
    <mergeCell ref="A9:B9"/>
    <mergeCell ref="C9:E9"/>
    <mergeCell ref="F9:V9"/>
    <mergeCell ref="A10:B10"/>
    <mergeCell ref="C10:E10"/>
    <mergeCell ref="F10:V10"/>
    <mergeCell ref="A11:B11"/>
    <mergeCell ref="C11:E11"/>
    <mergeCell ref="F11:V11"/>
    <mergeCell ref="A12:B12"/>
    <mergeCell ref="C12:E12"/>
    <mergeCell ref="F12:V12"/>
    <mergeCell ref="A13:B13"/>
    <mergeCell ref="C13:E13"/>
    <mergeCell ref="F13:V13"/>
    <mergeCell ref="A14:B14"/>
    <mergeCell ref="C14:E14"/>
    <mergeCell ref="F14:V14"/>
    <mergeCell ref="A15:B15"/>
    <mergeCell ref="C15:V15"/>
    <mergeCell ref="A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A33:V33"/>
    <mergeCell ref="T34:V34"/>
    <mergeCell ref="T35:V35"/>
    <mergeCell ref="T36:V36"/>
    <mergeCell ref="A38:V38"/>
    <mergeCell ref="B39:C39"/>
    <mergeCell ref="D39:E39"/>
    <mergeCell ref="G39:H39"/>
    <mergeCell ref="I39:L39"/>
    <mergeCell ref="M39:N39"/>
    <mergeCell ref="S39:U39"/>
    <mergeCell ref="B40:C40"/>
    <mergeCell ref="D40:E40"/>
    <mergeCell ref="G40:H40"/>
    <mergeCell ref="I40:L40"/>
    <mergeCell ref="M40:N40"/>
    <mergeCell ref="S40:U40"/>
    <mergeCell ref="B41:C41"/>
    <mergeCell ref="D41:E41"/>
    <mergeCell ref="G41:H41"/>
    <mergeCell ref="I41:L41"/>
    <mergeCell ref="M41:N41"/>
    <mergeCell ref="S41:U41"/>
    <mergeCell ref="B42:C42"/>
    <mergeCell ref="D42:E42"/>
    <mergeCell ref="G42:H42"/>
    <mergeCell ref="I42:L42"/>
    <mergeCell ref="M42:N42"/>
    <mergeCell ref="S42:U42"/>
    <mergeCell ref="B43:C43"/>
    <mergeCell ref="D43:E43"/>
    <mergeCell ref="G43:H43"/>
    <mergeCell ref="I43:L43"/>
    <mergeCell ref="M43:N43"/>
    <mergeCell ref="S43:U43"/>
    <mergeCell ref="B44:C44"/>
    <mergeCell ref="D44:E44"/>
    <mergeCell ref="G44:H44"/>
    <mergeCell ref="I44:L44"/>
    <mergeCell ref="M44:N44"/>
    <mergeCell ref="S44:U44"/>
    <mergeCell ref="B45:C45"/>
    <mergeCell ref="D45:E45"/>
    <mergeCell ref="G45:H45"/>
    <mergeCell ref="I45:L45"/>
    <mergeCell ref="M45:N45"/>
    <mergeCell ref="S45:U45"/>
    <mergeCell ref="A47:V47"/>
    <mergeCell ref="D48:E48"/>
    <mergeCell ref="F48:G48"/>
    <mergeCell ref="L48:M48"/>
    <mergeCell ref="N48:U48"/>
    <mergeCell ref="D49:E49"/>
    <mergeCell ref="F49:G49"/>
    <mergeCell ref="L49:M49"/>
    <mergeCell ref="N49:U49"/>
    <mergeCell ref="D50:E50"/>
    <mergeCell ref="F50:G50"/>
    <mergeCell ref="L50:M50"/>
    <mergeCell ref="N50:U50"/>
    <mergeCell ref="D51:E51"/>
    <mergeCell ref="F51:G51"/>
    <mergeCell ref="L51:M51"/>
    <mergeCell ref="N51:U51"/>
    <mergeCell ref="D52:E52"/>
    <mergeCell ref="F52:G52"/>
    <mergeCell ref="L52:M52"/>
    <mergeCell ref="N52:U52"/>
    <mergeCell ref="D53:E53"/>
    <mergeCell ref="F53:G53"/>
    <mergeCell ref="L53:M53"/>
    <mergeCell ref="N53:U53"/>
    <mergeCell ref="D54:E54"/>
    <mergeCell ref="F54:G54"/>
    <mergeCell ref="L54:M54"/>
    <mergeCell ref="N54:U54"/>
    <mergeCell ref="D55:E55"/>
    <mergeCell ref="F55:G55"/>
    <mergeCell ref="L55:M55"/>
    <mergeCell ref="N55:U55"/>
    <mergeCell ref="D56:E56"/>
    <mergeCell ref="F56:G56"/>
    <mergeCell ref="L56:M56"/>
    <mergeCell ref="N56:U56"/>
    <mergeCell ref="D57:E57"/>
    <mergeCell ref="F57:G57"/>
    <mergeCell ref="L57:M57"/>
    <mergeCell ref="N57:U57"/>
    <mergeCell ref="A59:V59"/>
    <mergeCell ref="B60:C60"/>
    <mergeCell ref="D60:E60"/>
    <mergeCell ref="F60:K60"/>
    <mergeCell ref="L60:N60"/>
    <mergeCell ref="P60:U60"/>
    <mergeCell ref="B61:C61"/>
    <mergeCell ref="D61:E61"/>
    <mergeCell ref="F61:K61"/>
    <mergeCell ref="L61:N61"/>
    <mergeCell ref="P61:U61"/>
    <mergeCell ref="B62:C62"/>
    <mergeCell ref="D62:E62"/>
    <mergeCell ref="F62:K62"/>
    <mergeCell ref="L62:N62"/>
    <mergeCell ref="P62:U62"/>
    <mergeCell ref="B63:C63"/>
    <mergeCell ref="D63:E63"/>
    <mergeCell ref="F63:K63"/>
    <mergeCell ref="L63:N63"/>
    <mergeCell ref="P63:U63"/>
    <mergeCell ref="B64:C64"/>
    <mergeCell ref="D64:E64"/>
    <mergeCell ref="F64:K64"/>
    <mergeCell ref="L64:N64"/>
    <mergeCell ref="P64:U64"/>
    <mergeCell ref="B65:C65"/>
    <mergeCell ref="D65:E65"/>
    <mergeCell ref="F65:K65"/>
    <mergeCell ref="L65:N65"/>
    <mergeCell ref="P65:U65"/>
    <mergeCell ref="B66:C66"/>
    <mergeCell ref="D66:E66"/>
    <mergeCell ref="F66:K66"/>
    <mergeCell ref="L66:N66"/>
    <mergeCell ref="P66:U66"/>
    <mergeCell ref="A68:V68"/>
    <mergeCell ref="B69:C69"/>
    <mergeCell ref="H69:I69"/>
    <mergeCell ref="J69:U69"/>
    <mergeCell ref="B70:C70"/>
    <mergeCell ref="H70:I70"/>
    <mergeCell ref="J70:U70"/>
    <mergeCell ref="B71:C71"/>
    <mergeCell ref="H71:I71"/>
    <mergeCell ref="J71:U71"/>
    <mergeCell ref="A73:V73"/>
    <mergeCell ref="A74:V74"/>
    <mergeCell ref="A75:V75"/>
    <mergeCell ref="A76:V76"/>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1" min="3" style="0" width="11"/>
    <col collapsed="false" customWidth="true" hidden="false" outlineLevel="0" max="22" min="22" style="0" width="36"/>
  </cols>
  <sheetData>
    <row r="1" customFormat="false" ht="18.55" hidden="false" customHeight="false" outlineLevel="0" collapsed="false">
      <c r="A1" s="1" t="s">
        <v>1249</v>
      </c>
    </row>
    <row r="2" customFormat="false" ht="15" hidden="false" customHeight="false" outlineLevel="0" collapsed="false">
      <c r="A2" s="2" t="s">
        <v>1250</v>
      </c>
    </row>
    <row r="3" customFormat="false" ht="15" hidden="false" customHeight="true" outlineLevel="0" collapsed="false">
      <c r="A3" s="23" t="s">
        <v>1251</v>
      </c>
      <c r="B3" s="23"/>
      <c r="C3" s="23"/>
      <c r="D3" s="23"/>
      <c r="E3" s="23"/>
      <c r="F3" s="23"/>
      <c r="G3" s="23"/>
      <c r="H3" s="23"/>
      <c r="I3" s="23"/>
      <c r="J3" s="23"/>
      <c r="K3" s="23"/>
      <c r="L3" s="23"/>
      <c r="M3" s="23"/>
      <c r="N3" s="23"/>
      <c r="O3" s="23"/>
      <c r="P3" s="23"/>
      <c r="Q3" s="23"/>
      <c r="R3" s="23"/>
      <c r="S3" s="23"/>
      <c r="T3" s="23"/>
      <c r="U3" s="23"/>
      <c r="V3" s="23"/>
    </row>
    <row r="4" customFormat="false" ht="18" hidden="false" customHeight="true" outlineLevel="0" collapsed="false">
      <c r="A4" s="6" t="s">
        <v>151</v>
      </c>
      <c r="B4" s="6"/>
      <c r="C4" s="6"/>
      <c r="D4" s="6"/>
      <c r="E4" s="6"/>
      <c r="F4" s="6"/>
      <c r="G4" s="6"/>
      <c r="H4" s="6"/>
      <c r="I4" s="6"/>
      <c r="J4" s="6"/>
      <c r="K4" s="6"/>
      <c r="L4" s="6"/>
      <c r="M4" s="6"/>
      <c r="N4" s="6"/>
      <c r="O4" s="6"/>
      <c r="P4" s="6"/>
      <c r="Q4" s="6"/>
      <c r="R4" s="6"/>
      <c r="S4" s="6"/>
      <c r="T4" s="6"/>
      <c r="U4" s="6"/>
      <c r="V4" s="6"/>
    </row>
    <row r="5" customFormat="false" ht="15" hidden="false" customHeight="true" outlineLevel="0" collapsed="false">
      <c r="A5" s="4" t="s">
        <v>152</v>
      </c>
      <c r="B5" s="4"/>
      <c r="C5" s="24" t="n">
        <v>150000</v>
      </c>
      <c r="D5" s="24"/>
      <c r="E5" s="24"/>
      <c r="F5" s="25" t="s">
        <v>1252</v>
      </c>
      <c r="G5" s="25"/>
      <c r="H5" s="25"/>
      <c r="I5" s="25"/>
      <c r="J5" s="25"/>
      <c r="K5" s="25"/>
      <c r="L5" s="25"/>
      <c r="M5" s="25"/>
      <c r="N5" s="25"/>
      <c r="O5" s="25"/>
      <c r="P5" s="25"/>
      <c r="Q5" s="25"/>
      <c r="R5" s="25"/>
      <c r="S5" s="25"/>
      <c r="T5" s="25"/>
      <c r="U5" s="25"/>
      <c r="V5" s="25"/>
    </row>
    <row r="6" customFormat="false" ht="15" hidden="false" customHeight="true" outlineLevel="0" collapsed="false">
      <c r="A6" s="4" t="s">
        <v>110</v>
      </c>
      <c r="B6" s="4"/>
      <c r="C6" s="5" t="s">
        <v>1253</v>
      </c>
      <c r="D6" s="5"/>
      <c r="E6" s="5"/>
      <c r="F6" s="25"/>
      <c r="G6" s="25"/>
      <c r="H6" s="25"/>
      <c r="I6" s="25"/>
      <c r="J6" s="25"/>
      <c r="K6" s="25"/>
      <c r="L6" s="25"/>
      <c r="M6" s="25"/>
      <c r="N6" s="25"/>
      <c r="O6" s="25"/>
      <c r="P6" s="25"/>
      <c r="Q6" s="25"/>
      <c r="R6" s="25"/>
      <c r="S6" s="25"/>
      <c r="T6" s="25"/>
      <c r="U6" s="25"/>
      <c r="V6" s="25"/>
    </row>
    <row r="7" customFormat="false" ht="40.5" hidden="false" customHeight="true" outlineLevel="0" collapsed="false">
      <c r="A7" s="4" t="s">
        <v>155</v>
      </c>
      <c r="B7" s="4"/>
      <c r="C7" s="5" t="s">
        <v>1254</v>
      </c>
      <c r="D7" s="5"/>
      <c r="E7" s="5"/>
      <c r="F7" s="25"/>
      <c r="G7" s="25"/>
      <c r="H7" s="25"/>
      <c r="I7" s="25"/>
      <c r="J7" s="25"/>
      <c r="K7" s="25"/>
      <c r="L7" s="25"/>
      <c r="M7" s="25"/>
      <c r="N7" s="25"/>
      <c r="O7" s="25"/>
      <c r="P7" s="25"/>
      <c r="Q7" s="25"/>
      <c r="R7" s="25"/>
      <c r="S7" s="25"/>
      <c r="T7" s="25"/>
      <c r="U7" s="25"/>
      <c r="V7" s="25"/>
    </row>
    <row r="8" customFormat="false" ht="40.5" hidden="false" customHeight="true" outlineLevel="0" collapsed="false">
      <c r="A8" s="4" t="s">
        <v>111</v>
      </c>
      <c r="B8" s="4"/>
      <c r="C8" s="5" t="s">
        <v>1255</v>
      </c>
      <c r="D8" s="5"/>
      <c r="E8" s="5"/>
      <c r="F8" s="25"/>
      <c r="G8" s="25"/>
      <c r="H8" s="25"/>
      <c r="I8" s="25"/>
      <c r="J8" s="25"/>
      <c r="K8" s="25"/>
      <c r="L8" s="25"/>
      <c r="M8" s="25"/>
      <c r="N8" s="25"/>
      <c r="O8" s="25"/>
      <c r="P8" s="25"/>
      <c r="Q8" s="25"/>
      <c r="R8" s="25"/>
      <c r="S8" s="25"/>
      <c r="T8" s="25"/>
      <c r="U8" s="25"/>
      <c r="V8" s="25"/>
    </row>
    <row r="9" customFormat="false" ht="15" hidden="false" customHeight="true" outlineLevel="0" collapsed="false">
      <c r="A9" s="4" t="s">
        <v>158</v>
      </c>
      <c r="B9" s="4"/>
      <c r="C9" s="26" t="n">
        <f aca="false">IF(ISNUMBER(S22),S22,"n.d.")</f>
        <v>220437</v>
      </c>
      <c r="D9" s="26"/>
      <c r="E9" s="26"/>
      <c r="F9" s="25" t="s">
        <v>1256</v>
      </c>
      <c r="G9" s="25"/>
      <c r="H9" s="25"/>
      <c r="I9" s="25"/>
      <c r="J9" s="25"/>
      <c r="K9" s="25"/>
      <c r="L9" s="25"/>
      <c r="M9" s="25"/>
      <c r="N9" s="25"/>
      <c r="O9" s="25"/>
      <c r="P9" s="25"/>
      <c r="Q9" s="25"/>
      <c r="R9" s="25"/>
      <c r="S9" s="25"/>
      <c r="T9" s="25"/>
      <c r="U9" s="25"/>
      <c r="V9" s="25"/>
    </row>
    <row r="10" customFormat="false" ht="27.75" hidden="false" customHeight="true" outlineLevel="0" collapsed="false">
      <c r="A10" s="4" t="s">
        <v>160</v>
      </c>
      <c r="B10" s="4"/>
      <c r="C10" s="5" t="s">
        <v>1256</v>
      </c>
      <c r="D10" s="5"/>
      <c r="E10" s="5"/>
      <c r="F10" s="25"/>
      <c r="G10" s="25"/>
      <c r="H10" s="25"/>
      <c r="I10" s="25"/>
      <c r="J10" s="25"/>
      <c r="K10" s="25"/>
      <c r="L10" s="25"/>
      <c r="M10" s="25"/>
      <c r="N10" s="25"/>
      <c r="O10" s="25"/>
      <c r="P10" s="25"/>
      <c r="Q10" s="25"/>
      <c r="R10" s="25"/>
      <c r="S10" s="25"/>
      <c r="T10" s="25"/>
      <c r="U10" s="25"/>
      <c r="V10" s="25"/>
    </row>
    <row r="11" customFormat="false" ht="15" hidden="false" customHeight="true" outlineLevel="0" collapsed="false">
      <c r="A11" s="4" t="s">
        <v>114</v>
      </c>
      <c r="B11" s="4"/>
      <c r="C11" s="27" t="str">
        <f aca="false">"n.d."</f>
        <v>n.d.</v>
      </c>
      <c r="D11" s="27"/>
      <c r="E11" s="27"/>
      <c r="F11" s="25" t="s">
        <v>1109</v>
      </c>
      <c r="G11" s="25"/>
      <c r="H11" s="25"/>
      <c r="I11" s="25"/>
      <c r="J11" s="25"/>
      <c r="K11" s="25"/>
      <c r="L11" s="25"/>
      <c r="M11" s="25"/>
      <c r="N11" s="25"/>
      <c r="O11" s="25"/>
      <c r="P11" s="25"/>
      <c r="Q11" s="25"/>
      <c r="R11" s="25"/>
      <c r="S11" s="25"/>
      <c r="T11" s="25"/>
      <c r="U11" s="25"/>
      <c r="V11" s="25"/>
    </row>
    <row r="12" customFormat="false" ht="15" hidden="false" customHeight="true" outlineLevel="0" collapsed="false">
      <c r="A12" s="4" t="s">
        <v>162</v>
      </c>
      <c r="B12" s="4"/>
      <c r="C12" s="5" t="s">
        <v>121</v>
      </c>
      <c r="D12" s="5"/>
      <c r="E12" s="5"/>
      <c r="F12" s="25" t="s">
        <v>1110</v>
      </c>
      <c r="G12" s="25"/>
      <c r="H12" s="25"/>
      <c r="I12" s="25"/>
      <c r="J12" s="25"/>
      <c r="K12" s="25"/>
      <c r="L12" s="25"/>
      <c r="M12" s="25"/>
      <c r="N12" s="25"/>
      <c r="O12" s="25"/>
      <c r="P12" s="25"/>
      <c r="Q12" s="25"/>
      <c r="R12" s="25"/>
      <c r="S12" s="25"/>
      <c r="T12" s="25"/>
      <c r="U12" s="25"/>
      <c r="V12" s="25"/>
    </row>
    <row r="13" customFormat="false" ht="15" hidden="false" customHeight="true" outlineLevel="0" collapsed="false">
      <c r="A13" s="4" t="s">
        <v>164</v>
      </c>
      <c r="B13" s="4"/>
      <c r="C13" s="5" t="s">
        <v>121</v>
      </c>
      <c r="D13" s="5"/>
      <c r="E13" s="5"/>
      <c r="F13" s="25" t="s">
        <v>1111</v>
      </c>
      <c r="G13" s="25"/>
      <c r="H13" s="25"/>
      <c r="I13" s="25"/>
      <c r="J13" s="25"/>
      <c r="K13" s="25"/>
      <c r="L13" s="25"/>
      <c r="M13" s="25"/>
      <c r="N13" s="25"/>
      <c r="O13" s="25"/>
      <c r="P13" s="25"/>
      <c r="Q13" s="25"/>
      <c r="R13" s="25"/>
      <c r="S13" s="25"/>
      <c r="T13" s="25"/>
      <c r="U13" s="25"/>
      <c r="V13" s="25"/>
    </row>
    <row r="14" customFormat="false" ht="15" hidden="false" customHeight="true" outlineLevel="0" collapsed="false">
      <c r="A14" s="4" t="s">
        <v>130</v>
      </c>
      <c r="B14" s="4"/>
      <c r="C14" s="5" t="s">
        <v>312</v>
      </c>
      <c r="D14" s="5"/>
      <c r="E14" s="5"/>
      <c r="F14" s="25"/>
      <c r="G14" s="25"/>
      <c r="H14" s="25"/>
      <c r="I14" s="25"/>
      <c r="J14" s="25"/>
      <c r="K14" s="25"/>
      <c r="L14" s="25"/>
      <c r="M14" s="25"/>
      <c r="N14" s="25"/>
      <c r="O14" s="25"/>
      <c r="P14" s="25"/>
      <c r="Q14" s="25"/>
      <c r="R14" s="25"/>
      <c r="S14" s="25"/>
      <c r="T14" s="25"/>
      <c r="U14" s="25"/>
      <c r="V14" s="25"/>
    </row>
    <row r="15" customFormat="false" ht="33" hidden="false" customHeight="true" outlineLevel="0" collapsed="false">
      <c r="A15" s="4" t="s">
        <v>120</v>
      </c>
      <c r="B15" s="4"/>
      <c r="C15" s="28" t="s">
        <v>1257</v>
      </c>
      <c r="D15" s="28"/>
      <c r="E15" s="28"/>
      <c r="F15" s="28"/>
      <c r="G15" s="28"/>
      <c r="H15" s="28"/>
      <c r="I15" s="28"/>
      <c r="J15" s="28"/>
      <c r="K15" s="28"/>
      <c r="L15" s="28"/>
      <c r="M15" s="28"/>
      <c r="N15" s="28"/>
      <c r="O15" s="28"/>
      <c r="P15" s="28"/>
      <c r="Q15" s="28"/>
      <c r="R15" s="28"/>
      <c r="S15" s="28"/>
      <c r="T15" s="28"/>
      <c r="U15" s="28"/>
      <c r="V15" s="28"/>
    </row>
    <row r="17" customFormat="false" ht="18" hidden="false" customHeight="true" outlineLevel="0" collapsed="false">
      <c r="A17" s="6" t="s">
        <v>168</v>
      </c>
      <c r="B17" s="6"/>
      <c r="C17" s="6"/>
      <c r="D17" s="6"/>
      <c r="E17" s="6"/>
      <c r="F17" s="6"/>
      <c r="G17" s="6"/>
      <c r="H17" s="6"/>
      <c r="I17" s="6"/>
      <c r="J17" s="6"/>
      <c r="K17" s="6"/>
      <c r="L17" s="6"/>
      <c r="M17" s="6"/>
      <c r="N17" s="6"/>
      <c r="O17" s="6"/>
      <c r="P17" s="6"/>
      <c r="Q17" s="6"/>
      <c r="R17" s="6"/>
      <c r="S17" s="6"/>
      <c r="T17" s="6"/>
      <c r="U17" s="6"/>
      <c r="V17" s="6"/>
    </row>
    <row r="18" customFormat="false" ht="15" hidden="false" customHeight="true" outlineLevel="0" collapsed="false">
      <c r="A18" s="8" t="s">
        <v>169</v>
      </c>
      <c r="B18" s="9" t="s">
        <v>170</v>
      </c>
      <c r="C18" s="9" t="s">
        <v>71</v>
      </c>
      <c r="D18" s="9" t="s">
        <v>72</v>
      </c>
      <c r="E18" s="9" t="s">
        <v>73</v>
      </c>
      <c r="F18" s="9" t="s">
        <v>74</v>
      </c>
      <c r="G18" s="9" t="s">
        <v>75</v>
      </c>
      <c r="H18" s="9" t="s">
        <v>76</v>
      </c>
      <c r="I18" s="9" t="s">
        <v>77</v>
      </c>
      <c r="J18" s="9" t="s">
        <v>78</v>
      </c>
      <c r="K18" s="9" t="s">
        <v>79</v>
      </c>
      <c r="L18" s="9" t="s">
        <v>80</v>
      </c>
      <c r="M18" s="9" t="s">
        <v>81</v>
      </c>
      <c r="N18" s="9" t="s">
        <v>82</v>
      </c>
      <c r="O18" s="9" t="s">
        <v>83</v>
      </c>
      <c r="P18" s="9" t="s">
        <v>84</v>
      </c>
      <c r="Q18" s="9" t="s">
        <v>85</v>
      </c>
      <c r="R18" s="9" t="s">
        <v>86</v>
      </c>
      <c r="S18" s="9" t="s">
        <v>87</v>
      </c>
      <c r="T18" s="8" t="s">
        <v>171</v>
      </c>
      <c r="U18" s="8"/>
      <c r="V18" s="8"/>
    </row>
    <row r="19" customFormat="false" ht="24.75" hidden="false" customHeight="true" outlineLevel="0" collapsed="false">
      <c r="A19" s="10" t="s">
        <v>172</v>
      </c>
      <c r="B19" s="29" t="s">
        <v>173</v>
      </c>
      <c r="C19" s="5"/>
      <c r="D19" s="30" t="n">
        <v>150000</v>
      </c>
      <c r="E19" s="5"/>
      <c r="F19" s="5"/>
      <c r="G19" s="5"/>
      <c r="H19" s="5"/>
      <c r="I19" s="5"/>
      <c r="J19" s="5"/>
      <c r="K19" s="5"/>
      <c r="L19" s="5"/>
      <c r="M19" s="5"/>
      <c r="N19" s="5"/>
      <c r="O19" s="5"/>
      <c r="P19" s="5"/>
      <c r="Q19" s="5"/>
      <c r="R19" s="5"/>
      <c r="S19" s="5"/>
      <c r="T19" s="25" t="s">
        <v>1258</v>
      </c>
      <c r="U19" s="25"/>
      <c r="V19" s="25"/>
    </row>
    <row r="20" customFormat="false" ht="24.75" hidden="false" customHeight="true" outlineLevel="0" collapsed="false">
      <c r="A20" s="10" t="s">
        <v>175</v>
      </c>
      <c r="B20" s="29" t="s">
        <v>176</v>
      </c>
      <c r="C20" s="5"/>
      <c r="D20" s="29" t="s">
        <v>520</v>
      </c>
      <c r="E20" s="5"/>
      <c r="F20" s="5"/>
      <c r="G20" s="5"/>
      <c r="H20" s="5"/>
      <c r="I20" s="5"/>
      <c r="J20" s="5"/>
      <c r="K20" s="5"/>
      <c r="L20" s="5"/>
      <c r="M20" s="5"/>
      <c r="N20" s="5"/>
      <c r="O20" s="5"/>
      <c r="P20" s="5"/>
      <c r="Q20" s="5"/>
      <c r="R20" s="5"/>
      <c r="S20" s="5"/>
      <c r="T20" s="25" t="s">
        <v>179</v>
      </c>
      <c r="U20" s="25"/>
      <c r="V20" s="25"/>
    </row>
    <row r="21" customFormat="false" ht="15" hidden="false" customHeight="true" outlineLevel="0" collapsed="false">
      <c r="A21" s="10" t="s">
        <v>180</v>
      </c>
      <c r="B21" s="29" t="s">
        <v>181</v>
      </c>
      <c r="C21" s="5"/>
      <c r="D21" s="5"/>
      <c r="E21" s="5"/>
      <c r="F21" s="5"/>
      <c r="G21" s="5"/>
      <c r="H21" s="5"/>
      <c r="I21" s="5"/>
      <c r="J21" s="5"/>
      <c r="K21" s="5"/>
      <c r="L21" s="5"/>
      <c r="M21" s="5"/>
      <c r="N21" s="5"/>
      <c r="O21" s="5"/>
      <c r="P21" s="5"/>
      <c r="Q21" s="5"/>
      <c r="R21" s="5"/>
      <c r="S21" s="5"/>
      <c r="T21" s="25" t="s">
        <v>688</v>
      </c>
      <c r="U21" s="25"/>
      <c r="V21" s="25"/>
    </row>
    <row r="22" customFormat="false" ht="24.75" hidden="false" customHeight="true" outlineLevel="0" collapsed="false">
      <c r="A22" s="10" t="s">
        <v>183</v>
      </c>
      <c r="B22" s="29" t="s">
        <v>181</v>
      </c>
      <c r="C22" s="5"/>
      <c r="D22" s="5"/>
      <c r="E22" s="5"/>
      <c r="F22" s="5"/>
      <c r="G22" s="5"/>
      <c r="H22" s="5"/>
      <c r="I22" s="5"/>
      <c r="J22" s="5"/>
      <c r="K22" s="5"/>
      <c r="L22" s="5"/>
      <c r="M22" s="5"/>
      <c r="N22" s="5"/>
      <c r="O22" s="5"/>
      <c r="P22" s="5"/>
      <c r="Q22" s="5"/>
      <c r="R22" s="5"/>
      <c r="S22" s="30" t="n">
        <v>220437</v>
      </c>
      <c r="T22" s="25" t="s">
        <v>1259</v>
      </c>
      <c r="U22" s="25"/>
      <c r="V22" s="25"/>
    </row>
    <row r="23" customFormat="false" ht="15" hidden="false" customHeight="true" outlineLevel="0" collapsed="false">
      <c r="A23" s="10" t="s">
        <v>185</v>
      </c>
      <c r="B23" s="29" t="s">
        <v>181</v>
      </c>
      <c r="C23" s="5"/>
      <c r="D23" s="5"/>
      <c r="E23" s="5"/>
      <c r="F23" s="5"/>
      <c r="G23" s="5"/>
      <c r="H23" s="5"/>
      <c r="I23" s="5"/>
      <c r="J23" s="5"/>
      <c r="K23" s="5"/>
      <c r="L23" s="5"/>
      <c r="M23" s="5"/>
      <c r="N23" s="5"/>
      <c r="O23" s="5"/>
      <c r="P23" s="5"/>
      <c r="Q23" s="5"/>
      <c r="R23" s="5"/>
      <c r="S23" s="5"/>
      <c r="T23" s="25"/>
      <c r="U23" s="25"/>
      <c r="V23" s="25"/>
    </row>
    <row r="24" customFormat="false" ht="15" hidden="false" customHeight="true" outlineLevel="0" collapsed="false">
      <c r="A24" s="10" t="s">
        <v>187</v>
      </c>
      <c r="B24" s="29" t="s">
        <v>181</v>
      </c>
      <c r="C24" s="5"/>
      <c r="D24" s="5"/>
      <c r="E24" s="5"/>
      <c r="F24" s="5"/>
      <c r="G24" s="5"/>
      <c r="H24" s="5"/>
      <c r="I24" s="5"/>
      <c r="J24" s="5"/>
      <c r="K24" s="5"/>
      <c r="L24" s="5"/>
      <c r="M24" s="5"/>
      <c r="N24" s="5"/>
      <c r="O24" s="5"/>
      <c r="P24" s="5"/>
      <c r="Q24" s="5"/>
      <c r="R24" s="5"/>
      <c r="S24" s="30" t="n">
        <v>18082</v>
      </c>
      <c r="T24" s="25" t="s">
        <v>1260</v>
      </c>
      <c r="U24" s="25"/>
      <c r="V24" s="25"/>
    </row>
    <row r="25" customFormat="false" ht="24.75" hidden="false" customHeight="true" outlineLevel="0" collapsed="false">
      <c r="A25" s="10" t="s">
        <v>188</v>
      </c>
      <c r="B25" s="29" t="s">
        <v>189</v>
      </c>
      <c r="C25" s="17" t="str">
        <f aca="false">IF(AND(ISNUMBER(C21),ISNUMBER(C19)),C21/C19,"")</f>
        <v/>
      </c>
      <c r="D25" s="17" t="str">
        <f aca="false">IF(AND(ISNUMBER(D21),ISNUMBER(D19)),D21/D19,"")</f>
        <v/>
      </c>
      <c r="E25" s="17" t="str">
        <f aca="false">IF(AND(ISNUMBER(E21),ISNUMBER(E19)),E21/E19,"")</f>
        <v/>
      </c>
      <c r="F25" s="17" t="str">
        <f aca="false">IF(AND(ISNUMBER(F21),ISNUMBER(F19)),F21/F19,"")</f>
        <v/>
      </c>
      <c r="G25" s="17" t="str">
        <f aca="false">IF(AND(ISNUMBER(G21),ISNUMBER(G19)),G21/G19,"")</f>
        <v/>
      </c>
      <c r="H25" s="17" t="str">
        <f aca="false">IF(AND(ISNUMBER(H21),ISNUMBER(H19)),H21/H19,"")</f>
        <v/>
      </c>
      <c r="I25" s="17" t="str">
        <f aca="false">IF(AND(ISNUMBER(I21),ISNUMBER(I19)),I21/I19,"")</f>
        <v/>
      </c>
      <c r="J25" s="17" t="str">
        <f aca="false">IF(AND(ISNUMBER(J21),ISNUMBER(J19)),J21/J19,"")</f>
        <v/>
      </c>
      <c r="K25" s="17" t="str">
        <f aca="false">IF(AND(ISNUMBER(K21),ISNUMBER(K19)),K21/K19,"")</f>
        <v/>
      </c>
      <c r="L25" s="17" t="str">
        <f aca="false">IF(AND(ISNUMBER(L21),ISNUMBER(L19)),L21/L19,"")</f>
        <v/>
      </c>
      <c r="M25" s="17" t="str">
        <f aca="false">IF(AND(ISNUMBER(M21),ISNUMBER(M19)),M21/M19,"")</f>
        <v/>
      </c>
      <c r="N25" s="17" t="str">
        <f aca="false">IF(AND(ISNUMBER(N21),ISNUMBER(N19)),N21/N19,"")</f>
        <v/>
      </c>
      <c r="O25" s="17" t="str">
        <f aca="false">IF(AND(ISNUMBER(O21),ISNUMBER(O19)),O21/O19,"")</f>
        <v/>
      </c>
      <c r="P25" s="17" t="str">
        <f aca="false">IF(AND(ISNUMBER(P21),ISNUMBER(P19)),P21/P19,"")</f>
        <v/>
      </c>
      <c r="Q25" s="17" t="str">
        <f aca="false">IF(AND(ISNUMBER(Q21),ISNUMBER(Q19)),Q21/Q19,"")</f>
        <v/>
      </c>
      <c r="R25" s="17" t="str">
        <f aca="false">IF(AND(ISNUMBER(R21),ISNUMBER(R19)),R21/R19,"")</f>
        <v/>
      </c>
      <c r="S25" s="17" t="str">
        <f aca="false">IF(AND(ISNUMBER(S21),ISNUMBER(S19)),S21/S19,"")</f>
        <v/>
      </c>
      <c r="T25" s="25" t="s">
        <v>190</v>
      </c>
      <c r="U25" s="25"/>
      <c r="V25" s="25"/>
    </row>
    <row r="26" customFormat="false" ht="15" hidden="false" customHeight="true" outlineLevel="0" collapsed="false">
      <c r="A26" s="10" t="s">
        <v>191</v>
      </c>
      <c r="B26" s="29" t="s">
        <v>189</v>
      </c>
      <c r="C26" s="17" t="str">
        <f aca="false">IF(AND(ISNUMBER(C21),ISNUMBER(C19)),C21/C19,"")</f>
        <v/>
      </c>
      <c r="D26" s="17" t="str">
        <f aca="false">IF(AND(ISNUMBER(D21),ISNUMBER(D19)),D21/IF(ISNUMBER(C19),AVERAGE(C19,D19),D19),"")</f>
        <v/>
      </c>
      <c r="E26" s="17" t="str">
        <f aca="false">IF(AND(ISNUMBER(E21),ISNUMBER(E19)),E21/IF(ISNUMBER(D19),AVERAGE(D19,E19),E19),"")</f>
        <v/>
      </c>
      <c r="F26" s="17" t="str">
        <f aca="false">IF(AND(ISNUMBER(F21),ISNUMBER(F19)),F21/IF(ISNUMBER(E19),AVERAGE(E19,F19),F19),"")</f>
        <v/>
      </c>
      <c r="G26" s="17" t="str">
        <f aca="false">IF(AND(ISNUMBER(G21),ISNUMBER(G19)),G21/IF(ISNUMBER(F19),AVERAGE(F19,G19),G19),"")</f>
        <v/>
      </c>
      <c r="H26" s="17" t="str">
        <f aca="false">IF(AND(ISNUMBER(H21),ISNUMBER(H19)),H21/IF(ISNUMBER(G19),AVERAGE(G19,H19),H19),"")</f>
        <v/>
      </c>
      <c r="I26" s="17" t="str">
        <f aca="false">IF(AND(ISNUMBER(I21),ISNUMBER(I19)),I21/IF(ISNUMBER(H19),AVERAGE(H19,I19),I19),"")</f>
        <v/>
      </c>
      <c r="J26" s="17" t="str">
        <f aca="false">IF(AND(ISNUMBER(J21),ISNUMBER(J19)),J21/IF(ISNUMBER(I19),AVERAGE(I19,J19),J19),"")</f>
        <v/>
      </c>
      <c r="K26" s="17" t="str">
        <f aca="false">IF(AND(ISNUMBER(K21),ISNUMBER(K19)),K21/IF(ISNUMBER(J19),AVERAGE(J19,K19),K19),"")</f>
        <v/>
      </c>
      <c r="L26" s="17" t="str">
        <f aca="false">IF(AND(ISNUMBER(L21),ISNUMBER(L19)),L21/IF(ISNUMBER(K19),AVERAGE(K19,L19),L19),"")</f>
        <v/>
      </c>
      <c r="M26" s="17" t="str">
        <f aca="false">IF(AND(ISNUMBER(M21),ISNUMBER(M19)),M21/IF(ISNUMBER(L19),AVERAGE(L19,M19),M19),"")</f>
        <v/>
      </c>
      <c r="N26" s="17" t="str">
        <f aca="false">IF(AND(ISNUMBER(N21),ISNUMBER(N19)),N21/IF(ISNUMBER(M19),AVERAGE(M19,N19),N19),"")</f>
        <v/>
      </c>
      <c r="O26" s="17" t="str">
        <f aca="false">IF(AND(ISNUMBER(O21),ISNUMBER(O19)),O21/IF(ISNUMBER(N19),AVERAGE(N19,O19),O19),"")</f>
        <v/>
      </c>
      <c r="P26" s="17" t="str">
        <f aca="false">IF(AND(ISNUMBER(P21),ISNUMBER(P19)),P21/IF(ISNUMBER(O19),AVERAGE(O19,P19),P19),"")</f>
        <v/>
      </c>
      <c r="Q26" s="17" t="str">
        <f aca="false">IF(AND(ISNUMBER(Q21),ISNUMBER(Q19)),Q21/IF(ISNUMBER(P19),AVERAGE(P19,Q19),Q19),"")</f>
        <v/>
      </c>
      <c r="R26" s="17" t="str">
        <f aca="false">IF(AND(ISNUMBER(R21),ISNUMBER(R19)),R21/IF(ISNUMBER(Q19),AVERAGE(Q19,R19),R19),"")</f>
        <v/>
      </c>
      <c r="S26" s="17" t="str">
        <f aca="false">IF(AND(ISNUMBER(S21),ISNUMBER(S19)),S21/IF(ISNUMBER(R19),AVERAGE(R19,S19),S19),"")</f>
        <v/>
      </c>
      <c r="T26" s="25" t="s">
        <v>192</v>
      </c>
      <c r="U26" s="25"/>
      <c r="V26" s="25"/>
    </row>
    <row r="27" customFormat="false" ht="24.75" hidden="false" customHeight="true" outlineLevel="0" collapsed="false">
      <c r="A27" s="10" t="s">
        <v>193</v>
      </c>
      <c r="B27" s="29" t="s">
        <v>189</v>
      </c>
      <c r="C27" s="17" t="str">
        <f aca="false">IF(ISNUMBER(C19),IF(ISNUMBER(C22),C22/C19,IF(ISNUMBER(C23),C23/C19,"")),"")</f>
        <v/>
      </c>
      <c r="D27" s="17" t="str">
        <f aca="false">IF(ISNUMBER(D19),IF(ISNUMBER(D22),D22/D19,IF(ISNUMBER(D23),D23/D19,"")),"")</f>
        <v/>
      </c>
      <c r="E27" s="17" t="str">
        <f aca="false">IF(ISNUMBER(E19),IF(ISNUMBER(E22),E22/E19,IF(ISNUMBER(E23),E23/E19,"")),"")</f>
        <v/>
      </c>
      <c r="F27" s="17" t="str">
        <f aca="false">IF(ISNUMBER(F19),IF(ISNUMBER(F22),F22/F19,IF(ISNUMBER(F23),F23/F19,"")),"")</f>
        <v/>
      </c>
      <c r="G27" s="17" t="str">
        <f aca="false">IF(ISNUMBER(G19),IF(ISNUMBER(G22),G22/G19,IF(ISNUMBER(G23),G23/G19,"")),"")</f>
        <v/>
      </c>
      <c r="H27" s="17" t="str">
        <f aca="false">IF(ISNUMBER(H19),IF(ISNUMBER(H22),H22/H19,IF(ISNUMBER(H23),H23/H19,"")),"")</f>
        <v/>
      </c>
      <c r="I27" s="17" t="str">
        <f aca="false">IF(ISNUMBER(I19),IF(ISNUMBER(I22),I22/I19,IF(ISNUMBER(I23),I23/I19,"")),"")</f>
        <v/>
      </c>
      <c r="J27" s="17" t="str">
        <f aca="false">IF(ISNUMBER(J19),IF(ISNUMBER(J22),J22/J19,IF(ISNUMBER(J23),J23/J19,"")),"")</f>
        <v/>
      </c>
      <c r="K27" s="17" t="str">
        <f aca="false">IF(ISNUMBER(K19),IF(ISNUMBER(K22),K22/K19,IF(ISNUMBER(K23),K23/K19,"")),"")</f>
        <v/>
      </c>
      <c r="L27" s="17" t="str">
        <f aca="false">IF(ISNUMBER(L19),IF(ISNUMBER(L22),L22/L19,IF(ISNUMBER(L23),L23/L19,"")),"")</f>
        <v/>
      </c>
      <c r="M27" s="17" t="str">
        <f aca="false">IF(ISNUMBER(M19),IF(ISNUMBER(M22),M22/M19,IF(ISNUMBER(M23),M23/M19,"")),"")</f>
        <v/>
      </c>
      <c r="N27" s="17" t="str">
        <f aca="false">IF(ISNUMBER(N19),IF(ISNUMBER(N22),N22/N19,IF(ISNUMBER(N23),N23/N19,"")),"")</f>
        <v/>
      </c>
      <c r="O27" s="17" t="str">
        <f aca="false">IF(ISNUMBER(O19),IF(ISNUMBER(O22),O22/O19,IF(ISNUMBER(O23),O23/O19,"")),"")</f>
        <v/>
      </c>
      <c r="P27" s="17" t="str">
        <f aca="false">IF(ISNUMBER(P19),IF(ISNUMBER(P22),P22/P19,IF(ISNUMBER(P23),P23/P19,"")),"")</f>
        <v/>
      </c>
      <c r="Q27" s="17" t="str">
        <f aca="false">IF(ISNUMBER(Q19),IF(ISNUMBER(Q22),Q22/Q19,IF(ISNUMBER(Q23),Q23/Q19,"")),"")</f>
        <v/>
      </c>
      <c r="R27" s="17" t="str">
        <f aca="false">IF(ISNUMBER(R19),IF(ISNUMBER(R22),R22/R19,IF(ISNUMBER(R23),R23/R19,"")),"")</f>
        <v/>
      </c>
      <c r="S27" s="17" t="str">
        <f aca="false">IF(ISNUMBER(S19),IF(ISNUMBER(S22),S22/S19,IF(ISNUMBER(S23),S23/S19,"")),"")</f>
        <v/>
      </c>
      <c r="T27" s="25" t="s">
        <v>194</v>
      </c>
      <c r="U27" s="25"/>
      <c r="V27" s="25"/>
    </row>
    <row r="28" customFormat="false" ht="15" hidden="false" customHeight="true" outlineLevel="0" collapsed="false">
      <c r="A28" s="10" t="s">
        <v>195</v>
      </c>
      <c r="B28" s="29" t="s">
        <v>173</v>
      </c>
      <c r="C28" s="5"/>
      <c r="D28" s="18" t="str">
        <f aca="false">IF(AND(ISNUMBER(D19),ISNUMBER(C19)),D19-C19,"")</f>
        <v/>
      </c>
      <c r="E28" s="18" t="str">
        <f aca="false">IF(AND(ISNUMBER(E19),ISNUMBER(D19)),E19-D19,"")</f>
        <v/>
      </c>
      <c r="F28" s="18" t="str">
        <f aca="false">IF(AND(ISNUMBER(F19),ISNUMBER(E19)),F19-E19,"")</f>
        <v/>
      </c>
      <c r="G28" s="18" t="str">
        <f aca="false">IF(AND(ISNUMBER(G19),ISNUMBER(F19)),G19-F19,"")</f>
        <v/>
      </c>
      <c r="H28" s="18" t="str">
        <f aca="false">IF(AND(ISNUMBER(H19),ISNUMBER(G19)),H19-G19,"")</f>
        <v/>
      </c>
      <c r="I28" s="18" t="str">
        <f aca="false">IF(AND(ISNUMBER(I19),ISNUMBER(H19)),I19-H19,"")</f>
        <v/>
      </c>
      <c r="J28" s="18" t="str">
        <f aca="false">IF(AND(ISNUMBER(J19),ISNUMBER(I19)),J19-I19,"")</f>
        <v/>
      </c>
      <c r="K28" s="18" t="str">
        <f aca="false">IF(AND(ISNUMBER(K19),ISNUMBER(J19)),K19-J19,"")</f>
        <v/>
      </c>
      <c r="L28" s="18" t="str">
        <f aca="false">IF(AND(ISNUMBER(L19),ISNUMBER(K19)),L19-K19,"")</f>
        <v/>
      </c>
      <c r="M28" s="18" t="str">
        <f aca="false">IF(AND(ISNUMBER(M19),ISNUMBER(L19)),M19-L19,"")</f>
        <v/>
      </c>
      <c r="N28" s="18" t="str">
        <f aca="false">IF(AND(ISNUMBER(N19),ISNUMBER(M19)),N19-M19,"")</f>
        <v/>
      </c>
      <c r="O28" s="18" t="str">
        <f aca="false">IF(AND(ISNUMBER(O19),ISNUMBER(N19)),O19-N19,"")</f>
        <v/>
      </c>
      <c r="P28" s="18" t="str">
        <f aca="false">IF(AND(ISNUMBER(P19),ISNUMBER(O19)),P19-O19,"")</f>
        <v/>
      </c>
      <c r="Q28" s="18" t="str">
        <f aca="false">IF(AND(ISNUMBER(Q19),ISNUMBER(P19)),Q19-P19,"")</f>
        <v/>
      </c>
      <c r="R28" s="18" t="str">
        <f aca="false">IF(AND(ISNUMBER(R19),ISNUMBER(Q19)),R19-Q19,"")</f>
        <v/>
      </c>
      <c r="S28" s="18" t="str">
        <f aca="false">IF(AND(ISNUMBER(S19),ISNUMBER(R19)),S19-R19,"")</f>
        <v/>
      </c>
      <c r="T28" s="25" t="s">
        <v>196</v>
      </c>
      <c r="U28" s="25"/>
      <c r="V28" s="25"/>
    </row>
    <row r="29" customFormat="false" ht="15" hidden="false" customHeight="true" outlineLevel="0" collapsed="false">
      <c r="A29" s="10" t="s">
        <v>197</v>
      </c>
      <c r="B29" s="29" t="s">
        <v>189</v>
      </c>
      <c r="C29" s="31"/>
      <c r="D29" s="31"/>
      <c r="E29" s="31"/>
      <c r="F29" s="31"/>
      <c r="G29" s="31"/>
      <c r="H29" s="31"/>
      <c r="I29" s="31"/>
      <c r="J29" s="31"/>
      <c r="K29" s="31"/>
      <c r="L29" s="31"/>
      <c r="M29" s="31"/>
      <c r="N29" s="31"/>
      <c r="O29" s="31"/>
      <c r="P29" s="31"/>
      <c r="Q29" s="31"/>
      <c r="R29" s="31"/>
      <c r="S29" s="31"/>
      <c r="T29" s="25"/>
      <c r="U29" s="25"/>
      <c r="V29" s="25"/>
    </row>
    <row r="30" customFormat="false" ht="15" hidden="false" customHeight="true" outlineLevel="0" collapsed="false">
      <c r="A30" s="10" t="s">
        <v>199</v>
      </c>
      <c r="B30" s="29"/>
      <c r="C30" s="29" t="s">
        <v>1261</v>
      </c>
      <c r="D30" s="29" t="s">
        <v>1262</v>
      </c>
      <c r="E30" s="29" t="s">
        <v>1263</v>
      </c>
      <c r="F30" s="29"/>
      <c r="G30" s="29"/>
      <c r="H30" s="29"/>
      <c r="I30" s="29"/>
      <c r="J30" s="29"/>
      <c r="K30" s="29"/>
      <c r="L30" s="29"/>
      <c r="M30" s="29"/>
      <c r="N30" s="29" t="s">
        <v>1264</v>
      </c>
      <c r="O30" s="29"/>
      <c r="P30" s="29"/>
      <c r="Q30" s="29"/>
      <c r="R30" s="29" t="s">
        <v>1265</v>
      </c>
      <c r="S30" s="29" t="s">
        <v>1266</v>
      </c>
      <c r="T30" s="25"/>
      <c r="U30" s="25"/>
      <c r="V30" s="25"/>
    </row>
    <row r="31" customFormat="false" ht="57.75" hidden="false" customHeight="true" outlineLevel="0" collapsed="false">
      <c r="A31" s="10" t="s">
        <v>216</v>
      </c>
      <c r="B31" s="29"/>
      <c r="C31" s="25" t="s">
        <v>1267</v>
      </c>
      <c r="D31" s="25" t="s">
        <v>1268</v>
      </c>
      <c r="E31" s="25" t="s">
        <v>1269</v>
      </c>
      <c r="F31" s="25"/>
      <c r="G31" s="25"/>
      <c r="H31" s="25"/>
      <c r="I31" s="25"/>
      <c r="J31" s="25"/>
      <c r="K31" s="25"/>
      <c r="L31" s="25"/>
      <c r="M31" s="25"/>
      <c r="N31" s="25" t="s">
        <v>1270</v>
      </c>
      <c r="O31" s="25"/>
      <c r="P31" s="25"/>
      <c r="Q31" s="25"/>
      <c r="R31" s="25" t="s">
        <v>1271</v>
      </c>
      <c r="S31" s="25" t="s">
        <v>1272</v>
      </c>
      <c r="T31" s="25"/>
      <c r="U31" s="25"/>
      <c r="V31" s="25"/>
    </row>
    <row r="33" customFormat="false" ht="18" hidden="false" customHeight="true" outlineLevel="0" collapsed="false">
      <c r="A33" s="6" t="s">
        <v>233</v>
      </c>
      <c r="B33" s="6"/>
      <c r="C33" s="6"/>
      <c r="D33" s="6"/>
      <c r="E33" s="6"/>
      <c r="F33" s="6"/>
      <c r="G33" s="6"/>
      <c r="H33" s="6"/>
      <c r="I33" s="6"/>
      <c r="J33" s="6"/>
      <c r="K33" s="6"/>
      <c r="L33" s="6"/>
      <c r="M33" s="6"/>
      <c r="N33" s="6"/>
      <c r="O33" s="6"/>
      <c r="P33" s="6"/>
      <c r="Q33" s="6"/>
      <c r="R33" s="6"/>
      <c r="S33" s="6"/>
      <c r="T33" s="6"/>
      <c r="U33" s="6"/>
      <c r="V33" s="6"/>
    </row>
    <row r="34" customFormat="false" ht="15" hidden="false" customHeight="true" outlineLevel="0" collapsed="false">
      <c r="A34" s="8" t="s">
        <v>234</v>
      </c>
      <c r="B34" s="9" t="s">
        <v>170</v>
      </c>
      <c r="C34" s="9" t="s">
        <v>71</v>
      </c>
      <c r="D34" s="9" t="s">
        <v>72</v>
      </c>
      <c r="E34" s="9" t="s">
        <v>73</v>
      </c>
      <c r="F34" s="9" t="s">
        <v>74</v>
      </c>
      <c r="G34" s="9" t="s">
        <v>75</v>
      </c>
      <c r="H34" s="9" t="s">
        <v>76</v>
      </c>
      <c r="I34" s="9" t="s">
        <v>77</v>
      </c>
      <c r="J34" s="9" t="s">
        <v>78</v>
      </c>
      <c r="K34" s="9" t="s">
        <v>79</v>
      </c>
      <c r="L34" s="9" t="s">
        <v>80</v>
      </c>
      <c r="M34" s="9" t="s">
        <v>81</v>
      </c>
      <c r="N34" s="9" t="s">
        <v>82</v>
      </c>
      <c r="O34" s="9" t="s">
        <v>83</v>
      </c>
      <c r="P34" s="9" t="s">
        <v>84</v>
      </c>
      <c r="Q34" s="9" t="s">
        <v>85</v>
      </c>
      <c r="R34" s="9" t="s">
        <v>86</v>
      </c>
      <c r="S34" s="9" t="s">
        <v>87</v>
      </c>
      <c r="T34" s="8" t="s">
        <v>235</v>
      </c>
      <c r="U34" s="8"/>
      <c r="V34" s="8"/>
    </row>
    <row r="35" customFormat="false" ht="15" hidden="false" customHeight="true" outlineLevel="0" collapsed="false">
      <c r="A35" s="10" t="s">
        <v>1010</v>
      </c>
      <c r="B35" s="29" t="s">
        <v>173</v>
      </c>
      <c r="C35" s="30" t="n">
        <v>75000</v>
      </c>
      <c r="D35" s="32"/>
      <c r="E35" s="32"/>
      <c r="F35" s="32"/>
      <c r="G35" s="32"/>
      <c r="H35" s="32"/>
      <c r="I35" s="32"/>
      <c r="J35" s="32"/>
      <c r="K35" s="32"/>
      <c r="L35" s="32"/>
      <c r="M35" s="32"/>
      <c r="N35" s="32"/>
      <c r="O35" s="32"/>
      <c r="P35" s="32"/>
      <c r="Q35" s="32"/>
      <c r="R35" s="32"/>
      <c r="S35" s="32"/>
      <c r="T35" s="25" t="s">
        <v>1273</v>
      </c>
      <c r="U35" s="25"/>
      <c r="V35" s="25"/>
    </row>
    <row r="36" customFormat="false" ht="15" hidden="false" customHeight="true" outlineLevel="0" collapsed="false">
      <c r="A36" s="10" t="s">
        <v>1274</v>
      </c>
      <c r="B36" s="29" t="s">
        <v>173</v>
      </c>
      <c r="C36" s="32"/>
      <c r="D36" s="32"/>
      <c r="E36" s="34" t="n">
        <v>55000</v>
      </c>
      <c r="F36" s="32"/>
      <c r="G36" s="32"/>
      <c r="H36" s="32"/>
      <c r="I36" s="32"/>
      <c r="J36" s="32"/>
      <c r="K36" s="32"/>
      <c r="L36" s="32"/>
      <c r="M36" s="32"/>
      <c r="N36" s="32"/>
      <c r="O36" s="32"/>
      <c r="P36" s="32"/>
      <c r="Q36" s="32"/>
      <c r="R36" s="32"/>
      <c r="S36" s="32"/>
      <c r="T36" s="25" t="s">
        <v>1275</v>
      </c>
      <c r="U36" s="25"/>
      <c r="V36" s="25"/>
    </row>
    <row r="37" customFormat="false" ht="15" hidden="false" customHeight="true" outlineLevel="0" collapsed="false">
      <c r="A37" s="10" t="s">
        <v>1276</v>
      </c>
      <c r="B37" s="29" t="s">
        <v>173</v>
      </c>
      <c r="C37" s="32"/>
      <c r="D37" s="32"/>
      <c r="E37" s="32"/>
      <c r="F37" s="32"/>
      <c r="G37" s="32"/>
      <c r="H37" s="32"/>
      <c r="I37" s="32"/>
      <c r="J37" s="32"/>
      <c r="K37" s="32"/>
      <c r="L37" s="32"/>
      <c r="M37" s="32"/>
      <c r="N37" s="32"/>
      <c r="O37" s="32"/>
      <c r="P37" s="32"/>
      <c r="Q37" s="32"/>
      <c r="R37" s="30" t="n">
        <v>4800</v>
      </c>
      <c r="S37" s="30" t="n">
        <v>4800</v>
      </c>
      <c r="T37" s="25" t="s">
        <v>1277</v>
      </c>
      <c r="U37" s="25"/>
      <c r="V37" s="25"/>
    </row>
    <row r="38" customFormat="false" ht="15" hidden="false" customHeight="true" outlineLevel="0" collapsed="false">
      <c r="A38" s="10" t="s">
        <v>1278</v>
      </c>
      <c r="B38" s="29" t="s">
        <v>173</v>
      </c>
      <c r="C38" s="32"/>
      <c r="D38" s="32"/>
      <c r="E38" s="32"/>
      <c r="F38" s="32"/>
      <c r="G38" s="32"/>
      <c r="H38" s="32"/>
      <c r="I38" s="32"/>
      <c r="J38" s="32"/>
      <c r="K38" s="32"/>
      <c r="L38" s="32"/>
      <c r="M38" s="32"/>
      <c r="N38" s="32"/>
      <c r="O38" s="32"/>
      <c r="P38" s="32"/>
      <c r="Q38" s="32"/>
      <c r="R38" s="32"/>
      <c r="S38" s="30" t="n">
        <v>2500</v>
      </c>
      <c r="T38" s="25" t="s">
        <v>1279</v>
      </c>
      <c r="U38" s="25"/>
      <c r="V38" s="25"/>
    </row>
    <row r="40" customFormat="false" ht="18" hidden="false" customHeight="true" outlineLevel="0" collapsed="false">
      <c r="A40" s="6" t="s">
        <v>249</v>
      </c>
      <c r="B40" s="6"/>
      <c r="C40" s="6"/>
      <c r="D40" s="6"/>
      <c r="E40" s="6"/>
      <c r="F40" s="6"/>
      <c r="G40" s="6"/>
      <c r="H40" s="6"/>
      <c r="I40" s="6"/>
      <c r="J40" s="6"/>
      <c r="K40" s="6"/>
      <c r="L40" s="6"/>
      <c r="M40" s="6"/>
      <c r="N40" s="6"/>
      <c r="O40" s="6"/>
      <c r="P40" s="6"/>
      <c r="Q40" s="6"/>
      <c r="R40" s="6"/>
      <c r="S40" s="6"/>
      <c r="T40" s="6"/>
      <c r="U40" s="6"/>
      <c r="V40" s="6"/>
    </row>
    <row r="41" customFormat="false" ht="40.5" hidden="false" customHeight="true" outlineLevel="0" collapsed="false">
      <c r="A41" s="9" t="s">
        <v>250</v>
      </c>
      <c r="B41" s="9" t="s">
        <v>251</v>
      </c>
      <c r="C41" s="9"/>
      <c r="D41" s="9" t="s">
        <v>252</v>
      </c>
      <c r="E41" s="9"/>
      <c r="F41" s="9" t="s">
        <v>253</v>
      </c>
      <c r="G41" s="9" t="s">
        <v>254</v>
      </c>
      <c r="H41" s="9"/>
      <c r="I41" s="9" t="s">
        <v>255</v>
      </c>
      <c r="J41" s="9"/>
      <c r="K41" s="9"/>
      <c r="L41" s="9"/>
      <c r="M41" s="9" t="s">
        <v>256</v>
      </c>
      <c r="N41" s="9"/>
      <c r="O41" s="9" t="s">
        <v>257</v>
      </c>
      <c r="P41" s="9" t="s">
        <v>258</v>
      </c>
      <c r="Q41" s="9" t="s">
        <v>110</v>
      </c>
      <c r="R41" s="9" t="s">
        <v>259</v>
      </c>
      <c r="S41" s="9" t="s">
        <v>171</v>
      </c>
      <c r="T41" s="9"/>
      <c r="U41" s="9"/>
      <c r="V41" s="9" t="s">
        <v>260</v>
      </c>
    </row>
    <row r="42" customFormat="false" ht="15" hidden="false" customHeight="true" outlineLevel="0" collapsed="false">
      <c r="A42" s="10" t="s">
        <v>1280</v>
      </c>
      <c r="B42" s="5" t="s">
        <v>1281</v>
      </c>
      <c r="C42" s="5"/>
      <c r="D42" s="5" t="s">
        <v>1282</v>
      </c>
      <c r="E42" s="5"/>
      <c r="F42" s="5" t="s">
        <v>1283</v>
      </c>
      <c r="G42" s="5" t="s">
        <v>1284</v>
      </c>
      <c r="H42" s="5"/>
      <c r="I42" s="5" t="s">
        <v>121</v>
      </c>
      <c r="J42" s="5"/>
      <c r="K42" s="5"/>
      <c r="L42" s="5"/>
      <c r="M42" s="5" t="s">
        <v>301</v>
      </c>
      <c r="N42" s="5"/>
      <c r="O42" s="5"/>
      <c r="P42" s="5" t="s">
        <v>121</v>
      </c>
      <c r="Q42" s="5" t="s">
        <v>301</v>
      </c>
      <c r="R42" s="5" t="s">
        <v>277</v>
      </c>
      <c r="S42" s="5" t="s">
        <v>1285</v>
      </c>
      <c r="T42" s="5"/>
      <c r="U42" s="5"/>
      <c r="V42" s="5" t="s">
        <v>1286</v>
      </c>
    </row>
    <row r="43" customFormat="false" ht="27.75" hidden="false" customHeight="true" outlineLevel="0" collapsed="false">
      <c r="A43" s="10" t="s">
        <v>1287</v>
      </c>
      <c r="B43" s="5" t="s">
        <v>669</v>
      </c>
      <c r="C43" s="5"/>
      <c r="D43" s="5" t="s">
        <v>1282</v>
      </c>
      <c r="E43" s="5"/>
      <c r="F43" s="5" t="s">
        <v>1288</v>
      </c>
      <c r="G43" s="5" t="s">
        <v>1289</v>
      </c>
      <c r="H43" s="5"/>
      <c r="I43" s="5" t="s">
        <v>301</v>
      </c>
      <c r="J43" s="5"/>
      <c r="K43" s="5"/>
      <c r="L43" s="5"/>
      <c r="M43" s="5" t="s">
        <v>301</v>
      </c>
      <c r="N43" s="5"/>
      <c r="O43" s="5"/>
      <c r="P43" s="5" t="s">
        <v>121</v>
      </c>
      <c r="Q43" s="5" t="s">
        <v>301</v>
      </c>
      <c r="R43" s="5" t="s">
        <v>277</v>
      </c>
      <c r="S43" s="5"/>
      <c r="T43" s="5"/>
      <c r="U43" s="5"/>
      <c r="V43" s="5" t="s">
        <v>1290</v>
      </c>
    </row>
    <row r="44" customFormat="false" ht="15" hidden="false" customHeight="true" outlineLevel="0" collapsed="false">
      <c r="A44" s="10" t="s">
        <v>1291</v>
      </c>
      <c r="B44" s="5" t="s">
        <v>669</v>
      </c>
      <c r="C44" s="5"/>
      <c r="D44" s="5" t="s">
        <v>1282</v>
      </c>
      <c r="E44" s="5"/>
      <c r="F44" s="5" t="s">
        <v>1292</v>
      </c>
      <c r="G44" s="5" t="s">
        <v>1293</v>
      </c>
      <c r="H44" s="5"/>
      <c r="I44" s="5" t="s">
        <v>1294</v>
      </c>
      <c r="J44" s="5"/>
      <c r="K44" s="5"/>
      <c r="L44" s="5"/>
      <c r="M44" s="5" t="s">
        <v>1295</v>
      </c>
      <c r="N44" s="5"/>
      <c r="O44" s="5"/>
      <c r="P44" s="5" t="s">
        <v>121</v>
      </c>
      <c r="Q44" s="5" t="s">
        <v>301</v>
      </c>
      <c r="R44" s="5" t="s">
        <v>277</v>
      </c>
      <c r="S44" s="5"/>
      <c r="T44" s="5"/>
      <c r="U44" s="5"/>
      <c r="V44" s="5" t="s">
        <v>1290</v>
      </c>
    </row>
    <row r="45" customFormat="false" ht="27.75" hidden="false" customHeight="true" outlineLevel="0" collapsed="false">
      <c r="A45" s="10" t="s">
        <v>1296</v>
      </c>
      <c r="B45" s="5" t="s">
        <v>669</v>
      </c>
      <c r="C45" s="5"/>
      <c r="D45" s="5" t="s">
        <v>1297</v>
      </c>
      <c r="E45" s="5"/>
      <c r="F45" s="5" t="s">
        <v>1298</v>
      </c>
      <c r="G45" s="5" t="s">
        <v>1299</v>
      </c>
      <c r="H45" s="5"/>
      <c r="I45" s="5" t="s">
        <v>1300</v>
      </c>
      <c r="J45" s="5"/>
      <c r="K45" s="5"/>
      <c r="L45" s="5"/>
      <c r="M45" s="5" t="s">
        <v>1301</v>
      </c>
      <c r="N45" s="5"/>
      <c r="O45" s="30" t="n">
        <v>55000</v>
      </c>
      <c r="P45" s="5" t="s">
        <v>121</v>
      </c>
      <c r="Q45" s="5" t="s">
        <v>1302</v>
      </c>
      <c r="R45" s="5" t="s">
        <v>277</v>
      </c>
      <c r="S45" s="5" t="s">
        <v>1303</v>
      </c>
      <c r="T45" s="5"/>
      <c r="U45" s="5"/>
      <c r="V45" s="5" t="s">
        <v>1304</v>
      </c>
    </row>
    <row r="46" customFormat="false" ht="40.5" hidden="false" customHeight="true" outlineLevel="0" collapsed="false">
      <c r="A46" s="10" t="s">
        <v>1305</v>
      </c>
      <c r="B46" s="5" t="s">
        <v>1306</v>
      </c>
      <c r="C46" s="5"/>
      <c r="D46" s="5" t="s">
        <v>1282</v>
      </c>
      <c r="E46" s="5"/>
      <c r="F46" s="5" t="s">
        <v>1307</v>
      </c>
      <c r="G46" s="5" t="s">
        <v>1308</v>
      </c>
      <c r="H46" s="5"/>
      <c r="I46" s="5" t="s">
        <v>1309</v>
      </c>
      <c r="J46" s="5"/>
      <c r="K46" s="5"/>
      <c r="L46" s="5"/>
      <c r="M46" s="5" t="s">
        <v>301</v>
      </c>
      <c r="N46" s="5"/>
      <c r="O46" s="5" t="s">
        <v>1310</v>
      </c>
      <c r="P46" s="5" t="s">
        <v>121</v>
      </c>
      <c r="Q46" s="5" t="s">
        <v>301</v>
      </c>
      <c r="R46" s="5" t="s">
        <v>277</v>
      </c>
      <c r="S46" s="5" t="s">
        <v>1311</v>
      </c>
      <c r="T46" s="5"/>
      <c r="U46" s="5"/>
      <c r="V46" s="5" t="s">
        <v>1312</v>
      </c>
    </row>
    <row r="47" customFormat="false" ht="27.75" hidden="false" customHeight="true" outlineLevel="0" collapsed="false">
      <c r="A47" s="10" t="s">
        <v>1313</v>
      </c>
      <c r="B47" s="5" t="s">
        <v>1314</v>
      </c>
      <c r="C47" s="5"/>
      <c r="D47" s="5" t="s">
        <v>1282</v>
      </c>
      <c r="E47" s="5"/>
      <c r="F47" s="5" t="s">
        <v>1315</v>
      </c>
      <c r="G47" s="5" t="s">
        <v>1316</v>
      </c>
      <c r="H47" s="5"/>
      <c r="I47" s="5" t="s">
        <v>301</v>
      </c>
      <c r="J47" s="5"/>
      <c r="K47" s="5"/>
      <c r="L47" s="5"/>
      <c r="M47" s="5" t="s">
        <v>301</v>
      </c>
      <c r="N47" s="5"/>
      <c r="O47" s="5"/>
      <c r="P47" s="5" t="s">
        <v>121</v>
      </c>
      <c r="Q47" s="5" t="s">
        <v>301</v>
      </c>
      <c r="R47" s="5" t="s">
        <v>277</v>
      </c>
      <c r="S47" s="5"/>
      <c r="T47" s="5"/>
      <c r="U47" s="5"/>
      <c r="V47" s="5" t="s">
        <v>1317</v>
      </c>
    </row>
    <row r="48" customFormat="false" ht="27.75" hidden="false" customHeight="true" outlineLevel="0" collapsed="false">
      <c r="A48" s="10" t="s">
        <v>1010</v>
      </c>
      <c r="B48" s="5" t="s">
        <v>742</v>
      </c>
      <c r="C48" s="5"/>
      <c r="D48" s="5" t="s">
        <v>1282</v>
      </c>
      <c r="E48" s="5"/>
      <c r="F48" s="5" t="s">
        <v>1318</v>
      </c>
      <c r="G48" s="5" t="s">
        <v>1225</v>
      </c>
      <c r="H48" s="5"/>
      <c r="I48" s="5" t="s">
        <v>1319</v>
      </c>
      <c r="J48" s="5"/>
      <c r="K48" s="5"/>
      <c r="L48" s="5"/>
      <c r="M48" s="5" t="s">
        <v>1320</v>
      </c>
      <c r="N48" s="5"/>
      <c r="O48" s="30" t="n">
        <v>75000</v>
      </c>
      <c r="P48" s="5" t="s">
        <v>121</v>
      </c>
      <c r="Q48" s="5" t="s">
        <v>301</v>
      </c>
      <c r="R48" s="5" t="s">
        <v>277</v>
      </c>
      <c r="S48" s="5" t="s">
        <v>1321</v>
      </c>
      <c r="T48" s="5"/>
      <c r="U48" s="5"/>
      <c r="V48" s="5" t="s">
        <v>1322</v>
      </c>
    </row>
    <row r="49" customFormat="false" ht="52.5" hidden="false" customHeight="true" outlineLevel="0" collapsed="false">
      <c r="A49" s="10" t="s">
        <v>1323</v>
      </c>
      <c r="B49" s="5" t="s">
        <v>1324</v>
      </c>
      <c r="C49" s="5"/>
      <c r="D49" s="5" t="s">
        <v>1325</v>
      </c>
      <c r="E49" s="5"/>
      <c r="F49" s="5" t="s">
        <v>1326</v>
      </c>
      <c r="G49" s="5" t="s">
        <v>1327</v>
      </c>
      <c r="H49" s="5"/>
      <c r="I49" s="5" t="s">
        <v>1328</v>
      </c>
      <c r="J49" s="5"/>
      <c r="K49" s="5"/>
      <c r="L49" s="5"/>
      <c r="M49" s="5" t="s">
        <v>1329</v>
      </c>
      <c r="N49" s="5"/>
      <c r="O49" s="30" t="n">
        <v>4800</v>
      </c>
      <c r="P49" s="30" t="n">
        <v>4800</v>
      </c>
      <c r="Q49" s="5" t="s">
        <v>805</v>
      </c>
      <c r="R49" s="5" t="s">
        <v>1330</v>
      </c>
      <c r="S49" s="5" t="s">
        <v>1331</v>
      </c>
      <c r="T49" s="5"/>
      <c r="U49" s="5"/>
      <c r="V49" s="5" t="s">
        <v>1332</v>
      </c>
    </row>
    <row r="50" customFormat="false" ht="27.75" hidden="false" customHeight="true" outlineLevel="0" collapsed="false">
      <c r="A50" s="10" t="s">
        <v>1333</v>
      </c>
      <c r="B50" s="5" t="s">
        <v>1142</v>
      </c>
      <c r="C50" s="5"/>
      <c r="D50" s="5" t="s">
        <v>1282</v>
      </c>
      <c r="E50" s="5"/>
      <c r="F50" s="5" t="s">
        <v>1334</v>
      </c>
      <c r="G50" s="5" t="s">
        <v>1335</v>
      </c>
      <c r="H50" s="5"/>
      <c r="I50" s="5" t="s">
        <v>1336</v>
      </c>
      <c r="J50" s="5"/>
      <c r="K50" s="5"/>
      <c r="L50" s="5"/>
      <c r="M50" s="5" t="s">
        <v>301</v>
      </c>
      <c r="N50" s="5"/>
      <c r="O50" s="30" t="n">
        <v>2500</v>
      </c>
      <c r="P50" s="30" t="n">
        <v>2500</v>
      </c>
      <c r="Q50" s="5" t="s">
        <v>1337</v>
      </c>
      <c r="R50" s="5" t="s">
        <v>1338</v>
      </c>
      <c r="S50" s="5" t="s">
        <v>1339</v>
      </c>
      <c r="T50" s="5"/>
      <c r="U50" s="5"/>
      <c r="V50" s="5" t="s">
        <v>1340</v>
      </c>
    </row>
    <row r="51" customFormat="false" ht="15" hidden="false" customHeight="true" outlineLevel="0" collapsed="false">
      <c r="A51" s="10" t="s">
        <v>1341</v>
      </c>
      <c r="B51" s="5" t="s">
        <v>669</v>
      </c>
      <c r="C51" s="5"/>
      <c r="D51" s="5" t="s">
        <v>1282</v>
      </c>
      <c r="E51" s="5"/>
      <c r="F51" s="5" t="s">
        <v>121</v>
      </c>
      <c r="G51" s="5" t="s">
        <v>1342</v>
      </c>
      <c r="H51" s="5"/>
      <c r="I51" s="5" t="s">
        <v>301</v>
      </c>
      <c r="J51" s="5"/>
      <c r="K51" s="5"/>
      <c r="L51" s="5"/>
      <c r="M51" s="5" t="s">
        <v>301</v>
      </c>
      <c r="N51" s="5"/>
      <c r="O51" s="5"/>
      <c r="P51" s="5" t="s">
        <v>121</v>
      </c>
      <c r="Q51" s="5" t="s">
        <v>301</v>
      </c>
      <c r="R51" s="5" t="s">
        <v>277</v>
      </c>
      <c r="S51" s="5"/>
      <c r="T51" s="5"/>
      <c r="U51" s="5"/>
      <c r="V51" s="5" t="s">
        <v>1343</v>
      </c>
    </row>
    <row r="53" customFormat="false" ht="18" hidden="false" customHeight="true" outlineLevel="0" collapsed="false">
      <c r="A53" s="6" t="s">
        <v>316</v>
      </c>
      <c r="B53" s="6"/>
      <c r="C53" s="6"/>
      <c r="D53" s="6"/>
      <c r="E53" s="6"/>
      <c r="F53" s="6"/>
      <c r="G53" s="6"/>
      <c r="H53" s="6"/>
      <c r="I53" s="6"/>
      <c r="J53" s="6"/>
      <c r="K53" s="6"/>
      <c r="L53" s="6"/>
      <c r="M53" s="6"/>
      <c r="N53" s="6"/>
      <c r="O53" s="6"/>
      <c r="P53" s="6"/>
      <c r="Q53" s="6"/>
      <c r="R53" s="6"/>
      <c r="S53" s="6"/>
      <c r="T53" s="6"/>
      <c r="U53" s="6"/>
      <c r="V53" s="6"/>
    </row>
    <row r="54" customFormat="false" ht="40.5" hidden="false" customHeight="true" outlineLevel="0" collapsed="false">
      <c r="A54" s="9" t="s">
        <v>317</v>
      </c>
      <c r="B54" s="9" t="s">
        <v>318</v>
      </c>
      <c r="C54" s="9" t="s">
        <v>319</v>
      </c>
      <c r="D54" s="9" t="s">
        <v>320</v>
      </c>
      <c r="E54" s="9"/>
      <c r="F54" s="9" t="s">
        <v>250</v>
      </c>
      <c r="G54" s="9"/>
      <c r="H54" s="9" t="s">
        <v>321</v>
      </c>
      <c r="I54" s="9" t="s">
        <v>322</v>
      </c>
      <c r="J54" s="9" t="s">
        <v>323</v>
      </c>
      <c r="K54" s="9" t="s">
        <v>324</v>
      </c>
      <c r="L54" s="9" t="s">
        <v>259</v>
      </c>
      <c r="M54" s="9"/>
      <c r="N54" s="9" t="s">
        <v>171</v>
      </c>
      <c r="O54" s="9"/>
      <c r="P54" s="9"/>
      <c r="Q54" s="9"/>
      <c r="R54" s="9"/>
      <c r="S54" s="9"/>
      <c r="T54" s="9"/>
      <c r="U54" s="9"/>
      <c r="V54" s="9" t="s">
        <v>325</v>
      </c>
    </row>
    <row r="55" customFormat="false" ht="27.75" hidden="false" customHeight="true" outlineLevel="0" collapsed="false">
      <c r="A55" s="10" t="s">
        <v>1344</v>
      </c>
      <c r="B55" s="5" t="s">
        <v>1345</v>
      </c>
      <c r="C55" s="5" t="s">
        <v>301</v>
      </c>
      <c r="D55" s="5" t="s">
        <v>1346</v>
      </c>
      <c r="E55" s="5"/>
      <c r="F55" s="5" t="s">
        <v>1347</v>
      </c>
      <c r="G55" s="5"/>
      <c r="H55" s="5"/>
      <c r="I55" s="5"/>
      <c r="J55" s="5"/>
      <c r="K55" s="5"/>
      <c r="L55" s="5" t="s">
        <v>329</v>
      </c>
      <c r="M55" s="5"/>
      <c r="N55" s="5" t="s">
        <v>1348</v>
      </c>
      <c r="O55" s="5"/>
      <c r="P55" s="5"/>
      <c r="Q55" s="5"/>
      <c r="R55" s="5"/>
      <c r="S55" s="5"/>
      <c r="T55" s="5"/>
      <c r="U55" s="5"/>
      <c r="V55" s="5" t="s">
        <v>1349</v>
      </c>
    </row>
    <row r="56" customFormat="false" ht="15" hidden="false" customHeight="true" outlineLevel="0" collapsed="false">
      <c r="A56" s="10" t="s">
        <v>1350</v>
      </c>
      <c r="B56" s="5" t="s">
        <v>1351</v>
      </c>
      <c r="C56" s="5" t="s">
        <v>71</v>
      </c>
      <c r="D56" s="5" t="s">
        <v>784</v>
      </c>
      <c r="E56" s="5"/>
      <c r="F56" s="5" t="s">
        <v>1024</v>
      </c>
      <c r="G56" s="5"/>
      <c r="H56" s="5"/>
      <c r="I56" s="5"/>
      <c r="J56" s="30" t="n">
        <v>100000</v>
      </c>
      <c r="K56" s="5"/>
      <c r="L56" s="5" t="s">
        <v>786</v>
      </c>
      <c r="M56" s="5"/>
      <c r="N56" s="5" t="s">
        <v>1352</v>
      </c>
      <c r="O56" s="5"/>
      <c r="P56" s="5"/>
      <c r="Q56" s="5"/>
      <c r="R56" s="5"/>
      <c r="S56" s="5"/>
      <c r="T56" s="5"/>
      <c r="U56" s="5"/>
      <c r="V56" s="5" t="s">
        <v>1353</v>
      </c>
    </row>
    <row r="57" customFormat="false" ht="15" hidden="false" customHeight="true" outlineLevel="0" collapsed="false">
      <c r="A57" s="10" t="s">
        <v>1354</v>
      </c>
      <c r="B57" s="5" t="s">
        <v>1318</v>
      </c>
      <c r="C57" s="5" t="s">
        <v>71</v>
      </c>
      <c r="D57" s="5" t="s">
        <v>328</v>
      </c>
      <c r="E57" s="5"/>
      <c r="F57" s="5" t="s">
        <v>1010</v>
      </c>
      <c r="G57" s="5"/>
      <c r="H57" s="30" t="n">
        <v>75000</v>
      </c>
      <c r="I57" s="30" t="n">
        <v>75000</v>
      </c>
      <c r="J57" s="5"/>
      <c r="K57" s="30" t="n">
        <v>1300</v>
      </c>
      <c r="L57" s="5" t="s">
        <v>329</v>
      </c>
      <c r="M57" s="5"/>
      <c r="N57" s="5" t="s">
        <v>1355</v>
      </c>
      <c r="O57" s="5"/>
      <c r="P57" s="5"/>
      <c r="Q57" s="5"/>
      <c r="R57" s="5"/>
      <c r="S57" s="5"/>
      <c r="T57" s="5"/>
      <c r="U57" s="5"/>
      <c r="V57" s="5" t="s">
        <v>1261</v>
      </c>
    </row>
    <row r="58" customFormat="false" ht="15" hidden="false" customHeight="true" outlineLevel="0" collapsed="false">
      <c r="A58" s="10" t="s">
        <v>1356</v>
      </c>
      <c r="B58" s="5" t="s">
        <v>1357</v>
      </c>
      <c r="C58" s="5" t="s">
        <v>72</v>
      </c>
      <c r="D58" s="5" t="s">
        <v>784</v>
      </c>
      <c r="E58" s="5"/>
      <c r="F58" s="5" t="s">
        <v>1024</v>
      </c>
      <c r="G58" s="5"/>
      <c r="H58" s="5"/>
      <c r="I58" s="5"/>
      <c r="J58" s="30" t="n">
        <v>150000</v>
      </c>
      <c r="K58" s="5"/>
      <c r="L58" s="5" t="s">
        <v>786</v>
      </c>
      <c r="M58" s="5"/>
      <c r="N58" s="5" t="s">
        <v>1358</v>
      </c>
      <c r="O58" s="5"/>
      <c r="P58" s="5"/>
      <c r="Q58" s="5"/>
      <c r="R58" s="5"/>
      <c r="S58" s="5"/>
      <c r="T58" s="5"/>
      <c r="U58" s="5"/>
      <c r="V58" s="5" t="s">
        <v>1262</v>
      </c>
    </row>
    <row r="59" customFormat="false" ht="15" hidden="false" customHeight="true" outlineLevel="0" collapsed="false">
      <c r="A59" s="10" t="s">
        <v>1359</v>
      </c>
      <c r="B59" s="5" t="s">
        <v>1360</v>
      </c>
      <c r="C59" s="5" t="s">
        <v>73</v>
      </c>
      <c r="D59" s="5" t="s">
        <v>1361</v>
      </c>
      <c r="E59" s="5"/>
      <c r="F59" s="5" t="s">
        <v>1362</v>
      </c>
      <c r="G59" s="5"/>
      <c r="H59" s="30" t="n">
        <v>55000</v>
      </c>
      <c r="I59" s="30" t="n">
        <v>55000</v>
      </c>
      <c r="J59" s="5"/>
      <c r="K59" s="5"/>
      <c r="L59" s="5" t="s">
        <v>329</v>
      </c>
      <c r="M59" s="5"/>
      <c r="N59" s="5" t="s">
        <v>1363</v>
      </c>
      <c r="O59" s="5"/>
      <c r="P59" s="5"/>
      <c r="Q59" s="5"/>
      <c r="R59" s="5"/>
      <c r="S59" s="5"/>
      <c r="T59" s="5"/>
      <c r="U59" s="5"/>
      <c r="V59" s="5" t="s">
        <v>1263</v>
      </c>
    </row>
    <row r="60" customFormat="false" ht="15" hidden="false" customHeight="true" outlineLevel="0" collapsed="false">
      <c r="A60" s="10" t="s">
        <v>1364</v>
      </c>
      <c r="B60" s="5" t="s">
        <v>1365</v>
      </c>
      <c r="C60" s="5" t="s">
        <v>82</v>
      </c>
      <c r="D60" s="5" t="s">
        <v>1366</v>
      </c>
      <c r="E60" s="5"/>
      <c r="F60" s="5" t="s">
        <v>301</v>
      </c>
      <c r="G60" s="5"/>
      <c r="H60" s="5"/>
      <c r="I60" s="5"/>
      <c r="J60" s="5"/>
      <c r="K60" s="5"/>
      <c r="L60" s="5" t="s">
        <v>1367</v>
      </c>
      <c r="M60" s="5"/>
      <c r="N60" s="5"/>
      <c r="O60" s="5"/>
      <c r="P60" s="5"/>
      <c r="Q60" s="5"/>
      <c r="R60" s="5"/>
      <c r="S60" s="5"/>
      <c r="T60" s="5"/>
      <c r="U60" s="5"/>
      <c r="V60" s="5" t="s">
        <v>1264</v>
      </c>
    </row>
    <row r="61" customFormat="false" ht="15" hidden="false" customHeight="true" outlineLevel="0" collapsed="false">
      <c r="A61" s="10" t="s">
        <v>1368</v>
      </c>
      <c r="B61" s="5" t="s">
        <v>1326</v>
      </c>
      <c r="C61" s="5" t="s">
        <v>86</v>
      </c>
      <c r="D61" s="5" t="s">
        <v>328</v>
      </c>
      <c r="E61" s="5"/>
      <c r="F61" s="5" t="s">
        <v>1369</v>
      </c>
      <c r="G61" s="5"/>
      <c r="H61" s="30" t="n">
        <v>4800</v>
      </c>
      <c r="I61" s="30" t="n">
        <v>4800</v>
      </c>
      <c r="J61" s="5"/>
      <c r="K61" s="5"/>
      <c r="L61" s="5" t="s">
        <v>329</v>
      </c>
      <c r="M61" s="5"/>
      <c r="N61" s="5" t="s">
        <v>1370</v>
      </c>
      <c r="O61" s="5"/>
      <c r="P61" s="5"/>
      <c r="Q61" s="5"/>
      <c r="R61" s="5"/>
      <c r="S61" s="5"/>
      <c r="T61" s="5"/>
      <c r="U61" s="5"/>
      <c r="V61" s="5" t="s">
        <v>1265</v>
      </c>
    </row>
    <row r="62" customFormat="false" ht="15" hidden="false" customHeight="true" outlineLevel="0" collapsed="false">
      <c r="A62" s="10" t="s">
        <v>1371</v>
      </c>
      <c r="B62" s="5" t="s">
        <v>1334</v>
      </c>
      <c r="C62" s="5" t="s">
        <v>87</v>
      </c>
      <c r="D62" s="5" t="s">
        <v>328</v>
      </c>
      <c r="E62" s="5"/>
      <c r="F62" s="5" t="s">
        <v>1141</v>
      </c>
      <c r="G62" s="5"/>
      <c r="H62" s="30" t="n">
        <v>2500</v>
      </c>
      <c r="I62" s="30" t="n">
        <v>2500</v>
      </c>
      <c r="J62" s="5"/>
      <c r="K62" s="30" t="n">
        <v>1000</v>
      </c>
      <c r="L62" s="5" t="s">
        <v>1045</v>
      </c>
      <c r="M62" s="5"/>
      <c r="N62" s="5" t="s">
        <v>1372</v>
      </c>
      <c r="O62" s="5"/>
      <c r="P62" s="5"/>
      <c r="Q62" s="5"/>
      <c r="R62" s="5"/>
      <c r="S62" s="5"/>
      <c r="T62" s="5"/>
      <c r="U62" s="5"/>
      <c r="V62" s="5" t="s">
        <v>1373</v>
      </c>
    </row>
    <row r="64" customFormat="false" ht="18" hidden="false" customHeight="true" outlineLevel="0" collapsed="false">
      <c r="A64" s="6" t="s">
        <v>433</v>
      </c>
      <c r="B64" s="6"/>
      <c r="C64" s="6"/>
      <c r="D64" s="6"/>
      <c r="E64" s="6"/>
      <c r="F64" s="6"/>
      <c r="G64" s="6"/>
      <c r="H64" s="6"/>
      <c r="I64" s="6"/>
      <c r="J64" s="6"/>
      <c r="K64" s="6"/>
      <c r="L64" s="6"/>
      <c r="M64" s="6"/>
      <c r="N64" s="6"/>
      <c r="O64" s="6"/>
      <c r="P64" s="6"/>
      <c r="Q64" s="6"/>
      <c r="R64" s="6"/>
      <c r="S64" s="6"/>
      <c r="T64" s="6"/>
      <c r="U64" s="6"/>
      <c r="V64" s="6"/>
    </row>
    <row r="65" customFormat="false" ht="15" hidden="false" customHeight="true" outlineLevel="0" collapsed="false">
      <c r="A65" s="9" t="s">
        <v>434</v>
      </c>
      <c r="B65" s="9" t="s">
        <v>435</v>
      </c>
      <c r="C65" s="9"/>
      <c r="D65" s="9" t="s">
        <v>70</v>
      </c>
      <c r="E65" s="9"/>
      <c r="F65" s="9" t="s">
        <v>436</v>
      </c>
      <c r="G65" s="9"/>
      <c r="H65" s="9"/>
      <c r="I65" s="9"/>
      <c r="J65" s="9"/>
      <c r="K65" s="9"/>
      <c r="L65" s="9" t="s">
        <v>437</v>
      </c>
      <c r="M65" s="9"/>
      <c r="N65" s="9"/>
      <c r="O65" s="9" t="s">
        <v>438</v>
      </c>
      <c r="P65" s="9" t="s">
        <v>171</v>
      </c>
      <c r="Q65" s="9"/>
      <c r="R65" s="9"/>
      <c r="S65" s="9"/>
      <c r="T65" s="9"/>
      <c r="U65" s="9"/>
      <c r="V65" s="9" t="s">
        <v>260</v>
      </c>
    </row>
    <row r="66" customFormat="false" ht="15" hidden="false" customHeight="true" outlineLevel="0" collapsed="false">
      <c r="A66" s="10" t="s">
        <v>1374</v>
      </c>
      <c r="B66" s="5" t="s">
        <v>461</v>
      </c>
      <c r="C66" s="5"/>
      <c r="D66" s="5" t="s">
        <v>1225</v>
      </c>
      <c r="E66" s="5"/>
      <c r="F66" s="5" t="s">
        <v>1375</v>
      </c>
      <c r="G66" s="5"/>
      <c r="H66" s="5"/>
      <c r="I66" s="5"/>
      <c r="J66" s="5"/>
      <c r="K66" s="5"/>
      <c r="L66" s="5" t="s">
        <v>1010</v>
      </c>
      <c r="M66" s="5"/>
      <c r="N66" s="5"/>
      <c r="O66" s="5" t="s">
        <v>995</v>
      </c>
      <c r="P66" s="5" t="s">
        <v>1376</v>
      </c>
      <c r="Q66" s="5"/>
      <c r="R66" s="5"/>
      <c r="S66" s="5"/>
      <c r="T66" s="5"/>
      <c r="U66" s="5"/>
      <c r="V66" s="5" t="s">
        <v>1377</v>
      </c>
    </row>
    <row r="67" customFormat="false" ht="15" hidden="false" customHeight="true" outlineLevel="0" collapsed="false">
      <c r="A67" s="10" t="s">
        <v>1378</v>
      </c>
      <c r="B67" s="5" t="s">
        <v>1379</v>
      </c>
      <c r="C67" s="5"/>
      <c r="D67" s="5" t="s">
        <v>1380</v>
      </c>
      <c r="E67" s="5"/>
      <c r="F67" s="5" t="s">
        <v>1294</v>
      </c>
      <c r="G67" s="5"/>
      <c r="H67" s="5"/>
      <c r="I67" s="5"/>
      <c r="J67" s="5"/>
      <c r="K67" s="5"/>
      <c r="L67" s="5" t="s">
        <v>1381</v>
      </c>
      <c r="M67" s="5"/>
      <c r="N67" s="5"/>
      <c r="O67" s="5" t="s">
        <v>1365</v>
      </c>
      <c r="P67" s="5"/>
      <c r="Q67" s="5"/>
      <c r="R67" s="5"/>
      <c r="S67" s="5"/>
      <c r="T67" s="5"/>
      <c r="U67" s="5"/>
      <c r="V67" s="5" t="s">
        <v>1382</v>
      </c>
    </row>
    <row r="68" customFormat="false" ht="15" hidden="false" customHeight="true" outlineLevel="0" collapsed="false">
      <c r="A68" s="10" t="s">
        <v>1383</v>
      </c>
      <c r="B68" s="5" t="s">
        <v>1209</v>
      </c>
      <c r="C68" s="5"/>
      <c r="D68" s="5" t="s">
        <v>1299</v>
      </c>
      <c r="E68" s="5"/>
      <c r="F68" s="5" t="s">
        <v>1384</v>
      </c>
      <c r="G68" s="5"/>
      <c r="H68" s="5"/>
      <c r="I68" s="5"/>
      <c r="J68" s="5"/>
      <c r="K68" s="5"/>
      <c r="L68" s="5" t="s">
        <v>1362</v>
      </c>
      <c r="M68" s="5"/>
      <c r="N68" s="5"/>
      <c r="O68" s="5" t="s">
        <v>1385</v>
      </c>
      <c r="P68" s="5"/>
      <c r="Q68" s="5"/>
      <c r="R68" s="5"/>
      <c r="S68" s="5"/>
      <c r="T68" s="5"/>
      <c r="U68" s="5"/>
      <c r="V68" s="5" t="s">
        <v>1382</v>
      </c>
    </row>
    <row r="69" customFormat="false" ht="15" hidden="false" customHeight="true" outlineLevel="0" collapsed="false">
      <c r="A69" s="10" t="s">
        <v>1386</v>
      </c>
      <c r="B69" s="5" t="s">
        <v>461</v>
      </c>
      <c r="C69" s="5"/>
      <c r="D69" s="5" t="s">
        <v>1299</v>
      </c>
      <c r="E69" s="5"/>
      <c r="F69" s="5" t="s">
        <v>1386</v>
      </c>
      <c r="G69" s="5"/>
      <c r="H69" s="5"/>
      <c r="I69" s="5"/>
      <c r="J69" s="5"/>
      <c r="K69" s="5"/>
      <c r="L69" s="5" t="s">
        <v>1362</v>
      </c>
      <c r="M69" s="5"/>
      <c r="N69" s="5"/>
      <c r="O69" s="5" t="s">
        <v>1298</v>
      </c>
      <c r="P69" s="5" t="s">
        <v>1387</v>
      </c>
      <c r="Q69" s="5"/>
      <c r="R69" s="5"/>
      <c r="S69" s="5"/>
      <c r="T69" s="5"/>
      <c r="U69" s="5"/>
      <c r="V69" s="5" t="s">
        <v>1304</v>
      </c>
    </row>
    <row r="70" customFormat="false" ht="15" hidden="false" customHeight="true" outlineLevel="0" collapsed="false">
      <c r="A70" s="10" t="s">
        <v>1388</v>
      </c>
      <c r="B70" s="5" t="s">
        <v>461</v>
      </c>
      <c r="C70" s="5"/>
      <c r="D70" s="5" t="s">
        <v>1234</v>
      </c>
      <c r="E70" s="5"/>
      <c r="F70" s="5" t="s">
        <v>1389</v>
      </c>
      <c r="G70" s="5"/>
      <c r="H70" s="5"/>
      <c r="I70" s="5"/>
      <c r="J70" s="5"/>
      <c r="K70" s="5"/>
      <c r="L70" s="5" t="s">
        <v>1390</v>
      </c>
      <c r="M70" s="5"/>
      <c r="N70" s="5"/>
      <c r="O70" s="5" t="s">
        <v>301</v>
      </c>
      <c r="P70" s="5"/>
      <c r="Q70" s="5"/>
      <c r="R70" s="5"/>
      <c r="S70" s="5"/>
      <c r="T70" s="5"/>
      <c r="U70" s="5"/>
      <c r="V70" s="5" t="s">
        <v>1382</v>
      </c>
    </row>
    <row r="71" customFormat="false" ht="27.75" hidden="false" customHeight="true" outlineLevel="0" collapsed="false">
      <c r="A71" s="10" t="s">
        <v>1391</v>
      </c>
      <c r="B71" s="5" t="s">
        <v>447</v>
      </c>
      <c r="C71" s="5"/>
      <c r="D71" s="5" t="s">
        <v>1392</v>
      </c>
      <c r="E71" s="5"/>
      <c r="F71" s="5" t="s">
        <v>1393</v>
      </c>
      <c r="G71" s="5"/>
      <c r="H71" s="5"/>
      <c r="I71" s="5"/>
      <c r="J71" s="5"/>
      <c r="K71" s="5"/>
      <c r="L71" s="5" t="s">
        <v>1394</v>
      </c>
      <c r="M71" s="5"/>
      <c r="N71" s="5"/>
      <c r="O71" s="5" t="s">
        <v>301</v>
      </c>
      <c r="P71" s="5" t="s">
        <v>1395</v>
      </c>
      <c r="Q71" s="5"/>
      <c r="R71" s="5"/>
      <c r="S71" s="5"/>
      <c r="T71" s="5"/>
      <c r="U71" s="5"/>
      <c r="V71" s="5" t="s">
        <v>1396</v>
      </c>
    </row>
    <row r="73" customFormat="false" ht="18" hidden="false" customHeight="true" outlineLevel="0" collapsed="false">
      <c r="A73" s="6" t="s">
        <v>468</v>
      </c>
      <c r="B73" s="6"/>
      <c r="C73" s="6"/>
      <c r="D73" s="6"/>
      <c r="E73" s="6"/>
      <c r="F73" s="6"/>
      <c r="G73" s="6"/>
      <c r="H73" s="6"/>
      <c r="I73" s="6"/>
      <c r="J73" s="6"/>
      <c r="K73" s="6"/>
      <c r="L73" s="6"/>
      <c r="M73" s="6"/>
      <c r="N73" s="6"/>
      <c r="O73" s="6"/>
      <c r="P73" s="6"/>
      <c r="Q73" s="6"/>
      <c r="R73" s="6"/>
      <c r="S73" s="6"/>
      <c r="T73" s="6"/>
      <c r="U73" s="6"/>
      <c r="V73" s="6"/>
    </row>
    <row r="74" customFormat="false" ht="40.5" hidden="false" customHeight="true" outlineLevel="0" collapsed="false">
      <c r="A74" s="9" t="s">
        <v>469</v>
      </c>
      <c r="B74" s="9" t="s">
        <v>251</v>
      </c>
      <c r="C74" s="9"/>
      <c r="D74" s="9" t="s">
        <v>470</v>
      </c>
      <c r="E74" s="9" t="s">
        <v>471</v>
      </c>
      <c r="F74" s="9" t="s">
        <v>324</v>
      </c>
      <c r="G74" s="9" t="s">
        <v>472</v>
      </c>
      <c r="H74" s="9" t="s">
        <v>473</v>
      </c>
      <c r="I74" s="9"/>
      <c r="J74" s="9" t="s">
        <v>171</v>
      </c>
      <c r="K74" s="9"/>
      <c r="L74" s="9"/>
      <c r="M74" s="9"/>
      <c r="N74" s="9"/>
      <c r="O74" s="9"/>
      <c r="P74" s="9"/>
      <c r="Q74" s="9"/>
      <c r="R74" s="9"/>
      <c r="S74" s="9"/>
      <c r="T74" s="9"/>
      <c r="U74" s="9"/>
      <c r="V74" s="9" t="s">
        <v>325</v>
      </c>
    </row>
    <row r="75" customFormat="false" ht="15" hidden="false" customHeight="true" outlineLevel="0" collapsed="false">
      <c r="A75" s="10" t="s">
        <v>1397</v>
      </c>
      <c r="B75" s="5" t="s">
        <v>1142</v>
      </c>
      <c r="C75" s="5"/>
      <c r="D75" s="30" t="n">
        <v>2500</v>
      </c>
      <c r="E75" s="5" t="s">
        <v>1398</v>
      </c>
      <c r="F75" s="5"/>
      <c r="G75" s="5" t="s">
        <v>484</v>
      </c>
      <c r="H75" s="5" t="s">
        <v>341</v>
      </c>
      <c r="I75" s="5"/>
      <c r="J75" s="5"/>
      <c r="K75" s="5"/>
      <c r="L75" s="5"/>
      <c r="M75" s="5"/>
      <c r="N75" s="5"/>
      <c r="O75" s="5"/>
      <c r="P75" s="5"/>
      <c r="Q75" s="5"/>
      <c r="R75" s="5"/>
      <c r="S75" s="5"/>
      <c r="T75" s="5"/>
      <c r="U75" s="5"/>
      <c r="V75" s="5" t="s">
        <v>1399</v>
      </c>
    </row>
    <row r="77" customFormat="false" ht="18" hidden="false" customHeight="true" outlineLevel="0" collapsed="false">
      <c r="A77" s="6" t="s">
        <v>502</v>
      </c>
      <c r="B77" s="6"/>
      <c r="C77" s="6"/>
      <c r="D77" s="6"/>
      <c r="E77" s="6"/>
      <c r="F77" s="6"/>
      <c r="G77" s="6"/>
      <c r="H77" s="6"/>
      <c r="I77" s="6"/>
      <c r="J77" s="6"/>
      <c r="K77" s="6"/>
      <c r="L77" s="6"/>
      <c r="M77" s="6"/>
      <c r="N77" s="6"/>
      <c r="O77" s="6"/>
      <c r="P77" s="6"/>
      <c r="Q77" s="6"/>
      <c r="R77" s="6"/>
      <c r="S77" s="6"/>
      <c r="T77" s="6"/>
      <c r="U77" s="6"/>
      <c r="V77" s="6"/>
    </row>
    <row r="78" customFormat="false" ht="15" hidden="false" customHeight="true" outlineLevel="0" collapsed="false">
      <c r="A78" s="10" t="s">
        <v>1400</v>
      </c>
      <c r="B78" s="10"/>
      <c r="C78" s="10"/>
      <c r="D78" s="10"/>
      <c r="E78" s="10"/>
      <c r="F78" s="10"/>
      <c r="G78" s="10"/>
      <c r="H78" s="10"/>
      <c r="I78" s="10"/>
      <c r="J78" s="10"/>
      <c r="K78" s="10"/>
      <c r="L78" s="10"/>
      <c r="M78" s="10"/>
      <c r="N78" s="10"/>
      <c r="O78" s="10"/>
      <c r="P78" s="10"/>
      <c r="Q78" s="10"/>
      <c r="R78" s="10"/>
      <c r="S78" s="10"/>
      <c r="T78" s="10"/>
      <c r="U78" s="10"/>
      <c r="V78" s="10"/>
    </row>
    <row r="79" customFormat="false" ht="15" hidden="false" customHeight="true" outlineLevel="0" collapsed="false">
      <c r="A79" s="10" t="s">
        <v>1401</v>
      </c>
      <c r="B79" s="10"/>
      <c r="C79" s="10"/>
      <c r="D79" s="10"/>
      <c r="E79" s="10"/>
      <c r="F79" s="10"/>
      <c r="G79" s="10"/>
      <c r="H79" s="10"/>
      <c r="I79" s="10"/>
      <c r="J79" s="10"/>
      <c r="K79" s="10"/>
      <c r="L79" s="10"/>
      <c r="M79" s="10"/>
      <c r="N79" s="10"/>
      <c r="O79" s="10"/>
      <c r="P79" s="10"/>
      <c r="Q79" s="10"/>
      <c r="R79" s="10"/>
      <c r="S79" s="10"/>
      <c r="T79" s="10"/>
      <c r="U79" s="10"/>
      <c r="V79" s="10"/>
    </row>
    <row r="80" customFormat="false" ht="15" hidden="false" customHeight="true" outlineLevel="0" collapsed="false">
      <c r="A80" s="10" t="s">
        <v>1402</v>
      </c>
      <c r="B80" s="10"/>
      <c r="C80" s="10"/>
      <c r="D80" s="10"/>
      <c r="E80" s="10"/>
      <c r="F80" s="10"/>
      <c r="G80" s="10"/>
      <c r="H80" s="10"/>
      <c r="I80" s="10"/>
      <c r="J80" s="10"/>
      <c r="K80" s="10"/>
      <c r="L80" s="10"/>
      <c r="M80" s="10"/>
      <c r="N80" s="10"/>
      <c r="O80" s="10"/>
      <c r="P80" s="10"/>
      <c r="Q80" s="10"/>
      <c r="R80" s="10"/>
      <c r="S80" s="10"/>
      <c r="T80" s="10"/>
      <c r="U80" s="10"/>
      <c r="V80" s="10"/>
    </row>
  </sheetData>
  <mergeCells count="206">
    <mergeCell ref="A3:V3"/>
    <mergeCell ref="A4:V4"/>
    <mergeCell ref="A5:B5"/>
    <mergeCell ref="C5:E5"/>
    <mergeCell ref="F5:V5"/>
    <mergeCell ref="A6:B6"/>
    <mergeCell ref="C6:E6"/>
    <mergeCell ref="F6:V6"/>
    <mergeCell ref="A7:B7"/>
    <mergeCell ref="C7:E7"/>
    <mergeCell ref="F7:V7"/>
    <mergeCell ref="A8:B8"/>
    <mergeCell ref="C8:E8"/>
    <mergeCell ref="F8:V8"/>
    <mergeCell ref="A9:B9"/>
    <mergeCell ref="C9:E9"/>
    <mergeCell ref="F9:V9"/>
    <mergeCell ref="A10:B10"/>
    <mergeCell ref="C10:E10"/>
    <mergeCell ref="F10:V10"/>
    <mergeCell ref="A11:B11"/>
    <mergeCell ref="C11:E11"/>
    <mergeCell ref="F11:V11"/>
    <mergeCell ref="A12:B12"/>
    <mergeCell ref="C12:E12"/>
    <mergeCell ref="F12:V12"/>
    <mergeCell ref="A13:B13"/>
    <mergeCell ref="C13:E13"/>
    <mergeCell ref="F13:V13"/>
    <mergeCell ref="A14:B14"/>
    <mergeCell ref="C14:E14"/>
    <mergeCell ref="F14:V14"/>
    <mergeCell ref="A15:B15"/>
    <mergeCell ref="C15:V15"/>
    <mergeCell ref="A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A33:V33"/>
    <mergeCell ref="T34:V34"/>
    <mergeCell ref="T35:V35"/>
    <mergeCell ref="T36:V36"/>
    <mergeCell ref="T37:V37"/>
    <mergeCell ref="T38:V38"/>
    <mergeCell ref="A40:V40"/>
    <mergeCell ref="B41:C41"/>
    <mergeCell ref="D41:E41"/>
    <mergeCell ref="G41:H41"/>
    <mergeCell ref="I41:L41"/>
    <mergeCell ref="M41:N41"/>
    <mergeCell ref="S41:U41"/>
    <mergeCell ref="B42:C42"/>
    <mergeCell ref="D42:E42"/>
    <mergeCell ref="G42:H42"/>
    <mergeCell ref="I42:L42"/>
    <mergeCell ref="M42:N42"/>
    <mergeCell ref="S42:U42"/>
    <mergeCell ref="B43:C43"/>
    <mergeCell ref="D43:E43"/>
    <mergeCell ref="G43:H43"/>
    <mergeCell ref="I43:L43"/>
    <mergeCell ref="M43:N43"/>
    <mergeCell ref="S43:U43"/>
    <mergeCell ref="B44:C44"/>
    <mergeCell ref="D44:E44"/>
    <mergeCell ref="G44:H44"/>
    <mergeCell ref="I44:L44"/>
    <mergeCell ref="M44:N44"/>
    <mergeCell ref="S44:U44"/>
    <mergeCell ref="B45:C45"/>
    <mergeCell ref="D45:E45"/>
    <mergeCell ref="G45:H45"/>
    <mergeCell ref="I45:L45"/>
    <mergeCell ref="M45:N45"/>
    <mergeCell ref="S45:U45"/>
    <mergeCell ref="B46:C46"/>
    <mergeCell ref="D46:E46"/>
    <mergeCell ref="G46:H46"/>
    <mergeCell ref="I46:L46"/>
    <mergeCell ref="M46:N46"/>
    <mergeCell ref="S46:U46"/>
    <mergeCell ref="B47:C47"/>
    <mergeCell ref="D47:E47"/>
    <mergeCell ref="G47:H47"/>
    <mergeCell ref="I47:L47"/>
    <mergeCell ref="M47:N47"/>
    <mergeCell ref="S47:U47"/>
    <mergeCell ref="B48:C48"/>
    <mergeCell ref="D48:E48"/>
    <mergeCell ref="G48:H48"/>
    <mergeCell ref="I48:L48"/>
    <mergeCell ref="M48:N48"/>
    <mergeCell ref="S48:U48"/>
    <mergeCell ref="B49:C49"/>
    <mergeCell ref="D49:E49"/>
    <mergeCell ref="G49:H49"/>
    <mergeCell ref="I49:L49"/>
    <mergeCell ref="M49:N49"/>
    <mergeCell ref="S49:U49"/>
    <mergeCell ref="B50:C50"/>
    <mergeCell ref="D50:E50"/>
    <mergeCell ref="G50:H50"/>
    <mergeCell ref="I50:L50"/>
    <mergeCell ref="M50:N50"/>
    <mergeCell ref="S50:U50"/>
    <mergeCell ref="B51:C51"/>
    <mergeCell ref="D51:E51"/>
    <mergeCell ref="G51:H51"/>
    <mergeCell ref="I51:L51"/>
    <mergeCell ref="M51:N51"/>
    <mergeCell ref="S51:U51"/>
    <mergeCell ref="A53:V53"/>
    <mergeCell ref="D54:E54"/>
    <mergeCell ref="F54:G54"/>
    <mergeCell ref="L54:M54"/>
    <mergeCell ref="N54:U54"/>
    <mergeCell ref="D55:E55"/>
    <mergeCell ref="F55:G55"/>
    <mergeCell ref="L55:M55"/>
    <mergeCell ref="N55:U55"/>
    <mergeCell ref="D56:E56"/>
    <mergeCell ref="F56:G56"/>
    <mergeCell ref="L56:M56"/>
    <mergeCell ref="N56:U56"/>
    <mergeCell ref="D57:E57"/>
    <mergeCell ref="F57:G57"/>
    <mergeCell ref="L57:M57"/>
    <mergeCell ref="N57:U57"/>
    <mergeCell ref="D58:E58"/>
    <mergeCell ref="F58:G58"/>
    <mergeCell ref="L58:M58"/>
    <mergeCell ref="N58:U58"/>
    <mergeCell ref="D59:E59"/>
    <mergeCell ref="F59:G59"/>
    <mergeCell ref="L59:M59"/>
    <mergeCell ref="N59:U59"/>
    <mergeCell ref="D60:E60"/>
    <mergeCell ref="F60:G60"/>
    <mergeCell ref="L60:M60"/>
    <mergeCell ref="N60:U60"/>
    <mergeCell ref="D61:E61"/>
    <mergeCell ref="F61:G61"/>
    <mergeCell ref="L61:M61"/>
    <mergeCell ref="N61:U61"/>
    <mergeCell ref="D62:E62"/>
    <mergeCell ref="F62:G62"/>
    <mergeCell ref="L62:M62"/>
    <mergeCell ref="N62:U62"/>
    <mergeCell ref="A64:V64"/>
    <mergeCell ref="B65:C65"/>
    <mergeCell ref="D65:E65"/>
    <mergeCell ref="F65:K65"/>
    <mergeCell ref="L65:N65"/>
    <mergeCell ref="P65:U65"/>
    <mergeCell ref="B66:C66"/>
    <mergeCell ref="D66:E66"/>
    <mergeCell ref="F66:K66"/>
    <mergeCell ref="L66:N66"/>
    <mergeCell ref="P66:U66"/>
    <mergeCell ref="B67:C67"/>
    <mergeCell ref="D67:E67"/>
    <mergeCell ref="F67:K67"/>
    <mergeCell ref="L67:N67"/>
    <mergeCell ref="P67:U67"/>
    <mergeCell ref="B68:C68"/>
    <mergeCell ref="D68:E68"/>
    <mergeCell ref="F68:K68"/>
    <mergeCell ref="L68:N68"/>
    <mergeCell ref="P68:U68"/>
    <mergeCell ref="B69:C69"/>
    <mergeCell ref="D69:E69"/>
    <mergeCell ref="F69:K69"/>
    <mergeCell ref="L69:N69"/>
    <mergeCell ref="P69:U69"/>
    <mergeCell ref="B70:C70"/>
    <mergeCell ref="D70:E70"/>
    <mergeCell ref="F70:K70"/>
    <mergeCell ref="L70:N70"/>
    <mergeCell ref="P70:U70"/>
    <mergeCell ref="B71:C71"/>
    <mergeCell ref="D71:E71"/>
    <mergeCell ref="F71:K71"/>
    <mergeCell ref="L71:N71"/>
    <mergeCell ref="P71:U71"/>
    <mergeCell ref="A73:V73"/>
    <mergeCell ref="B74:C74"/>
    <mergeCell ref="H74:I74"/>
    <mergeCell ref="J74:U74"/>
    <mergeCell ref="B75:C75"/>
    <mergeCell ref="H75:I75"/>
    <mergeCell ref="J75:U75"/>
    <mergeCell ref="A77:V77"/>
    <mergeCell ref="A78:V78"/>
    <mergeCell ref="A79:V79"/>
    <mergeCell ref="A80:V80"/>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1" min="3" style="0" width="11"/>
    <col collapsed="false" customWidth="true" hidden="false" outlineLevel="0" max="22" min="22" style="0" width="36"/>
  </cols>
  <sheetData>
    <row r="1" customFormat="false" ht="18.55" hidden="false" customHeight="false" outlineLevel="0" collapsed="false">
      <c r="A1" s="1" t="s">
        <v>1403</v>
      </c>
    </row>
    <row r="2" customFormat="false" ht="15" hidden="false" customHeight="false" outlineLevel="0" collapsed="false">
      <c r="A2" s="2" t="s">
        <v>1404</v>
      </c>
    </row>
    <row r="3" customFormat="false" ht="15" hidden="false" customHeight="true" outlineLevel="0" collapsed="false">
      <c r="A3" s="23" t="s">
        <v>1405</v>
      </c>
      <c r="B3" s="23"/>
      <c r="C3" s="23"/>
      <c r="D3" s="23"/>
      <c r="E3" s="23"/>
      <c r="F3" s="23"/>
      <c r="G3" s="23"/>
      <c r="H3" s="23"/>
      <c r="I3" s="23"/>
      <c r="J3" s="23"/>
      <c r="K3" s="23"/>
      <c r="L3" s="23"/>
      <c r="M3" s="23"/>
      <c r="N3" s="23"/>
      <c r="O3" s="23"/>
      <c r="P3" s="23"/>
      <c r="Q3" s="23"/>
      <c r="R3" s="23"/>
      <c r="S3" s="23"/>
      <c r="T3" s="23"/>
      <c r="U3" s="23"/>
      <c r="V3" s="23"/>
    </row>
    <row r="4" customFormat="false" ht="18" hidden="false" customHeight="true" outlineLevel="0" collapsed="false">
      <c r="A4" s="6" t="s">
        <v>151</v>
      </c>
      <c r="B4" s="6"/>
      <c r="C4" s="6"/>
      <c r="D4" s="6"/>
      <c r="E4" s="6"/>
      <c r="F4" s="6"/>
      <c r="G4" s="6"/>
      <c r="H4" s="6"/>
      <c r="I4" s="6"/>
      <c r="J4" s="6"/>
      <c r="K4" s="6"/>
      <c r="L4" s="6"/>
      <c r="M4" s="6"/>
      <c r="N4" s="6"/>
      <c r="O4" s="6"/>
      <c r="P4" s="6"/>
      <c r="Q4" s="6"/>
      <c r="R4" s="6"/>
      <c r="S4" s="6"/>
      <c r="T4" s="6"/>
      <c r="U4" s="6"/>
      <c r="V4" s="6"/>
    </row>
    <row r="5" customFormat="false" ht="15" hidden="false" customHeight="true" outlineLevel="0" collapsed="false">
      <c r="A5" s="4" t="s">
        <v>152</v>
      </c>
      <c r="B5" s="4"/>
      <c r="C5" s="24" t="n">
        <v>7200000</v>
      </c>
      <c r="D5" s="24"/>
      <c r="E5" s="24"/>
      <c r="F5" s="25" t="s">
        <v>1406</v>
      </c>
      <c r="G5" s="25"/>
      <c r="H5" s="25"/>
      <c r="I5" s="25"/>
      <c r="J5" s="25"/>
      <c r="K5" s="25"/>
      <c r="L5" s="25"/>
      <c r="M5" s="25"/>
      <c r="N5" s="25"/>
      <c r="O5" s="25"/>
      <c r="P5" s="25"/>
      <c r="Q5" s="25"/>
      <c r="R5" s="25"/>
      <c r="S5" s="25"/>
      <c r="T5" s="25"/>
      <c r="U5" s="25"/>
      <c r="V5" s="25"/>
    </row>
    <row r="6" customFormat="false" ht="15" hidden="false" customHeight="true" outlineLevel="0" collapsed="false">
      <c r="A6" s="4" t="s">
        <v>110</v>
      </c>
      <c r="B6" s="4"/>
      <c r="C6" s="5" t="s">
        <v>1407</v>
      </c>
      <c r="D6" s="5"/>
      <c r="E6" s="5"/>
      <c r="F6" s="25"/>
      <c r="G6" s="25"/>
      <c r="H6" s="25"/>
      <c r="I6" s="25"/>
      <c r="J6" s="25"/>
      <c r="K6" s="25"/>
      <c r="L6" s="25"/>
      <c r="M6" s="25"/>
      <c r="N6" s="25"/>
      <c r="O6" s="25"/>
      <c r="P6" s="25"/>
      <c r="Q6" s="25"/>
      <c r="R6" s="25"/>
      <c r="S6" s="25"/>
      <c r="T6" s="25"/>
      <c r="U6" s="25"/>
      <c r="V6" s="25"/>
    </row>
    <row r="7" customFormat="false" ht="27.75" hidden="false" customHeight="true" outlineLevel="0" collapsed="false">
      <c r="A7" s="4" t="s">
        <v>155</v>
      </c>
      <c r="B7" s="4"/>
      <c r="C7" s="5" t="s">
        <v>1408</v>
      </c>
      <c r="D7" s="5"/>
      <c r="E7" s="5"/>
      <c r="F7" s="25"/>
      <c r="G7" s="25"/>
      <c r="H7" s="25"/>
      <c r="I7" s="25"/>
      <c r="J7" s="25"/>
      <c r="K7" s="25"/>
      <c r="L7" s="25"/>
      <c r="M7" s="25"/>
      <c r="N7" s="25"/>
      <c r="O7" s="25"/>
      <c r="P7" s="25"/>
      <c r="Q7" s="25"/>
      <c r="R7" s="25"/>
      <c r="S7" s="25"/>
      <c r="T7" s="25"/>
      <c r="U7" s="25"/>
      <c r="V7" s="25"/>
    </row>
    <row r="8" customFormat="false" ht="27.75" hidden="false" customHeight="true" outlineLevel="0" collapsed="false">
      <c r="A8" s="4" t="s">
        <v>111</v>
      </c>
      <c r="B8" s="4"/>
      <c r="C8" s="5" t="s">
        <v>1409</v>
      </c>
      <c r="D8" s="5"/>
      <c r="E8" s="5"/>
      <c r="F8" s="25"/>
      <c r="G8" s="25"/>
      <c r="H8" s="25"/>
      <c r="I8" s="25"/>
      <c r="J8" s="25"/>
      <c r="K8" s="25"/>
      <c r="L8" s="25"/>
      <c r="M8" s="25"/>
      <c r="N8" s="25"/>
      <c r="O8" s="25"/>
      <c r="P8" s="25"/>
      <c r="Q8" s="25"/>
      <c r="R8" s="25"/>
      <c r="S8" s="25"/>
      <c r="T8" s="25"/>
      <c r="U8" s="25"/>
      <c r="V8" s="25"/>
    </row>
    <row r="9" customFormat="false" ht="15" hidden="false" customHeight="true" outlineLevel="0" collapsed="false">
      <c r="A9" s="4" t="s">
        <v>158</v>
      </c>
      <c r="B9" s="4"/>
      <c r="C9" s="26" t="n">
        <f aca="false">IF(ISNUMBER(S22),S22,"n.d.")</f>
        <v>5117667</v>
      </c>
      <c r="D9" s="26"/>
      <c r="E9" s="26"/>
      <c r="F9" s="25" t="s">
        <v>1410</v>
      </c>
      <c r="G9" s="25"/>
      <c r="H9" s="25"/>
      <c r="I9" s="25"/>
      <c r="J9" s="25"/>
      <c r="K9" s="25"/>
      <c r="L9" s="25"/>
      <c r="M9" s="25"/>
      <c r="N9" s="25"/>
      <c r="O9" s="25"/>
      <c r="P9" s="25"/>
      <c r="Q9" s="25"/>
      <c r="R9" s="25"/>
      <c r="S9" s="25"/>
      <c r="T9" s="25"/>
      <c r="U9" s="25"/>
      <c r="V9" s="25"/>
    </row>
    <row r="10" customFormat="false" ht="27.75" hidden="false" customHeight="true" outlineLevel="0" collapsed="false">
      <c r="A10" s="4" t="s">
        <v>160</v>
      </c>
      <c r="B10" s="4"/>
      <c r="C10" s="5" t="s">
        <v>1410</v>
      </c>
      <c r="D10" s="5"/>
      <c r="E10" s="5"/>
      <c r="F10" s="25"/>
      <c r="G10" s="25"/>
      <c r="H10" s="25"/>
      <c r="I10" s="25"/>
      <c r="J10" s="25"/>
      <c r="K10" s="25"/>
      <c r="L10" s="25"/>
      <c r="M10" s="25"/>
      <c r="N10" s="25"/>
      <c r="O10" s="25"/>
      <c r="P10" s="25"/>
      <c r="Q10" s="25"/>
      <c r="R10" s="25"/>
      <c r="S10" s="25"/>
      <c r="T10" s="25"/>
      <c r="U10" s="25"/>
      <c r="V10" s="25"/>
    </row>
    <row r="11" customFormat="false" ht="15" hidden="false" customHeight="true" outlineLevel="0" collapsed="false">
      <c r="A11" s="4" t="s">
        <v>114</v>
      </c>
      <c r="B11" s="4"/>
      <c r="C11" s="27" t="n">
        <f aca="false">IFERROR(C9/S19,"n.d.")</f>
        <v>0.710787083333333</v>
      </c>
      <c r="D11" s="27"/>
      <c r="E11" s="27"/>
      <c r="F11" s="25" t="s">
        <v>161</v>
      </c>
      <c r="G11" s="25"/>
      <c r="H11" s="25"/>
      <c r="I11" s="25"/>
      <c r="J11" s="25"/>
      <c r="K11" s="25"/>
      <c r="L11" s="25"/>
      <c r="M11" s="25"/>
      <c r="N11" s="25"/>
      <c r="O11" s="25"/>
      <c r="P11" s="25"/>
      <c r="Q11" s="25"/>
      <c r="R11" s="25"/>
      <c r="S11" s="25"/>
      <c r="T11" s="25"/>
      <c r="U11" s="25"/>
      <c r="V11" s="25"/>
    </row>
    <row r="12" customFormat="false" ht="15" hidden="false" customHeight="true" outlineLevel="0" collapsed="false">
      <c r="A12" s="4" t="s">
        <v>162</v>
      </c>
      <c r="B12" s="4"/>
      <c r="C12" s="26" t="n">
        <f aca="false">S19</f>
        <v>7200000</v>
      </c>
      <c r="D12" s="26"/>
      <c r="E12" s="26"/>
      <c r="F12" s="25" t="s">
        <v>163</v>
      </c>
      <c r="G12" s="25"/>
      <c r="H12" s="25"/>
      <c r="I12" s="25"/>
      <c r="J12" s="25"/>
      <c r="K12" s="25"/>
      <c r="L12" s="25"/>
      <c r="M12" s="25"/>
      <c r="N12" s="25"/>
      <c r="O12" s="25"/>
      <c r="P12" s="25"/>
      <c r="Q12" s="25"/>
      <c r="R12" s="25"/>
      <c r="S12" s="25"/>
      <c r="T12" s="25"/>
      <c r="U12" s="25"/>
      <c r="V12" s="25"/>
    </row>
    <row r="13" customFormat="false" ht="15" hidden="false" customHeight="true" outlineLevel="0" collapsed="false">
      <c r="A13" s="4" t="s">
        <v>164</v>
      </c>
      <c r="B13" s="4"/>
      <c r="C13" s="26" t="n">
        <f aca="false">1.2*S19</f>
        <v>8640000</v>
      </c>
      <c r="D13" s="26"/>
      <c r="E13" s="26"/>
      <c r="F13" s="25" t="s">
        <v>1411</v>
      </c>
      <c r="G13" s="25"/>
      <c r="H13" s="25"/>
      <c r="I13" s="25"/>
      <c r="J13" s="25"/>
      <c r="K13" s="25"/>
      <c r="L13" s="25"/>
      <c r="M13" s="25"/>
      <c r="N13" s="25"/>
      <c r="O13" s="25"/>
      <c r="P13" s="25"/>
      <c r="Q13" s="25"/>
      <c r="R13" s="25"/>
      <c r="S13" s="25"/>
      <c r="T13" s="25"/>
      <c r="U13" s="25"/>
      <c r="V13" s="25"/>
    </row>
    <row r="14" customFormat="false" ht="15" hidden="false" customHeight="true" outlineLevel="0" collapsed="false">
      <c r="A14" s="4" t="s">
        <v>130</v>
      </c>
      <c r="B14" s="4"/>
      <c r="C14" s="5" t="s">
        <v>1412</v>
      </c>
      <c r="D14" s="5"/>
      <c r="E14" s="5"/>
      <c r="F14" s="25"/>
      <c r="G14" s="25"/>
      <c r="H14" s="25"/>
      <c r="I14" s="25"/>
      <c r="J14" s="25"/>
      <c r="K14" s="25"/>
      <c r="L14" s="25"/>
      <c r="M14" s="25"/>
      <c r="N14" s="25"/>
      <c r="O14" s="25"/>
      <c r="P14" s="25"/>
      <c r="Q14" s="25"/>
      <c r="R14" s="25"/>
      <c r="S14" s="25"/>
      <c r="T14" s="25"/>
      <c r="U14" s="25"/>
      <c r="V14" s="25"/>
    </row>
    <row r="15" customFormat="false" ht="33" hidden="false" customHeight="true" outlineLevel="0" collapsed="false">
      <c r="A15" s="4" t="s">
        <v>120</v>
      </c>
      <c r="B15" s="4"/>
      <c r="C15" s="28" t="s">
        <v>1413</v>
      </c>
      <c r="D15" s="28"/>
      <c r="E15" s="28"/>
      <c r="F15" s="28"/>
      <c r="G15" s="28"/>
      <c r="H15" s="28"/>
      <c r="I15" s="28"/>
      <c r="J15" s="28"/>
      <c r="K15" s="28"/>
      <c r="L15" s="28"/>
      <c r="M15" s="28"/>
      <c r="N15" s="28"/>
      <c r="O15" s="28"/>
      <c r="P15" s="28"/>
      <c r="Q15" s="28"/>
      <c r="R15" s="28"/>
      <c r="S15" s="28"/>
      <c r="T15" s="28"/>
      <c r="U15" s="28"/>
      <c r="V15" s="28"/>
    </row>
    <row r="17" customFormat="false" ht="18" hidden="false" customHeight="true" outlineLevel="0" collapsed="false">
      <c r="A17" s="6" t="s">
        <v>168</v>
      </c>
      <c r="B17" s="6"/>
      <c r="C17" s="6"/>
      <c r="D17" s="6"/>
      <c r="E17" s="6"/>
      <c r="F17" s="6"/>
      <c r="G17" s="6"/>
      <c r="H17" s="6"/>
      <c r="I17" s="6"/>
      <c r="J17" s="6"/>
      <c r="K17" s="6"/>
      <c r="L17" s="6"/>
      <c r="M17" s="6"/>
      <c r="N17" s="6"/>
      <c r="O17" s="6"/>
      <c r="P17" s="6"/>
      <c r="Q17" s="6"/>
      <c r="R17" s="6"/>
      <c r="S17" s="6"/>
      <c r="T17" s="6"/>
      <c r="U17" s="6"/>
      <c r="V17" s="6"/>
    </row>
    <row r="18" customFormat="false" ht="15" hidden="false" customHeight="true" outlineLevel="0" collapsed="false">
      <c r="A18" s="8" t="s">
        <v>169</v>
      </c>
      <c r="B18" s="9" t="s">
        <v>170</v>
      </c>
      <c r="C18" s="9" t="s">
        <v>71</v>
      </c>
      <c r="D18" s="9" t="s">
        <v>72</v>
      </c>
      <c r="E18" s="9" t="s">
        <v>73</v>
      </c>
      <c r="F18" s="9" t="s">
        <v>74</v>
      </c>
      <c r="G18" s="9" t="s">
        <v>75</v>
      </c>
      <c r="H18" s="9" t="s">
        <v>76</v>
      </c>
      <c r="I18" s="9" t="s">
        <v>77</v>
      </c>
      <c r="J18" s="9" t="s">
        <v>78</v>
      </c>
      <c r="K18" s="9" t="s">
        <v>79</v>
      </c>
      <c r="L18" s="9" t="s">
        <v>80</v>
      </c>
      <c r="M18" s="9" t="s">
        <v>81</v>
      </c>
      <c r="N18" s="9" t="s">
        <v>82</v>
      </c>
      <c r="O18" s="9" t="s">
        <v>83</v>
      </c>
      <c r="P18" s="9" t="s">
        <v>84</v>
      </c>
      <c r="Q18" s="9" t="s">
        <v>85</v>
      </c>
      <c r="R18" s="9" t="s">
        <v>86</v>
      </c>
      <c r="S18" s="9" t="s">
        <v>87</v>
      </c>
      <c r="T18" s="8" t="s">
        <v>171</v>
      </c>
      <c r="U18" s="8"/>
      <c r="V18" s="8"/>
    </row>
    <row r="19" customFormat="false" ht="36" hidden="false" customHeight="true" outlineLevel="0" collapsed="false">
      <c r="A19" s="10" t="s">
        <v>172</v>
      </c>
      <c r="B19" s="29" t="s">
        <v>173</v>
      </c>
      <c r="C19" s="5"/>
      <c r="D19" s="30" t="n">
        <v>5040000</v>
      </c>
      <c r="E19" s="30" t="n">
        <v>5040000</v>
      </c>
      <c r="F19" s="5"/>
      <c r="G19" s="5"/>
      <c r="H19" s="30" t="n">
        <v>6060000</v>
      </c>
      <c r="I19" s="5"/>
      <c r="J19" s="5"/>
      <c r="K19" s="5"/>
      <c r="L19" s="5"/>
      <c r="M19" s="5"/>
      <c r="N19" s="30" t="n">
        <v>6330000</v>
      </c>
      <c r="O19" s="5"/>
      <c r="P19" s="5"/>
      <c r="Q19" s="34" t="n">
        <v>7100000</v>
      </c>
      <c r="R19" s="5"/>
      <c r="S19" s="30" t="n">
        <v>7200000</v>
      </c>
      <c r="T19" s="25" t="s">
        <v>1414</v>
      </c>
      <c r="U19" s="25"/>
      <c r="V19" s="25"/>
    </row>
    <row r="20" customFormat="false" ht="24.75" hidden="false" customHeight="true" outlineLevel="0" collapsed="false">
      <c r="A20" s="10" t="s">
        <v>175</v>
      </c>
      <c r="B20" s="29" t="s">
        <v>176</v>
      </c>
      <c r="C20" s="5"/>
      <c r="D20" s="29" t="s">
        <v>177</v>
      </c>
      <c r="E20" s="29" t="s">
        <v>177</v>
      </c>
      <c r="F20" s="5"/>
      <c r="G20" s="5"/>
      <c r="H20" s="29" t="s">
        <v>177</v>
      </c>
      <c r="I20" s="5"/>
      <c r="J20" s="5"/>
      <c r="K20" s="5"/>
      <c r="L20" s="5"/>
      <c r="M20" s="5"/>
      <c r="N20" s="29" t="s">
        <v>177</v>
      </c>
      <c r="O20" s="5"/>
      <c r="P20" s="5"/>
      <c r="Q20" s="29" t="s">
        <v>520</v>
      </c>
      <c r="R20" s="5"/>
      <c r="S20" s="29" t="s">
        <v>520</v>
      </c>
      <c r="T20" s="25" t="s">
        <v>179</v>
      </c>
      <c r="U20" s="25"/>
      <c r="V20" s="25"/>
    </row>
    <row r="21" customFormat="false" ht="15" hidden="false" customHeight="true" outlineLevel="0" collapsed="false">
      <c r="A21" s="10" t="s">
        <v>180</v>
      </c>
      <c r="B21" s="29" t="s">
        <v>181</v>
      </c>
      <c r="C21" s="5"/>
      <c r="D21" s="5"/>
      <c r="E21" s="5"/>
      <c r="F21" s="5"/>
      <c r="G21" s="5"/>
      <c r="H21" s="5"/>
      <c r="I21" s="5"/>
      <c r="J21" s="5"/>
      <c r="K21" s="5"/>
      <c r="L21" s="5"/>
      <c r="M21" s="5"/>
      <c r="N21" s="5"/>
      <c r="O21" s="5"/>
      <c r="P21" s="5"/>
      <c r="Q21" s="5"/>
      <c r="R21" s="5"/>
      <c r="S21" s="5"/>
      <c r="T21" s="25" t="s">
        <v>1415</v>
      </c>
      <c r="U21" s="25"/>
      <c r="V21" s="25"/>
    </row>
    <row r="22" customFormat="false" ht="15" hidden="false" customHeight="true" outlineLevel="0" collapsed="false">
      <c r="A22" s="10" t="s">
        <v>183</v>
      </c>
      <c r="B22" s="29" t="s">
        <v>181</v>
      </c>
      <c r="C22" s="5"/>
      <c r="D22" s="5"/>
      <c r="E22" s="5"/>
      <c r="F22" s="5"/>
      <c r="G22" s="5"/>
      <c r="H22" s="5"/>
      <c r="I22" s="5"/>
      <c r="J22" s="5"/>
      <c r="K22" s="5"/>
      <c r="L22" s="5"/>
      <c r="M22" s="5"/>
      <c r="N22" s="5"/>
      <c r="O22" s="5"/>
      <c r="P22" s="5"/>
      <c r="Q22" s="5"/>
      <c r="R22" s="30" t="n">
        <v>4650966</v>
      </c>
      <c r="S22" s="30" t="n">
        <v>5117667</v>
      </c>
      <c r="T22" s="25" t="s">
        <v>1416</v>
      </c>
      <c r="U22" s="25"/>
      <c r="V22" s="25"/>
    </row>
    <row r="23" customFormat="false" ht="15" hidden="false" customHeight="true" outlineLevel="0" collapsed="false">
      <c r="A23" s="10" t="s">
        <v>185</v>
      </c>
      <c r="B23" s="29" t="s">
        <v>181</v>
      </c>
      <c r="C23" s="5"/>
      <c r="D23" s="5"/>
      <c r="E23" s="5"/>
      <c r="F23" s="5"/>
      <c r="G23" s="5"/>
      <c r="H23" s="5"/>
      <c r="I23" s="5"/>
      <c r="J23" s="5"/>
      <c r="K23" s="5"/>
      <c r="L23" s="5"/>
      <c r="M23" s="5"/>
      <c r="N23" s="5"/>
      <c r="O23" s="5"/>
      <c r="P23" s="5"/>
      <c r="Q23" s="5"/>
      <c r="R23" s="30" t="n">
        <v>2787685</v>
      </c>
      <c r="S23" s="30" t="n">
        <v>2867484</v>
      </c>
      <c r="T23" s="25"/>
      <c r="U23" s="25"/>
      <c r="V23" s="25"/>
    </row>
    <row r="24" customFormat="false" ht="15" hidden="false" customHeight="true" outlineLevel="0" collapsed="false">
      <c r="A24" s="10" t="s">
        <v>187</v>
      </c>
      <c r="B24" s="29" t="s">
        <v>181</v>
      </c>
      <c r="C24" s="5"/>
      <c r="D24" s="5"/>
      <c r="E24" s="5"/>
      <c r="F24" s="5"/>
      <c r="G24" s="5"/>
      <c r="H24" s="5"/>
      <c r="I24" s="5"/>
      <c r="J24" s="5"/>
      <c r="K24" s="5"/>
      <c r="L24" s="5"/>
      <c r="M24" s="5"/>
      <c r="N24" s="5"/>
      <c r="O24" s="5"/>
      <c r="P24" s="5"/>
      <c r="Q24" s="5"/>
      <c r="R24" s="30" t="n">
        <v>1863281</v>
      </c>
      <c r="S24" s="30" t="n">
        <v>2250183</v>
      </c>
      <c r="T24" s="25" t="s">
        <v>1417</v>
      </c>
      <c r="U24" s="25"/>
      <c r="V24" s="25"/>
    </row>
    <row r="25" customFormat="false" ht="24.75" hidden="false" customHeight="true" outlineLevel="0" collapsed="false">
      <c r="A25" s="10" t="s">
        <v>188</v>
      </c>
      <c r="B25" s="29" t="s">
        <v>189</v>
      </c>
      <c r="C25" s="17" t="str">
        <f aca="false">IF(AND(ISNUMBER(C21),ISNUMBER(C19)),C21/C19,"")</f>
        <v/>
      </c>
      <c r="D25" s="17" t="str">
        <f aca="false">IF(AND(ISNUMBER(D21),ISNUMBER(D19)),D21/D19,"")</f>
        <v/>
      </c>
      <c r="E25" s="17" t="str">
        <f aca="false">IF(AND(ISNUMBER(E21),ISNUMBER(E19)),E21/E19,"")</f>
        <v/>
      </c>
      <c r="F25" s="17" t="str">
        <f aca="false">IF(AND(ISNUMBER(F21),ISNUMBER(F19)),F21/F19,"")</f>
        <v/>
      </c>
      <c r="G25" s="17" t="str">
        <f aca="false">IF(AND(ISNUMBER(G21),ISNUMBER(G19)),G21/G19,"")</f>
        <v/>
      </c>
      <c r="H25" s="17" t="str">
        <f aca="false">IF(AND(ISNUMBER(H21),ISNUMBER(H19)),H21/H19,"")</f>
        <v/>
      </c>
      <c r="I25" s="17" t="str">
        <f aca="false">IF(AND(ISNUMBER(I21),ISNUMBER(I19)),I21/I19,"")</f>
        <v/>
      </c>
      <c r="J25" s="17" t="str">
        <f aca="false">IF(AND(ISNUMBER(J21),ISNUMBER(J19)),J21/J19,"")</f>
        <v/>
      </c>
      <c r="K25" s="17" t="str">
        <f aca="false">IF(AND(ISNUMBER(K21),ISNUMBER(K19)),K21/K19,"")</f>
        <v/>
      </c>
      <c r="L25" s="17" t="str">
        <f aca="false">IF(AND(ISNUMBER(L21),ISNUMBER(L19)),L21/L19,"")</f>
        <v/>
      </c>
      <c r="M25" s="17" t="str">
        <f aca="false">IF(AND(ISNUMBER(M21),ISNUMBER(M19)),M21/M19,"")</f>
        <v/>
      </c>
      <c r="N25" s="17" t="str">
        <f aca="false">IF(AND(ISNUMBER(N21),ISNUMBER(N19)),N21/N19,"")</f>
        <v/>
      </c>
      <c r="O25" s="17" t="str">
        <f aca="false">IF(AND(ISNUMBER(O21),ISNUMBER(O19)),O21/O19,"")</f>
        <v/>
      </c>
      <c r="P25" s="17" t="str">
        <f aca="false">IF(AND(ISNUMBER(P21),ISNUMBER(P19)),P21/P19,"")</f>
        <v/>
      </c>
      <c r="Q25" s="17" t="str">
        <f aca="false">IF(AND(ISNUMBER(Q21),ISNUMBER(Q19)),Q21/Q19,"")</f>
        <v/>
      </c>
      <c r="R25" s="17" t="str">
        <f aca="false">IF(AND(ISNUMBER(R21),ISNUMBER(R19)),R21/R19,"")</f>
        <v/>
      </c>
      <c r="S25" s="17" t="str">
        <f aca="false">IF(AND(ISNUMBER(S21),ISNUMBER(S19)),S21/S19,"")</f>
        <v/>
      </c>
      <c r="T25" s="25" t="s">
        <v>190</v>
      </c>
      <c r="U25" s="25"/>
      <c r="V25" s="25"/>
    </row>
    <row r="26" customFormat="false" ht="15" hidden="false" customHeight="true" outlineLevel="0" collapsed="false">
      <c r="A26" s="10" t="s">
        <v>191</v>
      </c>
      <c r="B26" s="29" t="s">
        <v>189</v>
      </c>
      <c r="C26" s="17" t="str">
        <f aca="false">IF(AND(ISNUMBER(C21),ISNUMBER(C19)),C21/C19,"")</f>
        <v/>
      </c>
      <c r="D26" s="17" t="str">
        <f aca="false">IF(AND(ISNUMBER(D21),ISNUMBER(D19)),D21/IF(ISNUMBER(C19),AVERAGE(C19,D19),D19),"")</f>
        <v/>
      </c>
      <c r="E26" s="17" t="str">
        <f aca="false">IF(AND(ISNUMBER(E21),ISNUMBER(E19)),E21/IF(ISNUMBER(D19),AVERAGE(D19,E19),E19),"")</f>
        <v/>
      </c>
      <c r="F26" s="17" t="str">
        <f aca="false">IF(AND(ISNUMBER(F21),ISNUMBER(F19)),F21/IF(ISNUMBER(E19),AVERAGE(E19,F19),F19),"")</f>
        <v/>
      </c>
      <c r="G26" s="17" t="str">
        <f aca="false">IF(AND(ISNUMBER(G21),ISNUMBER(G19)),G21/IF(ISNUMBER(F19),AVERAGE(F19,G19),G19),"")</f>
        <v/>
      </c>
      <c r="H26" s="17" t="str">
        <f aca="false">IF(AND(ISNUMBER(H21),ISNUMBER(H19)),H21/IF(ISNUMBER(G19),AVERAGE(G19,H19),H19),"")</f>
        <v/>
      </c>
      <c r="I26" s="17" t="str">
        <f aca="false">IF(AND(ISNUMBER(I21),ISNUMBER(I19)),I21/IF(ISNUMBER(H19),AVERAGE(H19,I19),I19),"")</f>
        <v/>
      </c>
      <c r="J26" s="17" t="str">
        <f aca="false">IF(AND(ISNUMBER(J21),ISNUMBER(J19)),J21/IF(ISNUMBER(I19),AVERAGE(I19,J19),J19),"")</f>
        <v/>
      </c>
      <c r="K26" s="17" t="str">
        <f aca="false">IF(AND(ISNUMBER(K21),ISNUMBER(K19)),K21/IF(ISNUMBER(J19),AVERAGE(J19,K19),K19),"")</f>
        <v/>
      </c>
      <c r="L26" s="17" t="str">
        <f aca="false">IF(AND(ISNUMBER(L21),ISNUMBER(L19)),L21/IF(ISNUMBER(K19),AVERAGE(K19,L19),L19),"")</f>
        <v/>
      </c>
      <c r="M26" s="17" t="str">
        <f aca="false">IF(AND(ISNUMBER(M21),ISNUMBER(M19)),M21/IF(ISNUMBER(L19),AVERAGE(L19,M19),M19),"")</f>
        <v/>
      </c>
      <c r="N26" s="17" t="str">
        <f aca="false">IF(AND(ISNUMBER(N21),ISNUMBER(N19)),N21/IF(ISNUMBER(M19),AVERAGE(M19,N19),N19),"")</f>
        <v/>
      </c>
      <c r="O26" s="17" t="str">
        <f aca="false">IF(AND(ISNUMBER(O21),ISNUMBER(O19)),O21/IF(ISNUMBER(N19),AVERAGE(N19,O19),O19),"")</f>
        <v/>
      </c>
      <c r="P26" s="17" t="str">
        <f aca="false">IF(AND(ISNUMBER(P21),ISNUMBER(P19)),P21/IF(ISNUMBER(O19),AVERAGE(O19,P19),P19),"")</f>
        <v/>
      </c>
      <c r="Q26" s="17" t="str">
        <f aca="false">IF(AND(ISNUMBER(Q21),ISNUMBER(Q19)),Q21/IF(ISNUMBER(P19),AVERAGE(P19,Q19),Q19),"")</f>
        <v/>
      </c>
      <c r="R26" s="17" t="str">
        <f aca="false">IF(AND(ISNUMBER(R21),ISNUMBER(R19)),R21/IF(ISNUMBER(Q19),AVERAGE(Q19,R19),R19),"")</f>
        <v/>
      </c>
      <c r="S26" s="17" t="str">
        <f aca="false">IF(AND(ISNUMBER(S21),ISNUMBER(S19)),S21/IF(ISNUMBER(R19),AVERAGE(R19,S19),S19),"")</f>
        <v/>
      </c>
      <c r="T26" s="25" t="s">
        <v>192</v>
      </c>
      <c r="U26" s="25"/>
      <c r="V26" s="25"/>
    </row>
    <row r="27" customFormat="false" ht="24.75" hidden="false" customHeight="true" outlineLevel="0" collapsed="false">
      <c r="A27" s="10" t="s">
        <v>193</v>
      </c>
      <c r="B27" s="29" t="s">
        <v>189</v>
      </c>
      <c r="C27" s="17" t="str">
        <f aca="false">IF(ISNUMBER(C19),IF(ISNUMBER(C22),C22/C19,IF(ISNUMBER(C23),C23/C19,"")),"")</f>
        <v/>
      </c>
      <c r="D27" s="17" t="str">
        <f aca="false">IF(ISNUMBER(D19),IF(ISNUMBER(D22),D22/D19,IF(ISNUMBER(D23),D23/D19,"")),"")</f>
        <v/>
      </c>
      <c r="E27" s="17" t="str">
        <f aca="false">IF(ISNUMBER(E19),IF(ISNUMBER(E22),E22/E19,IF(ISNUMBER(E23),E23/E19,"")),"")</f>
        <v/>
      </c>
      <c r="F27" s="17" t="str">
        <f aca="false">IF(ISNUMBER(F19),IF(ISNUMBER(F22),F22/F19,IF(ISNUMBER(F23),F23/F19,"")),"")</f>
        <v/>
      </c>
      <c r="G27" s="17" t="str">
        <f aca="false">IF(ISNUMBER(G19),IF(ISNUMBER(G22),G22/G19,IF(ISNUMBER(G23),G23/G19,"")),"")</f>
        <v/>
      </c>
      <c r="H27" s="17" t="str">
        <f aca="false">IF(ISNUMBER(H19),IF(ISNUMBER(H22),H22/H19,IF(ISNUMBER(H23),H23/H19,"")),"")</f>
        <v/>
      </c>
      <c r="I27" s="17" t="str">
        <f aca="false">IF(ISNUMBER(I19),IF(ISNUMBER(I22),I22/I19,IF(ISNUMBER(I23),I23/I19,"")),"")</f>
        <v/>
      </c>
      <c r="J27" s="17" t="str">
        <f aca="false">IF(ISNUMBER(J19),IF(ISNUMBER(J22),J22/J19,IF(ISNUMBER(J23),J23/J19,"")),"")</f>
        <v/>
      </c>
      <c r="K27" s="17" t="str">
        <f aca="false">IF(ISNUMBER(K19),IF(ISNUMBER(K22),K22/K19,IF(ISNUMBER(K23),K23/K19,"")),"")</f>
        <v/>
      </c>
      <c r="L27" s="17" t="str">
        <f aca="false">IF(ISNUMBER(L19),IF(ISNUMBER(L22),L22/L19,IF(ISNUMBER(L23),L23/L19,"")),"")</f>
        <v/>
      </c>
      <c r="M27" s="17" t="str">
        <f aca="false">IF(ISNUMBER(M19),IF(ISNUMBER(M22),M22/M19,IF(ISNUMBER(M23),M23/M19,"")),"")</f>
        <v/>
      </c>
      <c r="N27" s="17" t="str">
        <f aca="false">IF(ISNUMBER(N19),IF(ISNUMBER(N22),N22/N19,IF(ISNUMBER(N23),N23/N19,"")),"")</f>
        <v/>
      </c>
      <c r="O27" s="17" t="str">
        <f aca="false">IF(ISNUMBER(O19),IF(ISNUMBER(O22),O22/O19,IF(ISNUMBER(O23),O23/O19,"")),"")</f>
        <v/>
      </c>
      <c r="P27" s="17" t="str">
        <f aca="false">IF(ISNUMBER(P19),IF(ISNUMBER(P22),P22/P19,IF(ISNUMBER(P23),P23/P19,"")),"")</f>
        <v/>
      </c>
      <c r="Q27" s="17" t="str">
        <f aca="false">IF(ISNUMBER(Q19),IF(ISNUMBER(Q22),Q22/Q19,IF(ISNUMBER(Q23),Q23/Q19,"")),"")</f>
        <v/>
      </c>
      <c r="R27" s="17" t="str">
        <f aca="false">IF(ISNUMBER(R19),IF(ISNUMBER(R22),R22/R19,IF(ISNUMBER(R23),R23/R19,"")),"")</f>
        <v/>
      </c>
      <c r="S27" s="17" t="n">
        <f aca="false">IF(ISNUMBER(S19),IF(ISNUMBER(S22),S22/S19,IF(ISNUMBER(S23),S23/S19,"")),"")</f>
        <v>0.710787083333333</v>
      </c>
      <c r="T27" s="25" t="s">
        <v>194</v>
      </c>
      <c r="U27" s="25"/>
      <c r="V27" s="25"/>
    </row>
    <row r="28" customFormat="false" ht="15" hidden="false" customHeight="true" outlineLevel="0" collapsed="false">
      <c r="A28" s="10" t="s">
        <v>195</v>
      </c>
      <c r="B28" s="29" t="s">
        <v>173</v>
      </c>
      <c r="C28" s="5"/>
      <c r="D28" s="18" t="str">
        <f aca="false">IF(AND(ISNUMBER(D19),ISNUMBER(C19)),D19-C19,"")</f>
        <v/>
      </c>
      <c r="E28" s="18" t="n">
        <f aca="false">IF(AND(ISNUMBER(E19),ISNUMBER(D19)),E19-D19,"")</f>
        <v>0</v>
      </c>
      <c r="F28" s="18" t="str">
        <f aca="false">IF(AND(ISNUMBER(F19),ISNUMBER(E19)),F19-E19,"")</f>
        <v/>
      </c>
      <c r="G28" s="18" t="str">
        <f aca="false">IF(AND(ISNUMBER(G19),ISNUMBER(F19)),G19-F19,"")</f>
        <v/>
      </c>
      <c r="H28" s="18" t="str">
        <f aca="false">IF(AND(ISNUMBER(H19),ISNUMBER(G19)),H19-G19,"")</f>
        <v/>
      </c>
      <c r="I28" s="18" t="str">
        <f aca="false">IF(AND(ISNUMBER(I19),ISNUMBER(H19)),I19-H19,"")</f>
        <v/>
      </c>
      <c r="J28" s="18" t="str">
        <f aca="false">IF(AND(ISNUMBER(J19),ISNUMBER(I19)),J19-I19,"")</f>
        <v/>
      </c>
      <c r="K28" s="18" t="str">
        <f aca="false">IF(AND(ISNUMBER(K19),ISNUMBER(J19)),K19-J19,"")</f>
        <v/>
      </c>
      <c r="L28" s="18" t="str">
        <f aca="false">IF(AND(ISNUMBER(L19),ISNUMBER(K19)),L19-K19,"")</f>
        <v/>
      </c>
      <c r="M28" s="18" t="str">
        <f aca="false">IF(AND(ISNUMBER(M19),ISNUMBER(L19)),M19-L19,"")</f>
        <v/>
      </c>
      <c r="N28" s="18" t="str">
        <f aca="false">IF(AND(ISNUMBER(N19),ISNUMBER(M19)),N19-M19,"")</f>
        <v/>
      </c>
      <c r="O28" s="18" t="str">
        <f aca="false">IF(AND(ISNUMBER(O19),ISNUMBER(N19)),O19-N19,"")</f>
        <v/>
      </c>
      <c r="P28" s="18" t="str">
        <f aca="false">IF(AND(ISNUMBER(P19),ISNUMBER(O19)),P19-O19,"")</f>
        <v/>
      </c>
      <c r="Q28" s="18" t="str">
        <f aca="false">IF(AND(ISNUMBER(Q19),ISNUMBER(P19)),Q19-P19,"")</f>
        <v/>
      </c>
      <c r="R28" s="18" t="str">
        <f aca="false">IF(AND(ISNUMBER(R19),ISNUMBER(Q19)),R19-Q19,"")</f>
        <v/>
      </c>
      <c r="S28" s="18" t="str">
        <f aca="false">IF(AND(ISNUMBER(S19),ISNUMBER(R19)),S19-R19,"")</f>
        <v/>
      </c>
      <c r="T28" s="25" t="s">
        <v>196</v>
      </c>
      <c r="U28" s="25"/>
      <c r="V28" s="25"/>
    </row>
    <row r="29" customFormat="false" ht="15" hidden="false" customHeight="true" outlineLevel="0" collapsed="false">
      <c r="A29" s="10" t="s">
        <v>197</v>
      </c>
      <c r="B29" s="29" t="s">
        <v>189</v>
      </c>
      <c r="C29" s="31"/>
      <c r="D29" s="31"/>
      <c r="E29" s="31"/>
      <c r="F29" s="31"/>
      <c r="G29" s="31"/>
      <c r="H29" s="31"/>
      <c r="I29" s="31"/>
      <c r="J29" s="31"/>
      <c r="K29" s="31"/>
      <c r="L29" s="31"/>
      <c r="M29" s="31"/>
      <c r="N29" s="31"/>
      <c r="O29" s="31"/>
      <c r="P29" s="31"/>
      <c r="Q29" s="31"/>
      <c r="R29" s="31"/>
      <c r="S29" s="31"/>
      <c r="T29" s="25"/>
      <c r="U29" s="25"/>
      <c r="V29" s="25"/>
    </row>
    <row r="30" customFormat="false" ht="24.75" hidden="false" customHeight="true" outlineLevel="0" collapsed="false">
      <c r="A30" s="10" t="s">
        <v>199</v>
      </c>
      <c r="B30" s="29"/>
      <c r="C30" s="29" t="s">
        <v>1418</v>
      </c>
      <c r="D30" s="29" t="s">
        <v>1419</v>
      </c>
      <c r="E30" s="29" t="s">
        <v>1420</v>
      </c>
      <c r="F30" s="29" t="s">
        <v>1421</v>
      </c>
      <c r="G30" s="29"/>
      <c r="H30" s="29" t="s">
        <v>1422</v>
      </c>
      <c r="I30" s="29" t="s">
        <v>1422</v>
      </c>
      <c r="J30" s="29"/>
      <c r="K30" s="29"/>
      <c r="L30" s="29"/>
      <c r="M30" s="29"/>
      <c r="N30" s="29" t="s">
        <v>1423</v>
      </c>
      <c r="O30" s="29"/>
      <c r="P30" s="29"/>
      <c r="Q30" s="29" t="s">
        <v>1424</v>
      </c>
      <c r="R30" s="29" t="s">
        <v>1425</v>
      </c>
      <c r="S30" s="29" t="s">
        <v>1426</v>
      </c>
      <c r="T30" s="25"/>
      <c r="U30" s="25"/>
      <c r="V30" s="25"/>
    </row>
    <row r="31" customFormat="false" ht="46.5" hidden="false" customHeight="true" outlineLevel="0" collapsed="false">
      <c r="A31" s="10" t="s">
        <v>216</v>
      </c>
      <c r="B31" s="29"/>
      <c r="C31" s="25" t="s">
        <v>1427</v>
      </c>
      <c r="D31" s="25" t="s">
        <v>1428</v>
      </c>
      <c r="E31" s="25" t="s">
        <v>1429</v>
      </c>
      <c r="F31" s="25" t="s">
        <v>1430</v>
      </c>
      <c r="G31" s="25"/>
      <c r="H31" s="25"/>
      <c r="I31" s="25" t="s">
        <v>1431</v>
      </c>
      <c r="J31" s="25"/>
      <c r="K31" s="25"/>
      <c r="L31" s="25"/>
      <c r="M31" s="25"/>
      <c r="N31" s="25"/>
      <c r="O31" s="25"/>
      <c r="P31" s="25"/>
      <c r="Q31" s="25" t="s">
        <v>1432</v>
      </c>
      <c r="R31" s="25" t="s">
        <v>1433</v>
      </c>
      <c r="S31" s="25" t="s">
        <v>1434</v>
      </c>
      <c r="T31" s="25"/>
      <c r="U31" s="25"/>
      <c r="V31" s="25"/>
    </row>
    <row r="33" customFormat="false" ht="18" hidden="false" customHeight="true" outlineLevel="0" collapsed="false">
      <c r="A33" s="6" t="s">
        <v>233</v>
      </c>
      <c r="B33" s="6"/>
      <c r="C33" s="6"/>
      <c r="D33" s="6"/>
      <c r="E33" s="6"/>
      <c r="F33" s="6"/>
      <c r="G33" s="6"/>
      <c r="H33" s="6"/>
      <c r="I33" s="6"/>
      <c r="J33" s="6"/>
      <c r="K33" s="6"/>
      <c r="L33" s="6"/>
      <c r="M33" s="6"/>
      <c r="N33" s="6"/>
      <c r="O33" s="6"/>
      <c r="P33" s="6"/>
      <c r="Q33" s="6"/>
      <c r="R33" s="6"/>
      <c r="S33" s="6"/>
      <c r="T33" s="6"/>
      <c r="U33" s="6"/>
      <c r="V33" s="6"/>
    </row>
    <row r="34" customFormat="false" ht="15" hidden="false" customHeight="true" outlineLevel="0" collapsed="false">
      <c r="A34" s="8" t="s">
        <v>234</v>
      </c>
      <c r="B34" s="9" t="s">
        <v>170</v>
      </c>
      <c r="C34" s="9" t="s">
        <v>71</v>
      </c>
      <c r="D34" s="9" t="s">
        <v>72</v>
      </c>
      <c r="E34" s="9" t="s">
        <v>73</v>
      </c>
      <c r="F34" s="9" t="s">
        <v>74</v>
      </c>
      <c r="G34" s="9" t="s">
        <v>75</v>
      </c>
      <c r="H34" s="9" t="s">
        <v>76</v>
      </c>
      <c r="I34" s="9" t="s">
        <v>77</v>
      </c>
      <c r="J34" s="9" t="s">
        <v>78</v>
      </c>
      <c r="K34" s="9" t="s">
        <v>79</v>
      </c>
      <c r="L34" s="9" t="s">
        <v>80</v>
      </c>
      <c r="M34" s="9" t="s">
        <v>81</v>
      </c>
      <c r="N34" s="9" t="s">
        <v>82</v>
      </c>
      <c r="O34" s="9" t="s">
        <v>83</v>
      </c>
      <c r="P34" s="9" t="s">
        <v>84</v>
      </c>
      <c r="Q34" s="9" t="s">
        <v>85</v>
      </c>
      <c r="R34" s="9" t="s">
        <v>86</v>
      </c>
      <c r="S34" s="9" t="s">
        <v>87</v>
      </c>
      <c r="T34" s="8" t="s">
        <v>235</v>
      </c>
      <c r="U34" s="8"/>
      <c r="V34" s="8"/>
    </row>
    <row r="35" customFormat="false" ht="15" hidden="false" customHeight="true" outlineLevel="0" collapsed="false">
      <c r="A35" s="10" t="s">
        <v>1010</v>
      </c>
      <c r="B35" s="29" t="s">
        <v>173</v>
      </c>
      <c r="C35" s="30" t="n">
        <v>1200000</v>
      </c>
      <c r="D35" s="30" t="n">
        <v>1800000</v>
      </c>
      <c r="E35" s="32"/>
      <c r="F35" s="32"/>
      <c r="G35" s="32"/>
      <c r="H35" s="32"/>
      <c r="I35" s="32"/>
      <c r="J35" s="32"/>
      <c r="K35" s="32"/>
      <c r="L35" s="32"/>
      <c r="M35" s="32"/>
      <c r="N35" s="32"/>
      <c r="O35" s="32"/>
      <c r="P35" s="32"/>
      <c r="Q35" s="32"/>
      <c r="R35" s="32"/>
      <c r="S35" s="32"/>
      <c r="T35" s="25" t="s">
        <v>1435</v>
      </c>
      <c r="U35" s="25"/>
      <c r="V35" s="25"/>
    </row>
    <row r="36" customFormat="false" ht="15" hidden="false" customHeight="true" outlineLevel="0" collapsed="false">
      <c r="A36" s="10" t="s">
        <v>716</v>
      </c>
      <c r="B36" s="29" t="s">
        <v>173</v>
      </c>
      <c r="C36" s="32"/>
      <c r="D36" s="30" t="n">
        <v>1200000</v>
      </c>
      <c r="E36" s="32"/>
      <c r="F36" s="32"/>
      <c r="G36" s="32"/>
      <c r="H36" s="32"/>
      <c r="I36" s="32"/>
      <c r="J36" s="32"/>
      <c r="K36" s="32"/>
      <c r="L36" s="32"/>
      <c r="M36" s="32"/>
      <c r="N36" s="32"/>
      <c r="O36" s="32"/>
      <c r="P36" s="32"/>
      <c r="Q36" s="32"/>
      <c r="R36" s="32"/>
      <c r="S36" s="32"/>
      <c r="T36" s="25" t="s">
        <v>1436</v>
      </c>
      <c r="U36" s="25"/>
      <c r="V36" s="25"/>
    </row>
    <row r="37" customFormat="false" ht="15" hidden="false" customHeight="true" outlineLevel="0" collapsed="false">
      <c r="A37" s="10" t="s">
        <v>1437</v>
      </c>
      <c r="B37" s="29" t="s">
        <v>173</v>
      </c>
      <c r="C37" s="32"/>
      <c r="D37" s="32"/>
      <c r="E37" s="32"/>
      <c r="F37" s="32"/>
      <c r="G37" s="32"/>
      <c r="H37" s="32"/>
      <c r="I37" s="32"/>
      <c r="J37" s="32"/>
      <c r="K37" s="32"/>
      <c r="L37" s="32"/>
      <c r="M37" s="32"/>
      <c r="N37" s="32"/>
      <c r="O37" s="32"/>
      <c r="P37" s="32"/>
      <c r="Q37" s="32"/>
      <c r="R37" s="32"/>
      <c r="S37" s="32"/>
      <c r="T37" s="25" t="s">
        <v>941</v>
      </c>
      <c r="U37" s="25"/>
      <c r="V37" s="25"/>
    </row>
    <row r="38" customFormat="false" ht="15" hidden="false" customHeight="true" outlineLevel="0" collapsed="false">
      <c r="A38" s="10" t="s">
        <v>1438</v>
      </c>
      <c r="B38" s="29" t="s">
        <v>173</v>
      </c>
      <c r="C38" s="32"/>
      <c r="D38" s="32"/>
      <c r="E38" s="30" t="n">
        <v>4500000</v>
      </c>
      <c r="F38" s="32"/>
      <c r="G38" s="32"/>
      <c r="H38" s="32"/>
      <c r="I38" s="32"/>
      <c r="J38" s="32"/>
      <c r="K38" s="32"/>
      <c r="L38" s="32"/>
      <c r="M38" s="32"/>
      <c r="N38" s="32"/>
      <c r="O38" s="32"/>
      <c r="P38" s="32"/>
      <c r="Q38" s="32"/>
      <c r="R38" s="32"/>
      <c r="S38" s="32"/>
      <c r="T38" s="25" t="s">
        <v>1439</v>
      </c>
      <c r="U38" s="25"/>
      <c r="V38" s="25"/>
    </row>
    <row r="39" customFormat="false" ht="15" hidden="false" customHeight="true" outlineLevel="0" collapsed="false">
      <c r="A39" s="10" t="s">
        <v>1440</v>
      </c>
      <c r="B39" s="29" t="s">
        <v>173</v>
      </c>
      <c r="C39" s="32"/>
      <c r="D39" s="32"/>
      <c r="E39" s="30" t="n">
        <v>500000</v>
      </c>
      <c r="F39" s="32"/>
      <c r="G39" s="32"/>
      <c r="H39" s="32"/>
      <c r="I39" s="32"/>
      <c r="J39" s="32"/>
      <c r="K39" s="32"/>
      <c r="L39" s="32"/>
      <c r="M39" s="32"/>
      <c r="N39" s="32"/>
      <c r="O39" s="32"/>
      <c r="P39" s="32"/>
      <c r="Q39" s="32"/>
      <c r="R39" s="32"/>
      <c r="S39" s="32"/>
      <c r="T39" s="25" t="s">
        <v>1439</v>
      </c>
      <c r="U39" s="25"/>
      <c r="V39" s="25"/>
    </row>
    <row r="41" customFormat="false" ht="18" hidden="false" customHeight="true" outlineLevel="0" collapsed="false">
      <c r="A41" s="6" t="s">
        <v>249</v>
      </c>
      <c r="B41" s="6"/>
      <c r="C41" s="6"/>
      <c r="D41" s="6"/>
      <c r="E41" s="6"/>
      <c r="F41" s="6"/>
      <c r="G41" s="6"/>
      <c r="H41" s="6"/>
      <c r="I41" s="6"/>
      <c r="J41" s="6"/>
      <c r="K41" s="6"/>
      <c r="L41" s="6"/>
      <c r="M41" s="6"/>
      <c r="N41" s="6"/>
      <c r="O41" s="6"/>
      <c r="P41" s="6"/>
      <c r="Q41" s="6"/>
      <c r="R41" s="6"/>
      <c r="S41" s="6"/>
      <c r="T41" s="6"/>
      <c r="U41" s="6"/>
      <c r="V41" s="6"/>
    </row>
    <row r="42" customFormat="false" ht="40.5" hidden="false" customHeight="true" outlineLevel="0" collapsed="false">
      <c r="A42" s="9" t="s">
        <v>250</v>
      </c>
      <c r="B42" s="9" t="s">
        <v>251</v>
      </c>
      <c r="C42" s="9"/>
      <c r="D42" s="9" t="s">
        <v>252</v>
      </c>
      <c r="E42" s="9"/>
      <c r="F42" s="9" t="s">
        <v>253</v>
      </c>
      <c r="G42" s="9" t="s">
        <v>254</v>
      </c>
      <c r="H42" s="9"/>
      <c r="I42" s="9" t="s">
        <v>255</v>
      </c>
      <c r="J42" s="9"/>
      <c r="K42" s="9"/>
      <c r="L42" s="9"/>
      <c r="M42" s="9" t="s">
        <v>256</v>
      </c>
      <c r="N42" s="9"/>
      <c r="O42" s="9" t="s">
        <v>257</v>
      </c>
      <c r="P42" s="9" t="s">
        <v>258</v>
      </c>
      <c r="Q42" s="9" t="s">
        <v>110</v>
      </c>
      <c r="R42" s="9" t="s">
        <v>259</v>
      </c>
      <c r="S42" s="9" t="s">
        <v>171</v>
      </c>
      <c r="T42" s="9"/>
      <c r="U42" s="9"/>
      <c r="V42" s="9" t="s">
        <v>260</v>
      </c>
    </row>
    <row r="43" customFormat="false" ht="52.5" hidden="false" customHeight="true" outlineLevel="0" collapsed="false">
      <c r="A43" s="10" t="s">
        <v>1437</v>
      </c>
      <c r="B43" s="5" t="s">
        <v>1441</v>
      </c>
      <c r="C43" s="5"/>
      <c r="D43" s="5" t="s">
        <v>98</v>
      </c>
      <c r="E43" s="5"/>
      <c r="F43" s="5" t="s">
        <v>1442</v>
      </c>
      <c r="G43" s="5" t="s">
        <v>1443</v>
      </c>
      <c r="H43" s="5"/>
      <c r="I43" s="5" t="s">
        <v>1444</v>
      </c>
      <c r="J43" s="5"/>
      <c r="K43" s="5"/>
      <c r="L43" s="5"/>
      <c r="M43" s="5" t="s">
        <v>301</v>
      </c>
      <c r="N43" s="5"/>
      <c r="O43" s="5"/>
      <c r="P43" s="5" t="s">
        <v>121</v>
      </c>
      <c r="Q43" s="5" t="s">
        <v>301</v>
      </c>
      <c r="R43" s="5" t="s">
        <v>1445</v>
      </c>
      <c r="S43" s="5"/>
      <c r="T43" s="5"/>
      <c r="U43" s="5"/>
      <c r="V43" s="5" t="s">
        <v>1446</v>
      </c>
    </row>
    <row r="44" customFormat="false" ht="15" hidden="false" customHeight="true" outlineLevel="0" collapsed="false">
      <c r="A44" s="10" t="s">
        <v>716</v>
      </c>
      <c r="B44" s="5" t="s">
        <v>717</v>
      </c>
      <c r="C44" s="5"/>
      <c r="D44" s="5" t="s">
        <v>98</v>
      </c>
      <c r="E44" s="5"/>
      <c r="F44" s="5" t="s">
        <v>562</v>
      </c>
      <c r="G44" s="5" t="s">
        <v>1447</v>
      </c>
      <c r="H44" s="5"/>
      <c r="I44" s="5" t="s">
        <v>1448</v>
      </c>
      <c r="J44" s="5"/>
      <c r="K44" s="5"/>
      <c r="L44" s="5"/>
      <c r="M44" s="5" t="s">
        <v>1449</v>
      </c>
      <c r="N44" s="5"/>
      <c r="O44" s="5"/>
      <c r="P44" s="30" t="n">
        <v>1200000</v>
      </c>
      <c r="Q44" s="5" t="s">
        <v>995</v>
      </c>
      <c r="R44" s="5" t="s">
        <v>277</v>
      </c>
      <c r="S44" s="5"/>
      <c r="T44" s="5"/>
      <c r="U44" s="5"/>
      <c r="V44" s="5" t="s">
        <v>1450</v>
      </c>
    </row>
    <row r="45" customFormat="false" ht="15" hidden="false" customHeight="true" outlineLevel="0" collapsed="false">
      <c r="A45" s="10" t="s">
        <v>1451</v>
      </c>
      <c r="B45" s="5" t="s">
        <v>717</v>
      </c>
      <c r="C45" s="5"/>
      <c r="D45" s="5" t="s">
        <v>98</v>
      </c>
      <c r="E45" s="5"/>
      <c r="F45" s="5" t="s">
        <v>1072</v>
      </c>
      <c r="G45" s="5" t="s">
        <v>1447</v>
      </c>
      <c r="H45" s="5"/>
      <c r="I45" s="5" t="s">
        <v>1452</v>
      </c>
      <c r="J45" s="5"/>
      <c r="K45" s="5"/>
      <c r="L45" s="5"/>
      <c r="M45" s="5" t="s">
        <v>1453</v>
      </c>
      <c r="N45" s="5"/>
      <c r="O45" s="5"/>
      <c r="P45" s="5" t="s">
        <v>121</v>
      </c>
      <c r="Q45" s="5" t="s">
        <v>301</v>
      </c>
      <c r="R45" s="5" t="s">
        <v>277</v>
      </c>
      <c r="S45" s="5"/>
      <c r="T45" s="5"/>
      <c r="U45" s="5"/>
      <c r="V45" s="5" t="s">
        <v>1454</v>
      </c>
    </row>
    <row r="46" customFormat="false" ht="27.75" hidden="false" customHeight="true" outlineLevel="0" collapsed="false">
      <c r="A46" s="10" t="s">
        <v>1010</v>
      </c>
      <c r="B46" s="5" t="s">
        <v>742</v>
      </c>
      <c r="C46" s="5"/>
      <c r="D46" s="5" t="s">
        <v>98</v>
      </c>
      <c r="E46" s="5"/>
      <c r="F46" s="5" t="s">
        <v>1455</v>
      </c>
      <c r="G46" s="5" t="s">
        <v>1456</v>
      </c>
      <c r="H46" s="5"/>
      <c r="I46" s="5" t="s">
        <v>1457</v>
      </c>
      <c r="J46" s="5"/>
      <c r="K46" s="5"/>
      <c r="L46" s="5"/>
      <c r="M46" s="5" t="s">
        <v>301</v>
      </c>
      <c r="N46" s="5"/>
      <c r="O46" s="30" t="n">
        <v>600000</v>
      </c>
      <c r="P46" s="30" t="n">
        <v>1800000</v>
      </c>
      <c r="Q46" s="5" t="s">
        <v>1458</v>
      </c>
      <c r="R46" s="5" t="s">
        <v>277</v>
      </c>
      <c r="S46" s="5" t="s">
        <v>1459</v>
      </c>
      <c r="T46" s="5"/>
      <c r="U46" s="5"/>
      <c r="V46" s="5" t="s">
        <v>1460</v>
      </c>
    </row>
    <row r="47" customFormat="false" ht="65.25" hidden="false" customHeight="true" outlineLevel="0" collapsed="false">
      <c r="A47" s="10" t="s">
        <v>1461</v>
      </c>
      <c r="B47" s="5" t="s">
        <v>717</v>
      </c>
      <c r="C47" s="5"/>
      <c r="D47" s="5" t="s">
        <v>1462</v>
      </c>
      <c r="E47" s="5"/>
      <c r="F47" s="5" t="s">
        <v>1463</v>
      </c>
      <c r="G47" s="5" t="s">
        <v>1464</v>
      </c>
      <c r="H47" s="5"/>
      <c r="I47" s="5" t="s">
        <v>1465</v>
      </c>
      <c r="J47" s="5"/>
      <c r="K47" s="5"/>
      <c r="L47" s="5"/>
      <c r="M47" s="5" t="s">
        <v>1466</v>
      </c>
      <c r="N47" s="5"/>
      <c r="O47" s="5"/>
      <c r="P47" s="5" t="s">
        <v>1467</v>
      </c>
      <c r="Q47" s="5" t="s">
        <v>1468</v>
      </c>
      <c r="R47" s="5" t="s">
        <v>1469</v>
      </c>
      <c r="S47" s="5" t="s">
        <v>1470</v>
      </c>
      <c r="T47" s="5"/>
      <c r="U47" s="5"/>
      <c r="V47" s="5" t="s">
        <v>1446</v>
      </c>
    </row>
    <row r="48" customFormat="false" ht="27.75" hidden="false" customHeight="true" outlineLevel="0" collapsed="false">
      <c r="A48" s="10" t="s">
        <v>1471</v>
      </c>
      <c r="B48" s="5" t="s">
        <v>1472</v>
      </c>
      <c r="C48" s="5"/>
      <c r="D48" s="5" t="s">
        <v>1473</v>
      </c>
      <c r="E48" s="5"/>
      <c r="F48" s="5" t="s">
        <v>972</v>
      </c>
      <c r="G48" s="5" t="s">
        <v>1474</v>
      </c>
      <c r="H48" s="5"/>
      <c r="I48" s="5" t="s">
        <v>121</v>
      </c>
      <c r="J48" s="5"/>
      <c r="K48" s="5"/>
      <c r="L48" s="5"/>
      <c r="M48" s="5" t="s">
        <v>301</v>
      </c>
      <c r="N48" s="5"/>
      <c r="O48" s="5" t="s">
        <v>1475</v>
      </c>
      <c r="P48" s="5" t="s">
        <v>121</v>
      </c>
      <c r="Q48" s="5" t="s">
        <v>1072</v>
      </c>
      <c r="R48" s="5" t="s">
        <v>277</v>
      </c>
      <c r="S48" s="5" t="s">
        <v>1476</v>
      </c>
      <c r="T48" s="5"/>
      <c r="U48" s="5"/>
      <c r="V48" s="5" t="s">
        <v>1477</v>
      </c>
    </row>
    <row r="50" customFormat="false" ht="18" hidden="false" customHeight="true" outlineLevel="0" collapsed="false">
      <c r="A50" s="6" t="s">
        <v>316</v>
      </c>
      <c r="B50" s="6"/>
      <c r="C50" s="6"/>
      <c r="D50" s="6"/>
      <c r="E50" s="6"/>
      <c r="F50" s="6"/>
      <c r="G50" s="6"/>
      <c r="H50" s="6"/>
      <c r="I50" s="6"/>
      <c r="J50" s="6"/>
      <c r="K50" s="6"/>
      <c r="L50" s="6"/>
      <c r="M50" s="6"/>
      <c r="N50" s="6"/>
      <c r="O50" s="6"/>
      <c r="P50" s="6"/>
      <c r="Q50" s="6"/>
      <c r="R50" s="6"/>
      <c r="S50" s="6"/>
      <c r="T50" s="6"/>
      <c r="U50" s="6"/>
      <c r="V50" s="6"/>
    </row>
    <row r="51" customFormat="false" ht="40.5" hidden="false" customHeight="true" outlineLevel="0" collapsed="false">
      <c r="A51" s="9" t="s">
        <v>317</v>
      </c>
      <c r="B51" s="9" t="s">
        <v>318</v>
      </c>
      <c r="C51" s="9" t="s">
        <v>319</v>
      </c>
      <c r="D51" s="9" t="s">
        <v>320</v>
      </c>
      <c r="E51" s="9"/>
      <c r="F51" s="9" t="s">
        <v>250</v>
      </c>
      <c r="G51" s="9"/>
      <c r="H51" s="9" t="s">
        <v>321</v>
      </c>
      <c r="I51" s="9" t="s">
        <v>322</v>
      </c>
      <c r="J51" s="9" t="s">
        <v>323</v>
      </c>
      <c r="K51" s="9" t="s">
        <v>324</v>
      </c>
      <c r="L51" s="9" t="s">
        <v>259</v>
      </c>
      <c r="M51" s="9"/>
      <c r="N51" s="9" t="s">
        <v>171</v>
      </c>
      <c r="O51" s="9"/>
      <c r="P51" s="9"/>
      <c r="Q51" s="9"/>
      <c r="R51" s="9"/>
      <c r="S51" s="9"/>
      <c r="T51" s="9"/>
      <c r="U51" s="9"/>
      <c r="V51" s="9" t="s">
        <v>325</v>
      </c>
    </row>
    <row r="52" customFormat="false" ht="15" hidden="false" customHeight="true" outlineLevel="0" collapsed="false">
      <c r="A52" s="10" t="s">
        <v>1478</v>
      </c>
      <c r="B52" s="5" t="s">
        <v>1442</v>
      </c>
      <c r="C52" s="5" t="s">
        <v>1479</v>
      </c>
      <c r="D52" s="5" t="s">
        <v>328</v>
      </c>
      <c r="E52" s="5"/>
      <c r="F52" s="5" t="s">
        <v>1437</v>
      </c>
      <c r="G52" s="5"/>
      <c r="H52" s="5"/>
      <c r="I52" s="5"/>
      <c r="J52" s="5"/>
      <c r="K52" s="5"/>
      <c r="L52" s="5" t="s">
        <v>329</v>
      </c>
      <c r="M52" s="5"/>
      <c r="N52" s="5"/>
      <c r="O52" s="5"/>
      <c r="P52" s="5"/>
      <c r="Q52" s="5"/>
      <c r="R52" s="5"/>
      <c r="S52" s="5"/>
      <c r="T52" s="5"/>
      <c r="U52" s="5"/>
      <c r="V52" s="5" t="s">
        <v>1423</v>
      </c>
    </row>
    <row r="53" customFormat="false" ht="15" hidden="false" customHeight="true" outlineLevel="0" collapsed="false">
      <c r="A53" s="10" t="s">
        <v>1480</v>
      </c>
      <c r="B53" s="5" t="s">
        <v>562</v>
      </c>
      <c r="C53" s="5" t="s">
        <v>591</v>
      </c>
      <c r="D53" s="5" t="s">
        <v>328</v>
      </c>
      <c r="E53" s="5"/>
      <c r="F53" s="5" t="s">
        <v>716</v>
      </c>
      <c r="G53" s="5"/>
      <c r="H53" s="5"/>
      <c r="I53" s="5"/>
      <c r="J53" s="5"/>
      <c r="K53" s="5"/>
      <c r="L53" s="5" t="s">
        <v>329</v>
      </c>
      <c r="M53" s="5"/>
      <c r="N53" s="5"/>
      <c r="O53" s="5"/>
      <c r="P53" s="5"/>
      <c r="Q53" s="5"/>
      <c r="R53" s="5"/>
      <c r="S53" s="5"/>
      <c r="T53" s="5"/>
      <c r="U53" s="5"/>
      <c r="V53" s="5" t="s">
        <v>1423</v>
      </c>
    </row>
    <row r="54" customFormat="false" ht="15" hidden="false" customHeight="true" outlineLevel="0" collapsed="false">
      <c r="A54" s="10" t="s">
        <v>1354</v>
      </c>
      <c r="B54" s="5" t="s">
        <v>1455</v>
      </c>
      <c r="C54" s="5" t="s">
        <v>595</v>
      </c>
      <c r="D54" s="5" t="s">
        <v>328</v>
      </c>
      <c r="E54" s="5"/>
      <c r="F54" s="5" t="s">
        <v>1010</v>
      </c>
      <c r="G54" s="5"/>
      <c r="H54" s="30" t="n">
        <v>600000</v>
      </c>
      <c r="I54" s="30" t="n">
        <v>600000</v>
      </c>
      <c r="J54" s="5"/>
      <c r="K54" s="30" t="n">
        <v>230</v>
      </c>
      <c r="L54" s="5" t="s">
        <v>329</v>
      </c>
      <c r="M54" s="5"/>
      <c r="N54" s="5"/>
      <c r="O54" s="5"/>
      <c r="P54" s="5"/>
      <c r="Q54" s="5"/>
      <c r="R54" s="5"/>
      <c r="S54" s="5"/>
      <c r="T54" s="5"/>
      <c r="U54" s="5"/>
      <c r="V54" s="5" t="s">
        <v>1481</v>
      </c>
    </row>
    <row r="55" customFormat="false" ht="15" hidden="false" customHeight="true" outlineLevel="0" collapsed="false">
      <c r="A55" s="10" t="s">
        <v>1482</v>
      </c>
      <c r="B55" s="5" t="s">
        <v>1483</v>
      </c>
      <c r="C55" s="5" t="s">
        <v>595</v>
      </c>
      <c r="D55" s="5" t="s">
        <v>1484</v>
      </c>
      <c r="E55" s="5"/>
      <c r="F55" s="5" t="s">
        <v>1485</v>
      </c>
      <c r="G55" s="5"/>
      <c r="H55" s="5"/>
      <c r="I55" s="5"/>
      <c r="J55" s="5"/>
      <c r="K55" s="5"/>
      <c r="L55" s="5" t="s">
        <v>1486</v>
      </c>
      <c r="M55" s="5"/>
      <c r="N55" s="5" t="s">
        <v>1487</v>
      </c>
      <c r="O55" s="5"/>
      <c r="P55" s="5"/>
      <c r="Q55" s="5"/>
      <c r="R55" s="5"/>
      <c r="S55" s="5"/>
      <c r="T55" s="5"/>
      <c r="U55" s="5"/>
      <c r="V55" s="5" t="s">
        <v>1423</v>
      </c>
    </row>
    <row r="56" customFormat="false" ht="15" hidden="false" customHeight="true" outlineLevel="0" collapsed="false">
      <c r="A56" s="10" t="s">
        <v>1488</v>
      </c>
      <c r="B56" s="5" t="s">
        <v>990</v>
      </c>
      <c r="C56" s="5" t="s">
        <v>71</v>
      </c>
      <c r="D56" s="5" t="s">
        <v>1489</v>
      </c>
      <c r="E56" s="5"/>
      <c r="F56" s="5" t="s">
        <v>1010</v>
      </c>
      <c r="G56" s="5"/>
      <c r="H56" s="30" t="n">
        <v>600000</v>
      </c>
      <c r="I56" s="30" t="n">
        <v>1200000</v>
      </c>
      <c r="J56" s="5"/>
      <c r="K56" s="5"/>
      <c r="L56" s="5" t="s">
        <v>399</v>
      </c>
      <c r="M56" s="5"/>
      <c r="N56" s="5"/>
      <c r="O56" s="5"/>
      <c r="P56" s="5"/>
      <c r="Q56" s="5"/>
      <c r="R56" s="5"/>
      <c r="S56" s="5"/>
      <c r="T56" s="5"/>
      <c r="U56" s="5"/>
      <c r="V56" s="5" t="s">
        <v>1418</v>
      </c>
    </row>
    <row r="57" customFormat="false" ht="15" hidden="false" customHeight="true" outlineLevel="0" collapsed="false">
      <c r="A57" s="10" t="s">
        <v>1490</v>
      </c>
      <c r="B57" s="5" t="s">
        <v>1491</v>
      </c>
      <c r="C57" s="5" t="s">
        <v>72</v>
      </c>
      <c r="D57" s="5" t="s">
        <v>1489</v>
      </c>
      <c r="E57" s="5"/>
      <c r="F57" s="5" t="s">
        <v>1010</v>
      </c>
      <c r="G57" s="5"/>
      <c r="H57" s="30" t="n">
        <v>600000</v>
      </c>
      <c r="I57" s="30" t="n">
        <v>1800000</v>
      </c>
      <c r="J57" s="30" t="n">
        <v>5040000</v>
      </c>
      <c r="K57" s="30" t="n">
        <v>75</v>
      </c>
      <c r="L57" s="5" t="s">
        <v>399</v>
      </c>
      <c r="M57" s="5"/>
      <c r="N57" s="5" t="s">
        <v>1492</v>
      </c>
      <c r="O57" s="5"/>
      <c r="P57" s="5"/>
      <c r="Q57" s="5"/>
      <c r="R57" s="5"/>
      <c r="S57" s="5"/>
      <c r="T57" s="5"/>
      <c r="U57" s="5"/>
      <c r="V57" s="5" t="s">
        <v>1493</v>
      </c>
    </row>
    <row r="58" customFormat="false" ht="27.75" hidden="false" customHeight="true" outlineLevel="0" collapsed="false">
      <c r="A58" s="10" t="s">
        <v>1494</v>
      </c>
      <c r="B58" s="5" t="s">
        <v>1495</v>
      </c>
      <c r="C58" s="5" t="s">
        <v>74</v>
      </c>
      <c r="D58" s="5" t="s">
        <v>790</v>
      </c>
      <c r="E58" s="5"/>
      <c r="F58" s="5" t="s">
        <v>1496</v>
      </c>
      <c r="G58" s="5"/>
      <c r="H58" s="30" t="n">
        <v>1300000</v>
      </c>
      <c r="I58" s="5"/>
      <c r="J58" s="30" t="n">
        <v>6300000</v>
      </c>
      <c r="K58" s="5"/>
      <c r="L58" s="5" t="s">
        <v>341</v>
      </c>
      <c r="M58" s="5"/>
      <c r="N58" s="5" t="s">
        <v>1497</v>
      </c>
      <c r="O58" s="5"/>
      <c r="P58" s="5"/>
      <c r="Q58" s="5"/>
      <c r="R58" s="5"/>
      <c r="S58" s="5"/>
      <c r="T58" s="5"/>
      <c r="U58" s="5"/>
      <c r="V58" s="5" t="s">
        <v>1421</v>
      </c>
    </row>
    <row r="59" customFormat="false" ht="15" hidden="false" customHeight="true" outlineLevel="0" collapsed="false">
      <c r="A59" s="10" t="s">
        <v>1498</v>
      </c>
      <c r="B59" s="5" t="s">
        <v>76</v>
      </c>
      <c r="C59" s="5" t="s">
        <v>76</v>
      </c>
      <c r="D59" s="5" t="s">
        <v>784</v>
      </c>
      <c r="E59" s="5"/>
      <c r="F59" s="5" t="s">
        <v>1024</v>
      </c>
      <c r="G59" s="5"/>
      <c r="H59" s="5"/>
      <c r="I59" s="5"/>
      <c r="J59" s="30" t="n">
        <v>6060000</v>
      </c>
      <c r="K59" s="5"/>
      <c r="L59" s="5" t="s">
        <v>786</v>
      </c>
      <c r="M59" s="5"/>
      <c r="N59" s="5" t="s">
        <v>1499</v>
      </c>
      <c r="O59" s="5"/>
      <c r="P59" s="5"/>
      <c r="Q59" s="5"/>
      <c r="R59" s="5"/>
      <c r="S59" s="5"/>
      <c r="T59" s="5"/>
      <c r="U59" s="5"/>
      <c r="V59" s="5" t="s">
        <v>1422</v>
      </c>
    </row>
    <row r="60" customFormat="false" ht="15" hidden="false" customHeight="true" outlineLevel="0" collapsed="false">
      <c r="A60" s="10" t="s">
        <v>1500</v>
      </c>
      <c r="B60" s="5" t="s">
        <v>1501</v>
      </c>
      <c r="C60" s="5" t="s">
        <v>82</v>
      </c>
      <c r="D60" s="5" t="s">
        <v>784</v>
      </c>
      <c r="E60" s="5"/>
      <c r="F60" s="5" t="s">
        <v>1024</v>
      </c>
      <c r="G60" s="5"/>
      <c r="H60" s="5"/>
      <c r="I60" s="5"/>
      <c r="J60" s="30" t="n">
        <v>6330000</v>
      </c>
      <c r="K60" s="5"/>
      <c r="L60" s="5" t="s">
        <v>786</v>
      </c>
      <c r="M60" s="5"/>
      <c r="N60" s="5"/>
      <c r="O60" s="5"/>
      <c r="P60" s="5"/>
      <c r="Q60" s="5"/>
      <c r="R60" s="5"/>
      <c r="S60" s="5"/>
      <c r="T60" s="5"/>
      <c r="U60" s="5"/>
      <c r="V60" s="5" t="s">
        <v>1423</v>
      </c>
    </row>
    <row r="61" customFormat="false" ht="15" hidden="false" customHeight="true" outlineLevel="0" collapsed="false">
      <c r="A61" s="10" t="s">
        <v>1502</v>
      </c>
      <c r="B61" s="5" t="s">
        <v>1072</v>
      </c>
      <c r="C61" s="5" t="s">
        <v>86</v>
      </c>
      <c r="D61" s="5" t="s">
        <v>328</v>
      </c>
      <c r="E61" s="5"/>
      <c r="F61" s="5" t="s">
        <v>1451</v>
      </c>
      <c r="G61" s="5"/>
      <c r="H61" s="5"/>
      <c r="I61" s="5"/>
      <c r="J61" s="5"/>
      <c r="K61" s="5"/>
      <c r="L61" s="5" t="s">
        <v>329</v>
      </c>
      <c r="M61" s="5"/>
      <c r="N61" s="5"/>
      <c r="O61" s="5"/>
      <c r="P61" s="5"/>
      <c r="Q61" s="5"/>
      <c r="R61" s="5"/>
      <c r="S61" s="5"/>
      <c r="T61" s="5"/>
      <c r="U61" s="5"/>
      <c r="V61" s="5" t="s">
        <v>1503</v>
      </c>
    </row>
    <row r="62" customFormat="false" ht="15" hidden="false" customHeight="true" outlineLevel="0" collapsed="false">
      <c r="A62" s="10" t="s">
        <v>1504</v>
      </c>
      <c r="B62" s="5" t="s">
        <v>972</v>
      </c>
      <c r="C62" s="5" t="s">
        <v>86</v>
      </c>
      <c r="D62" s="5" t="s">
        <v>1505</v>
      </c>
      <c r="E62" s="5"/>
      <c r="F62" s="5" t="s">
        <v>1506</v>
      </c>
      <c r="G62" s="5"/>
      <c r="H62" s="30" t="n">
        <v>240000</v>
      </c>
      <c r="I62" s="30" t="n">
        <v>240000</v>
      </c>
      <c r="J62" s="5"/>
      <c r="K62" s="5"/>
      <c r="L62" s="5" t="s">
        <v>329</v>
      </c>
      <c r="M62" s="5"/>
      <c r="N62" s="5" t="s">
        <v>1507</v>
      </c>
      <c r="O62" s="5"/>
      <c r="P62" s="5"/>
      <c r="Q62" s="5"/>
      <c r="R62" s="5"/>
      <c r="S62" s="5"/>
      <c r="T62" s="5"/>
      <c r="U62" s="5"/>
      <c r="V62" s="5" t="s">
        <v>1424</v>
      </c>
    </row>
    <row r="63" customFormat="false" ht="27.75" hidden="false" customHeight="true" outlineLevel="0" collapsed="false">
      <c r="A63" s="10" t="s">
        <v>1508</v>
      </c>
      <c r="B63" s="5" t="s">
        <v>1509</v>
      </c>
      <c r="C63" s="5" t="s">
        <v>425</v>
      </c>
      <c r="D63" s="5" t="s">
        <v>1049</v>
      </c>
      <c r="E63" s="5"/>
      <c r="F63" s="5" t="s">
        <v>1510</v>
      </c>
      <c r="G63" s="5"/>
      <c r="H63" s="30" t="n">
        <v>1440000</v>
      </c>
      <c r="I63" s="5"/>
      <c r="J63" s="30" t="n">
        <v>8640000</v>
      </c>
      <c r="K63" s="5"/>
      <c r="L63" s="5" t="s">
        <v>341</v>
      </c>
      <c r="M63" s="5"/>
      <c r="N63" s="5" t="s">
        <v>1511</v>
      </c>
      <c r="O63" s="5"/>
      <c r="P63" s="5"/>
      <c r="Q63" s="5"/>
      <c r="R63" s="5"/>
      <c r="S63" s="5"/>
      <c r="T63" s="5"/>
      <c r="U63" s="5"/>
      <c r="V63" s="5" t="s">
        <v>1512</v>
      </c>
    </row>
    <row r="65" customFormat="false" ht="18" hidden="false" customHeight="true" outlineLevel="0" collapsed="false">
      <c r="A65" s="6" t="s">
        <v>433</v>
      </c>
      <c r="B65" s="6"/>
      <c r="C65" s="6"/>
      <c r="D65" s="6"/>
      <c r="E65" s="6"/>
      <c r="F65" s="6"/>
      <c r="G65" s="6"/>
      <c r="H65" s="6"/>
      <c r="I65" s="6"/>
      <c r="J65" s="6"/>
      <c r="K65" s="6"/>
      <c r="L65" s="6"/>
      <c r="M65" s="6"/>
      <c r="N65" s="6"/>
      <c r="O65" s="6"/>
      <c r="P65" s="6"/>
      <c r="Q65" s="6"/>
      <c r="R65" s="6"/>
      <c r="S65" s="6"/>
      <c r="T65" s="6"/>
      <c r="U65" s="6"/>
      <c r="V65" s="6"/>
    </row>
    <row r="66" customFormat="false" ht="15" hidden="false" customHeight="true" outlineLevel="0" collapsed="false">
      <c r="A66" s="9" t="s">
        <v>434</v>
      </c>
      <c r="B66" s="9" t="s">
        <v>435</v>
      </c>
      <c r="C66" s="9"/>
      <c r="D66" s="9" t="s">
        <v>70</v>
      </c>
      <c r="E66" s="9"/>
      <c r="F66" s="9" t="s">
        <v>436</v>
      </c>
      <c r="G66" s="9"/>
      <c r="H66" s="9"/>
      <c r="I66" s="9"/>
      <c r="J66" s="9"/>
      <c r="K66" s="9"/>
      <c r="L66" s="9" t="s">
        <v>437</v>
      </c>
      <c r="M66" s="9"/>
      <c r="N66" s="9"/>
      <c r="O66" s="9" t="s">
        <v>438</v>
      </c>
      <c r="P66" s="9" t="s">
        <v>171</v>
      </c>
      <c r="Q66" s="9"/>
      <c r="R66" s="9"/>
      <c r="S66" s="9"/>
      <c r="T66" s="9"/>
      <c r="U66" s="9"/>
      <c r="V66" s="9" t="s">
        <v>260</v>
      </c>
    </row>
    <row r="67" customFormat="false" ht="27.75" hidden="false" customHeight="true" outlineLevel="0" collapsed="false">
      <c r="A67" s="10" t="s">
        <v>1513</v>
      </c>
      <c r="B67" s="5" t="s">
        <v>461</v>
      </c>
      <c r="C67" s="5"/>
      <c r="D67" s="5" t="s">
        <v>1514</v>
      </c>
      <c r="E67" s="5"/>
      <c r="F67" s="5" t="s">
        <v>1515</v>
      </c>
      <c r="G67" s="5"/>
      <c r="H67" s="5"/>
      <c r="I67" s="5"/>
      <c r="J67" s="5"/>
      <c r="K67" s="5"/>
      <c r="L67" s="5" t="s">
        <v>1516</v>
      </c>
      <c r="M67" s="5"/>
      <c r="N67" s="5"/>
      <c r="O67" s="5" t="s">
        <v>1517</v>
      </c>
      <c r="P67" s="5"/>
      <c r="Q67" s="5"/>
      <c r="R67" s="5"/>
      <c r="S67" s="5"/>
      <c r="T67" s="5"/>
      <c r="U67" s="5"/>
      <c r="V67" s="5" t="s">
        <v>1518</v>
      </c>
    </row>
    <row r="68" customFormat="false" ht="15" hidden="false" customHeight="true" outlineLevel="0" collapsed="false">
      <c r="A68" s="10" t="s">
        <v>1519</v>
      </c>
      <c r="B68" s="5" t="s">
        <v>461</v>
      </c>
      <c r="C68" s="5"/>
      <c r="D68" s="5" t="s">
        <v>1447</v>
      </c>
      <c r="E68" s="5"/>
      <c r="F68" s="5" t="s">
        <v>1520</v>
      </c>
      <c r="G68" s="5"/>
      <c r="H68" s="5"/>
      <c r="I68" s="5"/>
      <c r="J68" s="5"/>
      <c r="K68" s="5"/>
      <c r="L68" s="5" t="s">
        <v>716</v>
      </c>
      <c r="M68" s="5"/>
      <c r="N68" s="5"/>
      <c r="O68" s="5" t="s">
        <v>1222</v>
      </c>
      <c r="P68" s="5"/>
      <c r="Q68" s="5"/>
      <c r="R68" s="5"/>
      <c r="S68" s="5"/>
      <c r="T68" s="5"/>
      <c r="U68" s="5"/>
      <c r="V68" s="5" t="s">
        <v>658</v>
      </c>
    </row>
    <row r="69" customFormat="false" ht="15" hidden="false" customHeight="true" outlineLevel="0" collapsed="false">
      <c r="A69" s="10" t="s">
        <v>1521</v>
      </c>
      <c r="B69" s="5" t="s">
        <v>461</v>
      </c>
      <c r="C69" s="5"/>
      <c r="D69" s="5" t="s">
        <v>1447</v>
      </c>
      <c r="E69" s="5"/>
      <c r="F69" s="5" t="s">
        <v>1522</v>
      </c>
      <c r="G69" s="5"/>
      <c r="H69" s="5"/>
      <c r="I69" s="5"/>
      <c r="J69" s="5"/>
      <c r="K69" s="5"/>
      <c r="L69" s="5" t="s">
        <v>1451</v>
      </c>
      <c r="M69" s="5"/>
      <c r="N69" s="5"/>
      <c r="O69" s="5" t="s">
        <v>1072</v>
      </c>
      <c r="P69" s="5"/>
      <c r="Q69" s="5"/>
      <c r="R69" s="5"/>
      <c r="S69" s="5"/>
      <c r="T69" s="5"/>
      <c r="U69" s="5"/>
      <c r="V69" s="5" t="s">
        <v>1454</v>
      </c>
    </row>
    <row r="70" customFormat="false" ht="15" hidden="false" customHeight="true" outlineLevel="0" collapsed="false">
      <c r="A70" s="10" t="s">
        <v>1523</v>
      </c>
      <c r="B70" s="5" t="s">
        <v>461</v>
      </c>
      <c r="C70" s="5"/>
      <c r="D70" s="5" t="s">
        <v>1524</v>
      </c>
      <c r="E70" s="5"/>
      <c r="F70" s="5" t="s">
        <v>1525</v>
      </c>
      <c r="G70" s="5"/>
      <c r="H70" s="5"/>
      <c r="I70" s="5"/>
      <c r="J70" s="5"/>
      <c r="K70" s="5"/>
      <c r="L70" s="5" t="s">
        <v>1010</v>
      </c>
      <c r="M70" s="5"/>
      <c r="N70" s="5"/>
      <c r="O70" s="5" t="s">
        <v>301</v>
      </c>
      <c r="P70" s="5"/>
      <c r="Q70" s="5"/>
      <c r="R70" s="5"/>
      <c r="S70" s="5"/>
      <c r="T70" s="5"/>
      <c r="U70" s="5"/>
      <c r="V70" s="5" t="s">
        <v>1518</v>
      </c>
    </row>
    <row r="71" customFormat="false" ht="15" hidden="false" customHeight="true" outlineLevel="0" collapsed="false">
      <c r="A71" s="10" t="s">
        <v>1466</v>
      </c>
      <c r="B71" s="5" t="s">
        <v>447</v>
      </c>
      <c r="C71" s="5"/>
      <c r="D71" s="5" t="s">
        <v>1526</v>
      </c>
      <c r="E71" s="5"/>
      <c r="F71" s="5" t="s">
        <v>1527</v>
      </c>
      <c r="G71" s="5"/>
      <c r="H71" s="5"/>
      <c r="I71" s="5"/>
      <c r="J71" s="5"/>
      <c r="K71" s="5"/>
      <c r="L71" s="5" t="s">
        <v>1485</v>
      </c>
      <c r="M71" s="5"/>
      <c r="N71" s="5"/>
      <c r="O71" s="5" t="s">
        <v>1057</v>
      </c>
      <c r="P71" s="5" t="s">
        <v>1528</v>
      </c>
      <c r="Q71" s="5"/>
      <c r="R71" s="5"/>
      <c r="S71" s="5"/>
      <c r="T71" s="5"/>
      <c r="U71" s="5"/>
      <c r="V71" s="5" t="s">
        <v>1529</v>
      </c>
    </row>
    <row r="72" customFormat="false" ht="15" hidden="false" customHeight="true" outlineLevel="0" collapsed="false">
      <c r="A72" s="10" t="s">
        <v>1530</v>
      </c>
      <c r="B72" s="5" t="s">
        <v>1209</v>
      </c>
      <c r="C72" s="5"/>
      <c r="D72" s="5" t="s">
        <v>1531</v>
      </c>
      <c r="E72" s="5"/>
      <c r="F72" s="5" t="s">
        <v>1532</v>
      </c>
      <c r="G72" s="5"/>
      <c r="H72" s="5"/>
      <c r="I72" s="5"/>
      <c r="J72" s="5"/>
      <c r="K72" s="5"/>
      <c r="L72" s="5" t="s">
        <v>1437</v>
      </c>
      <c r="M72" s="5"/>
      <c r="N72" s="5"/>
      <c r="O72" s="5" t="s">
        <v>301</v>
      </c>
      <c r="P72" s="5"/>
      <c r="Q72" s="5"/>
      <c r="R72" s="5"/>
      <c r="S72" s="5"/>
      <c r="T72" s="5"/>
      <c r="U72" s="5"/>
      <c r="V72" s="5" t="s">
        <v>1533</v>
      </c>
    </row>
    <row r="74" customFormat="false" ht="18" hidden="false" customHeight="true" outlineLevel="0" collapsed="false">
      <c r="A74" s="6" t="s">
        <v>468</v>
      </c>
      <c r="B74" s="6"/>
      <c r="C74" s="6"/>
      <c r="D74" s="6"/>
      <c r="E74" s="6"/>
      <c r="F74" s="6"/>
      <c r="G74" s="6"/>
      <c r="H74" s="6"/>
      <c r="I74" s="6"/>
      <c r="J74" s="6"/>
      <c r="K74" s="6"/>
      <c r="L74" s="6"/>
      <c r="M74" s="6"/>
      <c r="N74" s="6"/>
      <c r="O74" s="6"/>
      <c r="P74" s="6"/>
      <c r="Q74" s="6"/>
      <c r="R74" s="6"/>
      <c r="S74" s="6"/>
      <c r="T74" s="6"/>
      <c r="U74" s="6"/>
      <c r="V74" s="6"/>
    </row>
    <row r="75" customFormat="false" ht="40.5" hidden="false" customHeight="true" outlineLevel="0" collapsed="false">
      <c r="A75" s="9" t="s">
        <v>469</v>
      </c>
      <c r="B75" s="9" t="s">
        <v>251</v>
      </c>
      <c r="C75" s="9"/>
      <c r="D75" s="9" t="s">
        <v>470</v>
      </c>
      <c r="E75" s="9" t="s">
        <v>471</v>
      </c>
      <c r="F75" s="9" t="s">
        <v>324</v>
      </c>
      <c r="G75" s="9" t="s">
        <v>472</v>
      </c>
      <c r="H75" s="9" t="s">
        <v>473</v>
      </c>
      <c r="I75" s="9"/>
      <c r="J75" s="9" t="s">
        <v>171</v>
      </c>
      <c r="K75" s="9"/>
      <c r="L75" s="9"/>
      <c r="M75" s="9"/>
      <c r="N75" s="9"/>
      <c r="O75" s="9"/>
      <c r="P75" s="9"/>
      <c r="Q75" s="9"/>
      <c r="R75" s="9"/>
      <c r="S75" s="9"/>
      <c r="T75" s="9"/>
      <c r="U75" s="9"/>
      <c r="V75" s="9" t="s">
        <v>325</v>
      </c>
    </row>
    <row r="76" customFormat="false" ht="40.5" hidden="false" customHeight="true" outlineLevel="0" collapsed="false">
      <c r="A76" s="10" t="s">
        <v>1534</v>
      </c>
      <c r="B76" s="5" t="s">
        <v>1535</v>
      </c>
      <c r="C76" s="5"/>
      <c r="D76" s="18" t="n">
        <f aca="false">0.1*S19</f>
        <v>720000</v>
      </c>
      <c r="E76" s="5" t="s">
        <v>1536</v>
      </c>
      <c r="F76" s="5"/>
      <c r="G76" s="5" t="s">
        <v>477</v>
      </c>
      <c r="H76" s="5" t="s">
        <v>1537</v>
      </c>
      <c r="I76" s="5"/>
      <c r="J76" s="5" t="s">
        <v>1538</v>
      </c>
      <c r="K76" s="5"/>
      <c r="L76" s="5"/>
      <c r="M76" s="5"/>
      <c r="N76" s="5"/>
      <c r="O76" s="5"/>
      <c r="P76" s="5"/>
      <c r="Q76" s="5"/>
      <c r="R76" s="5"/>
      <c r="S76" s="5"/>
      <c r="T76" s="5"/>
      <c r="U76" s="5"/>
      <c r="V76" s="5" t="s">
        <v>1512</v>
      </c>
    </row>
    <row r="77" customFormat="false" ht="27.75" hidden="false" customHeight="true" outlineLevel="0" collapsed="false">
      <c r="A77" s="10" t="s">
        <v>1539</v>
      </c>
      <c r="B77" s="5" t="s">
        <v>1535</v>
      </c>
      <c r="C77" s="5"/>
      <c r="D77" s="18" t="n">
        <f aca="false">0.1*S19</f>
        <v>720000</v>
      </c>
      <c r="E77" s="5" t="s">
        <v>1540</v>
      </c>
      <c r="F77" s="5"/>
      <c r="G77" s="5" t="s">
        <v>484</v>
      </c>
      <c r="H77" s="5" t="s">
        <v>341</v>
      </c>
      <c r="I77" s="5"/>
      <c r="J77" s="5"/>
      <c r="K77" s="5"/>
      <c r="L77" s="5"/>
      <c r="M77" s="5"/>
      <c r="N77" s="5"/>
      <c r="O77" s="5"/>
      <c r="P77" s="5"/>
      <c r="Q77" s="5"/>
      <c r="R77" s="5"/>
      <c r="S77" s="5"/>
      <c r="T77" s="5"/>
      <c r="U77" s="5"/>
      <c r="V77" s="5" t="s">
        <v>1512</v>
      </c>
    </row>
    <row r="78" customFormat="false" ht="40.5" hidden="false" customHeight="true" outlineLevel="0" collapsed="false">
      <c r="A78" s="10" t="s">
        <v>1541</v>
      </c>
      <c r="B78" s="5" t="s">
        <v>1485</v>
      </c>
      <c r="C78" s="5"/>
      <c r="D78" s="30" t="n">
        <f aca="false">10000*12</f>
        <v>120000</v>
      </c>
      <c r="E78" s="5" t="s">
        <v>1542</v>
      </c>
      <c r="F78" s="5"/>
      <c r="G78" s="5" t="s">
        <v>498</v>
      </c>
      <c r="H78" s="5" t="s">
        <v>1543</v>
      </c>
      <c r="I78" s="5"/>
      <c r="J78" s="5" t="s">
        <v>1544</v>
      </c>
      <c r="K78" s="5"/>
      <c r="L78" s="5"/>
      <c r="M78" s="5"/>
      <c r="N78" s="5"/>
      <c r="O78" s="5"/>
      <c r="P78" s="5"/>
      <c r="Q78" s="5"/>
      <c r="R78" s="5"/>
      <c r="S78" s="5"/>
      <c r="T78" s="5"/>
      <c r="U78" s="5"/>
      <c r="V78" s="5" t="s">
        <v>1512</v>
      </c>
    </row>
    <row r="80" customFormat="false" ht="18" hidden="false" customHeight="true" outlineLevel="0" collapsed="false">
      <c r="A80" s="6" t="s">
        <v>502</v>
      </c>
      <c r="B80" s="6"/>
      <c r="C80" s="6"/>
      <c r="D80" s="6"/>
      <c r="E80" s="6"/>
      <c r="F80" s="6"/>
      <c r="G80" s="6"/>
      <c r="H80" s="6"/>
      <c r="I80" s="6"/>
      <c r="J80" s="6"/>
      <c r="K80" s="6"/>
      <c r="L80" s="6"/>
      <c r="M80" s="6"/>
      <c r="N80" s="6"/>
      <c r="O80" s="6"/>
      <c r="P80" s="6"/>
      <c r="Q80" s="6"/>
      <c r="R80" s="6"/>
      <c r="S80" s="6"/>
      <c r="T80" s="6"/>
      <c r="U80" s="6"/>
      <c r="V80" s="6"/>
    </row>
    <row r="81" customFormat="false" ht="15" hidden="false" customHeight="true" outlineLevel="0" collapsed="false">
      <c r="A81" s="10" t="s">
        <v>1545</v>
      </c>
      <c r="B81" s="10"/>
      <c r="C81" s="10"/>
      <c r="D81" s="10"/>
      <c r="E81" s="10"/>
      <c r="F81" s="10"/>
      <c r="G81" s="10"/>
      <c r="H81" s="10"/>
      <c r="I81" s="10"/>
      <c r="J81" s="10"/>
      <c r="K81" s="10"/>
      <c r="L81" s="10"/>
      <c r="M81" s="10"/>
      <c r="N81" s="10"/>
      <c r="O81" s="10"/>
      <c r="P81" s="10"/>
      <c r="Q81" s="10"/>
      <c r="R81" s="10"/>
      <c r="S81" s="10"/>
      <c r="T81" s="10"/>
      <c r="U81" s="10"/>
      <c r="V81" s="10"/>
    </row>
    <row r="82" customFormat="false" ht="15" hidden="false" customHeight="true" outlineLevel="0" collapsed="false">
      <c r="A82" s="10" t="s">
        <v>1546</v>
      </c>
      <c r="B82" s="10"/>
      <c r="C82" s="10"/>
      <c r="D82" s="10"/>
      <c r="E82" s="10"/>
      <c r="F82" s="10"/>
      <c r="G82" s="10"/>
      <c r="H82" s="10"/>
      <c r="I82" s="10"/>
      <c r="J82" s="10"/>
      <c r="K82" s="10"/>
      <c r="L82" s="10"/>
      <c r="M82" s="10"/>
      <c r="N82" s="10"/>
      <c r="O82" s="10"/>
      <c r="P82" s="10"/>
      <c r="Q82" s="10"/>
      <c r="R82" s="10"/>
      <c r="S82" s="10"/>
      <c r="T82" s="10"/>
      <c r="U82" s="10"/>
      <c r="V82" s="10"/>
    </row>
    <row r="83" customFormat="false" ht="15" hidden="false" customHeight="true" outlineLevel="0" collapsed="false">
      <c r="A83" s="10" t="s">
        <v>1547</v>
      </c>
      <c r="B83" s="10"/>
      <c r="C83" s="10"/>
      <c r="D83" s="10"/>
      <c r="E83" s="10"/>
      <c r="F83" s="10"/>
      <c r="G83" s="10"/>
      <c r="H83" s="10"/>
      <c r="I83" s="10"/>
      <c r="J83" s="10"/>
      <c r="K83" s="10"/>
      <c r="L83" s="10"/>
      <c r="M83" s="10"/>
      <c r="N83" s="10"/>
      <c r="O83" s="10"/>
      <c r="P83" s="10"/>
      <c r="Q83" s="10"/>
      <c r="R83" s="10"/>
      <c r="S83" s="10"/>
      <c r="T83" s="10"/>
      <c r="U83" s="10"/>
      <c r="V83" s="10"/>
    </row>
  </sheetData>
  <mergeCells count="205">
    <mergeCell ref="A3:V3"/>
    <mergeCell ref="A4:V4"/>
    <mergeCell ref="A5:B5"/>
    <mergeCell ref="C5:E5"/>
    <mergeCell ref="F5:V5"/>
    <mergeCell ref="A6:B6"/>
    <mergeCell ref="C6:E6"/>
    <mergeCell ref="F6:V6"/>
    <mergeCell ref="A7:B7"/>
    <mergeCell ref="C7:E7"/>
    <mergeCell ref="F7:V7"/>
    <mergeCell ref="A8:B8"/>
    <mergeCell ref="C8:E8"/>
    <mergeCell ref="F8:V8"/>
    <mergeCell ref="A9:B9"/>
    <mergeCell ref="C9:E9"/>
    <mergeCell ref="F9:V9"/>
    <mergeCell ref="A10:B10"/>
    <mergeCell ref="C10:E10"/>
    <mergeCell ref="F10:V10"/>
    <mergeCell ref="A11:B11"/>
    <mergeCell ref="C11:E11"/>
    <mergeCell ref="F11:V11"/>
    <mergeCell ref="A12:B12"/>
    <mergeCell ref="C12:E12"/>
    <mergeCell ref="F12:V12"/>
    <mergeCell ref="A13:B13"/>
    <mergeCell ref="C13:E13"/>
    <mergeCell ref="F13:V13"/>
    <mergeCell ref="A14:B14"/>
    <mergeCell ref="C14:E14"/>
    <mergeCell ref="F14:V14"/>
    <mergeCell ref="A15:B15"/>
    <mergeCell ref="C15:V15"/>
    <mergeCell ref="A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A33:V33"/>
    <mergeCell ref="T34:V34"/>
    <mergeCell ref="T35:V35"/>
    <mergeCell ref="T36:V36"/>
    <mergeCell ref="T37:V37"/>
    <mergeCell ref="T38:V38"/>
    <mergeCell ref="T39:V39"/>
    <mergeCell ref="A41:V41"/>
    <mergeCell ref="B42:C42"/>
    <mergeCell ref="D42:E42"/>
    <mergeCell ref="G42:H42"/>
    <mergeCell ref="I42:L42"/>
    <mergeCell ref="M42:N42"/>
    <mergeCell ref="S42:U42"/>
    <mergeCell ref="B43:C43"/>
    <mergeCell ref="D43:E43"/>
    <mergeCell ref="G43:H43"/>
    <mergeCell ref="I43:L43"/>
    <mergeCell ref="M43:N43"/>
    <mergeCell ref="S43:U43"/>
    <mergeCell ref="B44:C44"/>
    <mergeCell ref="D44:E44"/>
    <mergeCell ref="G44:H44"/>
    <mergeCell ref="I44:L44"/>
    <mergeCell ref="M44:N44"/>
    <mergeCell ref="S44:U44"/>
    <mergeCell ref="B45:C45"/>
    <mergeCell ref="D45:E45"/>
    <mergeCell ref="G45:H45"/>
    <mergeCell ref="I45:L45"/>
    <mergeCell ref="M45:N45"/>
    <mergeCell ref="S45:U45"/>
    <mergeCell ref="B46:C46"/>
    <mergeCell ref="D46:E46"/>
    <mergeCell ref="G46:H46"/>
    <mergeCell ref="I46:L46"/>
    <mergeCell ref="M46:N46"/>
    <mergeCell ref="S46:U46"/>
    <mergeCell ref="B47:C47"/>
    <mergeCell ref="D47:E47"/>
    <mergeCell ref="G47:H47"/>
    <mergeCell ref="I47:L47"/>
    <mergeCell ref="M47:N47"/>
    <mergeCell ref="S47:U47"/>
    <mergeCell ref="B48:C48"/>
    <mergeCell ref="D48:E48"/>
    <mergeCell ref="G48:H48"/>
    <mergeCell ref="I48:L48"/>
    <mergeCell ref="M48:N48"/>
    <mergeCell ref="S48:U48"/>
    <mergeCell ref="A50:V50"/>
    <mergeCell ref="D51:E51"/>
    <mergeCell ref="F51:G51"/>
    <mergeCell ref="L51:M51"/>
    <mergeCell ref="N51:U51"/>
    <mergeCell ref="D52:E52"/>
    <mergeCell ref="F52:G52"/>
    <mergeCell ref="L52:M52"/>
    <mergeCell ref="N52:U52"/>
    <mergeCell ref="D53:E53"/>
    <mergeCell ref="F53:G53"/>
    <mergeCell ref="L53:M53"/>
    <mergeCell ref="N53:U53"/>
    <mergeCell ref="D54:E54"/>
    <mergeCell ref="F54:G54"/>
    <mergeCell ref="L54:M54"/>
    <mergeCell ref="N54:U54"/>
    <mergeCell ref="D55:E55"/>
    <mergeCell ref="F55:G55"/>
    <mergeCell ref="L55:M55"/>
    <mergeCell ref="N55:U55"/>
    <mergeCell ref="D56:E56"/>
    <mergeCell ref="F56:G56"/>
    <mergeCell ref="L56:M56"/>
    <mergeCell ref="N56:U56"/>
    <mergeCell ref="D57:E57"/>
    <mergeCell ref="F57:G57"/>
    <mergeCell ref="L57:M57"/>
    <mergeCell ref="N57:U57"/>
    <mergeCell ref="D58:E58"/>
    <mergeCell ref="F58:G58"/>
    <mergeCell ref="L58:M58"/>
    <mergeCell ref="N58:U58"/>
    <mergeCell ref="D59:E59"/>
    <mergeCell ref="F59:G59"/>
    <mergeCell ref="L59:M59"/>
    <mergeCell ref="N59:U59"/>
    <mergeCell ref="D60:E60"/>
    <mergeCell ref="F60:G60"/>
    <mergeCell ref="L60:M60"/>
    <mergeCell ref="N60:U60"/>
    <mergeCell ref="D61:E61"/>
    <mergeCell ref="F61:G61"/>
    <mergeCell ref="L61:M61"/>
    <mergeCell ref="N61:U61"/>
    <mergeCell ref="D62:E62"/>
    <mergeCell ref="F62:G62"/>
    <mergeCell ref="L62:M62"/>
    <mergeCell ref="N62:U62"/>
    <mergeCell ref="D63:E63"/>
    <mergeCell ref="F63:G63"/>
    <mergeCell ref="L63:M63"/>
    <mergeCell ref="N63:U63"/>
    <mergeCell ref="A65:V65"/>
    <mergeCell ref="B66:C66"/>
    <mergeCell ref="D66:E66"/>
    <mergeCell ref="F66:K66"/>
    <mergeCell ref="L66:N66"/>
    <mergeCell ref="P66:U66"/>
    <mergeCell ref="B67:C67"/>
    <mergeCell ref="D67:E67"/>
    <mergeCell ref="F67:K67"/>
    <mergeCell ref="L67:N67"/>
    <mergeCell ref="P67:U67"/>
    <mergeCell ref="B68:C68"/>
    <mergeCell ref="D68:E68"/>
    <mergeCell ref="F68:K68"/>
    <mergeCell ref="L68:N68"/>
    <mergeCell ref="P68:U68"/>
    <mergeCell ref="B69:C69"/>
    <mergeCell ref="D69:E69"/>
    <mergeCell ref="F69:K69"/>
    <mergeCell ref="L69:N69"/>
    <mergeCell ref="P69:U69"/>
    <mergeCell ref="B70:C70"/>
    <mergeCell ref="D70:E70"/>
    <mergeCell ref="F70:K70"/>
    <mergeCell ref="L70:N70"/>
    <mergeCell ref="P70:U70"/>
    <mergeCell ref="B71:C71"/>
    <mergeCell ref="D71:E71"/>
    <mergeCell ref="F71:K71"/>
    <mergeCell ref="L71:N71"/>
    <mergeCell ref="P71:U71"/>
    <mergeCell ref="B72:C72"/>
    <mergeCell ref="D72:E72"/>
    <mergeCell ref="F72:K72"/>
    <mergeCell ref="L72:N72"/>
    <mergeCell ref="P72:U72"/>
    <mergeCell ref="A74:V74"/>
    <mergeCell ref="B75:C75"/>
    <mergeCell ref="H75:I75"/>
    <mergeCell ref="J75:U75"/>
    <mergeCell ref="B76:C76"/>
    <mergeCell ref="H76:I76"/>
    <mergeCell ref="J76:U76"/>
    <mergeCell ref="B77:C77"/>
    <mergeCell ref="H77:I77"/>
    <mergeCell ref="J77:U77"/>
    <mergeCell ref="B78:C78"/>
    <mergeCell ref="H78:I78"/>
    <mergeCell ref="J78:U78"/>
    <mergeCell ref="A80:V80"/>
    <mergeCell ref="A81:V81"/>
    <mergeCell ref="A82:V82"/>
    <mergeCell ref="A83:V83"/>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1" min="3" style="0" width="11"/>
    <col collapsed="false" customWidth="true" hidden="false" outlineLevel="0" max="22" min="22" style="0" width="36"/>
  </cols>
  <sheetData>
    <row r="1" customFormat="false" ht="18.55" hidden="false" customHeight="false" outlineLevel="0" collapsed="false">
      <c r="A1" s="1" t="s">
        <v>1548</v>
      </c>
    </row>
    <row r="2" customFormat="false" ht="15" hidden="false" customHeight="false" outlineLevel="0" collapsed="false">
      <c r="A2" s="2" t="s">
        <v>1549</v>
      </c>
    </row>
    <row r="3" customFormat="false" ht="15" hidden="false" customHeight="true" outlineLevel="0" collapsed="false">
      <c r="A3" s="23" t="s">
        <v>1550</v>
      </c>
      <c r="B3" s="23"/>
      <c r="C3" s="23"/>
      <c r="D3" s="23"/>
      <c r="E3" s="23"/>
      <c r="F3" s="23"/>
      <c r="G3" s="23"/>
      <c r="H3" s="23"/>
      <c r="I3" s="23"/>
      <c r="J3" s="23"/>
      <c r="K3" s="23"/>
      <c r="L3" s="23"/>
      <c r="M3" s="23"/>
      <c r="N3" s="23"/>
      <c r="O3" s="23"/>
      <c r="P3" s="23"/>
      <c r="Q3" s="23"/>
      <c r="R3" s="23"/>
      <c r="S3" s="23"/>
      <c r="T3" s="23"/>
      <c r="U3" s="23"/>
      <c r="V3" s="23"/>
    </row>
    <row r="4" customFormat="false" ht="18" hidden="false" customHeight="true" outlineLevel="0" collapsed="false">
      <c r="A4" s="6" t="s">
        <v>151</v>
      </c>
      <c r="B4" s="6"/>
      <c r="C4" s="6"/>
      <c r="D4" s="6"/>
      <c r="E4" s="6"/>
      <c r="F4" s="6"/>
      <c r="G4" s="6"/>
      <c r="H4" s="6"/>
      <c r="I4" s="6"/>
      <c r="J4" s="6"/>
      <c r="K4" s="6"/>
      <c r="L4" s="6"/>
      <c r="M4" s="6"/>
      <c r="N4" s="6"/>
      <c r="O4" s="6"/>
      <c r="P4" s="6"/>
      <c r="Q4" s="6"/>
      <c r="R4" s="6"/>
      <c r="S4" s="6"/>
      <c r="T4" s="6"/>
      <c r="U4" s="6"/>
      <c r="V4" s="6"/>
    </row>
    <row r="5" customFormat="false" ht="15" hidden="false" customHeight="true" outlineLevel="0" collapsed="false">
      <c r="A5" s="4" t="s">
        <v>152</v>
      </c>
      <c r="B5" s="4"/>
      <c r="C5" s="24" t="n">
        <v>6800000</v>
      </c>
      <c r="D5" s="24"/>
      <c r="E5" s="24"/>
      <c r="F5" s="25" t="s">
        <v>1551</v>
      </c>
      <c r="G5" s="25"/>
      <c r="H5" s="25"/>
      <c r="I5" s="25"/>
      <c r="J5" s="25"/>
      <c r="K5" s="25"/>
      <c r="L5" s="25"/>
      <c r="M5" s="25"/>
      <c r="N5" s="25"/>
      <c r="O5" s="25"/>
      <c r="P5" s="25"/>
      <c r="Q5" s="25"/>
      <c r="R5" s="25"/>
      <c r="S5" s="25"/>
      <c r="T5" s="25"/>
      <c r="U5" s="25"/>
      <c r="V5" s="25"/>
    </row>
    <row r="6" customFormat="false" ht="15" hidden="false" customHeight="true" outlineLevel="0" collapsed="false">
      <c r="A6" s="4" t="s">
        <v>110</v>
      </c>
      <c r="B6" s="4"/>
      <c r="C6" s="5" t="s">
        <v>1552</v>
      </c>
      <c r="D6" s="5"/>
      <c r="E6" s="5"/>
      <c r="F6" s="25"/>
      <c r="G6" s="25"/>
      <c r="H6" s="25"/>
      <c r="I6" s="25"/>
      <c r="J6" s="25"/>
      <c r="K6" s="25"/>
      <c r="L6" s="25"/>
      <c r="M6" s="25"/>
      <c r="N6" s="25"/>
      <c r="O6" s="25"/>
      <c r="P6" s="25"/>
      <c r="Q6" s="25"/>
      <c r="R6" s="25"/>
      <c r="S6" s="25"/>
      <c r="T6" s="25"/>
      <c r="U6" s="25"/>
      <c r="V6" s="25"/>
    </row>
    <row r="7" customFormat="false" ht="40.5" hidden="false" customHeight="true" outlineLevel="0" collapsed="false">
      <c r="A7" s="4" t="s">
        <v>155</v>
      </c>
      <c r="B7" s="4"/>
      <c r="C7" s="5" t="s">
        <v>1553</v>
      </c>
      <c r="D7" s="5"/>
      <c r="E7" s="5"/>
      <c r="F7" s="25"/>
      <c r="G7" s="25"/>
      <c r="H7" s="25"/>
      <c r="I7" s="25"/>
      <c r="J7" s="25"/>
      <c r="K7" s="25"/>
      <c r="L7" s="25"/>
      <c r="M7" s="25"/>
      <c r="N7" s="25"/>
      <c r="O7" s="25"/>
      <c r="P7" s="25"/>
      <c r="Q7" s="25"/>
      <c r="R7" s="25"/>
      <c r="S7" s="25"/>
      <c r="T7" s="25"/>
      <c r="U7" s="25"/>
      <c r="V7" s="25"/>
    </row>
    <row r="8" customFormat="false" ht="27.75" hidden="false" customHeight="true" outlineLevel="0" collapsed="false">
      <c r="A8" s="4" t="s">
        <v>111</v>
      </c>
      <c r="B8" s="4"/>
      <c r="C8" s="5" t="s">
        <v>1554</v>
      </c>
      <c r="D8" s="5"/>
      <c r="E8" s="5"/>
      <c r="F8" s="25"/>
      <c r="G8" s="25"/>
      <c r="H8" s="25"/>
      <c r="I8" s="25"/>
      <c r="J8" s="25"/>
      <c r="K8" s="25"/>
      <c r="L8" s="25"/>
      <c r="M8" s="25"/>
      <c r="N8" s="25"/>
      <c r="O8" s="25"/>
      <c r="P8" s="25"/>
      <c r="Q8" s="25"/>
      <c r="R8" s="25"/>
      <c r="S8" s="25"/>
      <c r="T8" s="25"/>
      <c r="U8" s="25"/>
      <c r="V8" s="25"/>
    </row>
    <row r="9" customFormat="false" ht="15" hidden="false" customHeight="true" outlineLevel="0" collapsed="false">
      <c r="A9" s="4" t="s">
        <v>158</v>
      </c>
      <c r="B9" s="4"/>
      <c r="C9" s="26" t="n">
        <f aca="false">IF(ISNUMBER(S22),S22,"n.d.")</f>
        <v>5889000</v>
      </c>
      <c r="D9" s="26"/>
      <c r="E9" s="26"/>
      <c r="F9" s="25" t="s">
        <v>1555</v>
      </c>
      <c r="G9" s="25"/>
      <c r="H9" s="25"/>
      <c r="I9" s="25"/>
      <c r="J9" s="25"/>
      <c r="K9" s="25"/>
      <c r="L9" s="25"/>
      <c r="M9" s="25"/>
      <c r="N9" s="25"/>
      <c r="O9" s="25"/>
      <c r="P9" s="25"/>
      <c r="Q9" s="25"/>
      <c r="R9" s="25"/>
      <c r="S9" s="25"/>
      <c r="T9" s="25"/>
      <c r="U9" s="25"/>
      <c r="V9" s="25"/>
    </row>
    <row r="10" customFormat="false" ht="27.75" hidden="false" customHeight="true" outlineLevel="0" collapsed="false">
      <c r="A10" s="4" t="s">
        <v>160</v>
      </c>
      <c r="B10" s="4"/>
      <c r="C10" s="5" t="s">
        <v>1555</v>
      </c>
      <c r="D10" s="5"/>
      <c r="E10" s="5"/>
      <c r="F10" s="25"/>
      <c r="G10" s="25"/>
      <c r="H10" s="25"/>
      <c r="I10" s="25"/>
      <c r="J10" s="25"/>
      <c r="K10" s="25"/>
      <c r="L10" s="25"/>
      <c r="M10" s="25"/>
      <c r="N10" s="25"/>
      <c r="O10" s="25"/>
      <c r="P10" s="25"/>
      <c r="Q10" s="25"/>
      <c r="R10" s="25"/>
      <c r="S10" s="25"/>
      <c r="T10" s="25"/>
      <c r="U10" s="25"/>
      <c r="V10" s="25"/>
    </row>
    <row r="11" customFormat="false" ht="15" hidden="false" customHeight="true" outlineLevel="0" collapsed="false">
      <c r="A11" s="4" t="s">
        <v>114</v>
      </c>
      <c r="B11" s="4"/>
      <c r="C11" s="27" t="n">
        <f aca="false">IFERROR(C9/S19,"n.d.")</f>
        <v>0.866029411764706</v>
      </c>
      <c r="D11" s="27"/>
      <c r="E11" s="27"/>
      <c r="F11" s="25" t="s">
        <v>161</v>
      </c>
      <c r="G11" s="25"/>
      <c r="H11" s="25"/>
      <c r="I11" s="25"/>
      <c r="J11" s="25"/>
      <c r="K11" s="25"/>
      <c r="L11" s="25"/>
      <c r="M11" s="25"/>
      <c r="N11" s="25"/>
      <c r="O11" s="25"/>
      <c r="P11" s="25"/>
      <c r="Q11" s="25"/>
      <c r="R11" s="25"/>
      <c r="S11" s="25"/>
      <c r="T11" s="25"/>
      <c r="U11" s="25"/>
      <c r="V11" s="25"/>
    </row>
    <row r="12" customFormat="false" ht="15" hidden="false" customHeight="true" outlineLevel="0" collapsed="false">
      <c r="A12" s="4" t="s">
        <v>162</v>
      </c>
      <c r="B12" s="4"/>
      <c r="C12" s="26" t="n">
        <f aca="false">S19</f>
        <v>6800000</v>
      </c>
      <c r="D12" s="26"/>
      <c r="E12" s="26"/>
      <c r="F12" s="25" t="s">
        <v>163</v>
      </c>
      <c r="G12" s="25"/>
      <c r="H12" s="25"/>
      <c r="I12" s="25"/>
      <c r="J12" s="25"/>
      <c r="K12" s="25"/>
      <c r="L12" s="25"/>
      <c r="M12" s="25"/>
      <c r="N12" s="25"/>
      <c r="O12" s="25"/>
      <c r="P12" s="25"/>
      <c r="Q12" s="25"/>
      <c r="R12" s="25"/>
      <c r="S12" s="25"/>
      <c r="T12" s="25"/>
      <c r="U12" s="25"/>
      <c r="V12" s="25"/>
    </row>
    <row r="13" customFormat="false" ht="15" hidden="false" customHeight="true" outlineLevel="0" collapsed="false">
      <c r="A13" s="4" t="s">
        <v>164</v>
      </c>
      <c r="B13" s="4"/>
      <c r="C13" s="24" t="n">
        <v>8300000</v>
      </c>
      <c r="D13" s="24"/>
      <c r="E13" s="24"/>
      <c r="F13" s="25" t="s">
        <v>1556</v>
      </c>
      <c r="G13" s="25"/>
      <c r="H13" s="25"/>
      <c r="I13" s="25"/>
      <c r="J13" s="25"/>
      <c r="K13" s="25"/>
      <c r="L13" s="25"/>
      <c r="M13" s="25"/>
      <c r="N13" s="25"/>
      <c r="O13" s="25"/>
      <c r="P13" s="25"/>
      <c r="Q13" s="25"/>
      <c r="R13" s="25"/>
      <c r="S13" s="25"/>
      <c r="T13" s="25"/>
      <c r="U13" s="25"/>
      <c r="V13" s="25"/>
    </row>
    <row r="14" customFormat="false" ht="15" hidden="false" customHeight="true" outlineLevel="0" collapsed="false">
      <c r="A14" s="4" t="s">
        <v>130</v>
      </c>
      <c r="B14" s="4"/>
      <c r="C14" s="5" t="s">
        <v>1557</v>
      </c>
      <c r="D14" s="5"/>
      <c r="E14" s="5"/>
      <c r="F14" s="25"/>
      <c r="G14" s="25"/>
      <c r="H14" s="25"/>
      <c r="I14" s="25"/>
      <c r="J14" s="25"/>
      <c r="K14" s="25"/>
      <c r="L14" s="25"/>
      <c r="M14" s="25"/>
      <c r="N14" s="25"/>
      <c r="O14" s="25"/>
      <c r="P14" s="25"/>
      <c r="Q14" s="25"/>
      <c r="R14" s="25"/>
      <c r="S14" s="25"/>
      <c r="T14" s="25"/>
      <c r="U14" s="25"/>
      <c r="V14" s="25"/>
    </row>
    <row r="15" customFormat="false" ht="20.25" hidden="false" customHeight="true" outlineLevel="0" collapsed="false">
      <c r="A15" s="4" t="s">
        <v>120</v>
      </c>
      <c r="B15" s="4"/>
      <c r="C15" s="28" t="s">
        <v>1558</v>
      </c>
      <c r="D15" s="28"/>
      <c r="E15" s="28"/>
      <c r="F15" s="28"/>
      <c r="G15" s="28"/>
      <c r="H15" s="28"/>
      <c r="I15" s="28"/>
      <c r="J15" s="28"/>
      <c r="K15" s="28"/>
      <c r="L15" s="28"/>
      <c r="M15" s="28"/>
      <c r="N15" s="28"/>
      <c r="O15" s="28"/>
      <c r="P15" s="28"/>
      <c r="Q15" s="28"/>
      <c r="R15" s="28"/>
      <c r="S15" s="28"/>
      <c r="T15" s="28"/>
      <c r="U15" s="28"/>
      <c r="V15" s="28"/>
    </row>
    <row r="17" customFormat="false" ht="18" hidden="false" customHeight="true" outlineLevel="0" collapsed="false">
      <c r="A17" s="6" t="s">
        <v>168</v>
      </c>
      <c r="B17" s="6"/>
      <c r="C17" s="6"/>
      <c r="D17" s="6"/>
      <c r="E17" s="6"/>
      <c r="F17" s="6"/>
      <c r="G17" s="6"/>
      <c r="H17" s="6"/>
      <c r="I17" s="6"/>
      <c r="J17" s="6"/>
      <c r="K17" s="6"/>
      <c r="L17" s="6"/>
      <c r="M17" s="6"/>
      <c r="N17" s="6"/>
      <c r="O17" s="6"/>
      <c r="P17" s="6"/>
      <c r="Q17" s="6"/>
      <c r="R17" s="6"/>
      <c r="S17" s="6"/>
      <c r="T17" s="6"/>
      <c r="U17" s="6"/>
      <c r="V17" s="6"/>
    </row>
    <row r="18" customFormat="false" ht="15" hidden="false" customHeight="true" outlineLevel="0" collapsed="false">
      <c r="A18" s="8" t="s">
        <v>169</v>
      </c>
      <c r="B18" s="9" t="s">
        <v>170</v>
      </c>
      <c r="C18" s="9" t="s">
        <v>71</v>
      </c>
      <c r="D18" s="9" t="s">
        <v>72</v>
      </c>
      <c r="E18" s="9" t="s">
        <v>73</v>
      </c>
      <c r="F18" s="9" t="s">
        <v>74</v>
      </c>
      <c r="G18" s="9" t="s">
        <v>75</v>
      </c>
      <c r="H18" s="9" t="s">
        <v>76</v>
      </c>
      <c r="I18" s="9" t="s">
        <v>77</v>
      </c>
      <c r="J18" s="9" t="s">
        <v>78</v>
      </c>
      <c r="K18" s="9" t="s">
        <v>79</v>
      </c>
      <c r="L18" s="9" t="s">
        <v>80</v>
      </c>
      <c r="M18" s="9" t="s">
        <v>81</v>
      </c>
      <c r="N18" s="9" t="s">
        <v>82</v>
      </c>
      <c r="O18" s="9" t="s">
        <v>83</v>
      </c>
      <c r="P18" s="9" t="s">
        <v>84</v>
      </c>
      <c r="Q18" s="9" t="s">
        <v>85</v>
      </c>
      <c r="R18" s="9" t="s">
        <v>86</v>
      </c>
      <c r="S18" s="9" t="s">
        <v>87</v>
      </c>
      <c r="T18" s="8" t="s">
        <v>171</v>
      </c>
      <c r="U18" s="8"/>
      <c r="V18" s="8"/>
    </row>
    <row r="19" customFormat="false" ht="24.75" hidden="false" customHeight="true" outlineLevel="0" collapsed="false">
      <c r="A19" s="10" t="s">
        <v>172</v>
      </c>
      <c r="B19" s="29" t="s">
        <v>173</v>
      </c>
      <c r="C19" s="5"/>
      <c r="D19" s="5"/>
      <c r="E19" s="5"/>
      <c r="F19" s="5"/>
      <c r="G19" s="5"/>
      <c r="H19" s="5"/>
      <c r="I19" s="5"/>
      <c r="J19" s="5"/>
      <c r="K19" s="5"/>
      <c r="L19" s="5"/>
      <c r="M19" s="5"/>
      <c r="N19" s="5"/>
      <c r="O19" s="5"/>
      <c r="P19" s="30" t="n">
        <v>5190000</v>
      </c>
      <c r="Q19" s="5"/>
      <c r="R19" s="5"/>
      <c r="S19" s="30" t="n">
        <v>6800000</v>
      </c>
      <c r="T19" s="25" t="s">
        <v>1559</v>
      </c>
      <c r="U19" s="25"/>
      <c r="V19" s="25"/>
    </row>
    <row r="20" customFormat="false" ht="24.75" hidden="false" customHeight="true" outlineLevel="0" collapsed="false">
      <c r="A20" s="10" t="s">
        <v>175</v>
      </c>
      <c r="B20" s="29" t="s">
        <v>176</v>
      </c>
      <c r="C20" s="5"/>
      <c r="D20" s="5"/>
      <c r="E20" s="5"/>
      <c r="F20" s="5"/>
      <c r="G20" s="5"/>
      <c r="H20" s="5"/>
      <c r="I20" s="5"/>
      <c r="J20" s="5"/>
      <c r="K20" s="5"/>
      <c r="L20" s="5"/>
      <c r="M20" s="5"/>
      <c r="N20" s="5"/>
      <c r="O20" s="5"/>
      <c r="P20" s="29" t="s">
        <v>178</v>
      </c>
      <c r="Q20" s="5"/>
      <c r="R20" s="5"/>
      <c r="S20" s="29" t="s">
        <v>520</v>
      </c>
      <c r="T20" s="25" t="s">
        <v>179</v>
      </c>
      <c r="U20" s="25"/>
      <c r="V20" s="25"/>
    </row>
    <row r="21" customFormat="false" ht="15" hidden="false" customHeight="true" outlineLevel="0" collapsed="false">
      <c r="A21" s="10" t="s">
        <v>180</v>
      </c>
      <c r="B21" s="29" t="s">
        <v>181</v>
      </c>
      <c r="C21" s="5"/>
      <c r="D21" s="5"/>
      <c r="E21" s="5"/>
      <c r="F21" s="5"/>
      <c r="G21" s="5"/>
      <c r="H21" s="5"/>
      <c r="I21" s="5"/>
      <c r="J21" s="5"/>
      <c r="K21" s="5"/>
      <c r="L21" s="5"/>
      <c r="M21" s="5"/>
      <c r="N21" s="5"/>
      <c r="O21" s="5"/>
      <c r="P21" s="5"/>
      <c r="Q21" s="5"/>
      <c r="R21" s="5"/>
      <c r="S21" s="5"/>
      <c r="T21" s="25" t="s">
        <v>1560</v>
      </c>
      <c r="U21" s="25"/>
      <c r="V21" s="25"/>
    </row>
    <row r="22" customFormat="false" ht="24.75" hidden="false" customHeight="true" outlineLevel="0" collapsed="false">
      <c r="A22" s="10" t="s">
        <v>183</v>
      </c>
      <c r="B22" s="29" t="s">
        <v>181</v>
      </c>
      <c r="C22" s="5"/>
      <c r="D22" s="5"/>
      <c r="E22" s="5"/>
      <c r="F22" s="5"/>
      <c r="G22" s="5"/>
      <c r="H22" s="5"/>
      <c r="I22" s="5"/>
      <c r="J22" s="5"/>
      <c r="K22" s="5"/>
      <c r="L22" s="5"/>
      <c r="M22" s="18" t="n">
        <f aca="false">M23+M24</f>
        <v>3263507</v>
      </c>
      <c r="N22" s="5"/>
      <c r="O22" s="5"/>
      <c r="P22" s="5"/>
      <c r="Q22" s="5"/>
      <c r="R22" s="30" t="n">
        <v>4744000</v>
      </c>
      <c r="S22" s="30" t="n">
        <v>5889000</v>
      </c>
      <c r="T22" s="25" t="s">
        <v>1561</v>
      </c>
      <c r="U22" s="25"/>
      <c r="V22" s="25"/>
    </row>
    <row r="23" customFormat="false" ht="15" hidden="false" customHeight="true" outlineLevel="0" collapsed="false">
      <c r="A23" s="10" t="s">
        <v>185</v>
      </c>
      <c r="B23" s="29" t="s">
        <v>181</v>
      </c>
      <c r="C23" s="5"/>
      <c r="D23" s="5"/>
      <c r="E23" s="5"/>
      <c r="F23" s="5"/>
      <c r="G23" s="5"/>
      <c r="H23" s="5"/>
      <c r="I23" s="5"/>
      <c r="J23" s="5"/>
      <c r="K23" s="5"/>
      <c r="L23" s="5"/>
      <c r="M23" s="30" t="n">
        <f aca="false">2410755+11934</f>
        <v>2422689</v>
      </c>
      <c r="N23" s="5"/>
      <c r="O23" s="5"/>
      <c r="P23" s="5"/>
      <c r="Q23" s="5"/>
      <c r="R23" s="5"/>
      <c r="S23" s="5"/>
      <c r="T23" s="25" t="s">
        <v>1562</v>
      </c>
      <c r="U23" s="25"/>
      <c r="V23" s="25"/>
    </row>
    <row r="24" customFormat="false" ht="15" hidden="false" customHeight="true" outlineLevel="0" collapsed="false">
      <c r="A24" s="10" t="s">
        <v>187</v>
      </c>
      <c r="B24" s="29" t="s">
        <v>181</v>
      </c>
      <c r="C24" s="5"/>
      <c r="D24" s="5"/>
      <c r="E24" s="5"/>
      <c r="F24" s="5"/>
      <c r="G24" s="5"/>
      <c r="H24" s="5"/>
      <c r="I24" s="5"/>
      <c r="J24" s="5"/>
      <c r="K24" s="5"/>
      <c r="L24" s="5"/>
      <c r="M24" s="30" t="n">
        <f aca="false">678841+161977</f>
        <v>840818</v>
      </c>
      <c r="N24" s="5"/>
      <c r="O24" s="5"/>
      <c r="P24" s="5"/>
      <c r="Q24" s="5"/>
      <c r="R24" s="30" t="n">
        <v>1195000</v>
      </c>
      <c r="S24" s="30" t="n">
        <v>1585000</v>
      </c>
      <c r="T24" s="25" t="s">
        <v>1563</v>
      </c>
      <c r="U24" s="25"/>
      <c r="V24" s="25"/>
    </row>
    <row r="25" customFormat="false" ht="24.75" hidden="false" customHeight="true" outlineLevel="0" collapsed="false">
      <c r="A25" s="10" t="s">
        <v>188</v>
      </c>
      <c r="B25" s="29" t="s">
        <v>189</v>
      </c>
      <c r="C25" s="17" t="str">
        <f aca="false">IF(AND(ISNUMBER(C21),ISNUMBER(C19)),C21/C19,"")</f>
        <v/>
      </c>
      <c r="D25" s="17" t="str">
        <f aca="false">IF(AND(ISNUMBER(D21),ISNUMBER(D19)),D21/D19,"")</f>
        <v/>
      </c>
      <c r="E25" s="17" t="str">
        <f aca="false">IF(AND(ISNUMBER(E21),ISNUMBER(E19)),E21/E19,"")</f>
        <v/>
      </c>
      <c r="F25" s="17" t="str">
        <f aca="false">IF(AND(ISNUMBER(F21),ISNUMBER(F19)),F21/F19,"")</f>
        <v/>
      </c>
      <c r="G25" s="17" t="str">
        <f aca="false">IF(AND(ISNUMBER(G21),ISNUMBER(G19)),G21/G19,"")</f>
        <v/>
      </c>
      <c r="H25" s="17" t="str">
        <f aca="false">IF(AND(ISNUMBER(H21),ISNUMBER(H19)),H21/H19,"")</f>
        <v/>
      </c>
      <c r="I25" s="17" t="str">
        <f aca="false">IF(AND(ISNUMBER(I21),ISNUMBER(I19)),I21/I19,"")</f>
        <v/>
      </c>
      <c r="J25" s="17" t="str">
        <f aca="false">IF(AND(ISNUMBER(J21),ISNUMBER(J19)),J21/J19,"")</f>
        <v/>
      </c>
      <c r="K25" s="17" t="str">
        <f aca="false">IF(AND(ISNUMBER(K21),ISNUMBER(K19)),K21/K19,"")</f>
        <v/>
      </c>
      <c r="L25" s="17" t="str">
        <f aca="false">IF(AND(ISNUMBER(L21),ISNUMBER(L19)),L21/L19,"")</f>
        <v/>
      </c>
      <c r="M25" s="17" t="str">
        <f aca="false">IF(AND(ISNUMBER(M21),ISNUMBER(M19)),M21/M19,"")</f>
        <v/>
      </c>
      <c r="N25" s="17" t="str">
        <f aca="false">IF(AND(ISNUMBER(N21),ISNUMBER(N19)),N21/N19,"")</f>
        <v/>
      </c>
      <c r="O25" s="17" t="str">
        <f aca="false">IF(AND(ISNUMBER(O21),ISNUMBER(O19)),O21/O19,"")</f>
        <v/>
      </c>
      <c r="P25" s="17" t="str">
        <f aca="false">IF(AND(ISNUMBER(P21),ISNUMBER(P19)),P21/P19,"")</f>
        <v/>
      </c>
      <c r="Q25" s="17" t="str">
        <f aca="false">IF(AND(ISNUMBER(Q21),ISNUMBER(Q19)),Q21/Q19,"")</f>
        <v/>
      </c>
      <c r="R25" s="17" t="str">
        <f aca="false">IF(AND(ISNUMBER(R21),ISNUMBER(R19)),R21/R19,"")</f>
        <v/>
      </c>
      <c r="S25" s="17" t="str">
        <f aca="false">IF(AND(ISNUMBER(S21),ISNUMBER(S19)),S21/S19,"")</f>
        <v/>
      </c>
      <c r="T25" s="25" t="s">
        <v>190</v>
      </c>
      <c r="U25" s="25"/>
      <c r="V25" s="25"/>
    </row>
    <row r="26" customFormat="false" ht="15" hidden="false" customHeight="true" outlineLevel="0" collapsed="false">
      <c r="A26" s="10" t="s">
        <v>191</v>
      </c>
      <c r="B26" s="29" t="s">
        <v>189</v>
      </c>
      <c r="C26" s="17" t="str">
        <f aca="false">IF(AND(ISNUMBER(C21),ISNUMBER(C19)),C21/C19,"")</f>
        <v/>
      </c>
      <c r="D26" s="17" t="str">
        <f aca="false">IF(AND(ISNUMBER(D21),ISNUMBER(D19)),D21/IF(ISNUMBER(C19),AVERAGE(C19,D19),D19),"")</f>
        <v/>
      </c>
      <c r="E26" s="17" t="str">
        <f aca="false">IF(AND(ISNUMBER(E21),ISNUMBER(E19)),E21/IF(ISNUMBER(D19),AVERAGE(D19,E19),E19),"")</f>
        <v/>
      </c>
      <c r="F26" s="17" t="str">
        <f aca="false">IF(AND(ISNUMBER(F21),ISNUMBER(F19)),F21/IF(ISNUMBER(E19),AVERAGE(E19,F19),F19),"")</f>
        <v/>
      </c>
      <c r="G26" s="17" t="str">
        <f aca="false">IF(AND(ISNUMBER(G21),ISNUMBER(G19)),G21/IF(ISNUMBER(F19),AVERAGE(F19,G19),G19),"")</f>
        <v/>
      </c>
      <c r="H26" s="17" t="str">
        <f aca="false">IF(AND(ISNUMBER(H21),ISNUMBER(H19)),H21/IF(ISNUMBER(G19),AVERAGE(G19,H19),H19),"")</f>
        <v/>
      </c>
      <c r="I26" s="17" t="str">
        <f aca="false">IF(AND(ISNUMBER(I21),ISNUMBER(I19)),I21/IF(ISNUMBER(H19),AVERAGE(H19,I19),I19),"")</f>
        <v/>
      </c>
      <c r="J26" s="17" t="str">
        <f aca="false">IF(AND(ISNUMBER(J21),ISNUMBER(J19)),J21/IF(ISNUMBER(I19),AVERAGE(I19,J19),J19),"")</f>
        <v/>
      </c>
      <c r="K26" s="17" t="str">
        <f aca="false">IF(AND(ISNUMBER(K21),ISNUMBER(K19)),K21/IF(ISNUMBER(J19),AVERAGE(J19,K19),K19),"")</f>
        <v/>
      </c>
      <c r="L26" s="17" t="str">
        <f aca="false">IF(AND(ISNUMBER(L21),ISNUMBER(L19)),L21/IF(ISNUMBER(K19),AVERAGE(K19,L19),L19),"")</f>
        <v/>
      </c>
      <c r="M26" s="17" t="str">
        <f aca="false">IF(AND(ISNUMBER(M21),ISNUMBER(M19)),M21/IF(ISNUMBER(L19),AVERAGE(L19,M19),M19),"")</f>
        <v/>
      </c>
      <c r="N26" s="17" t="str">
        <f aca="false">IF(AND(ISNUMBER(N21),ISNUMBER(N19)),N21/IF(ISNUMBER(M19),AVERAGE(M19,N19),N19),"")</f>
        <v/>
      </c>
      <c r="O26" s="17" t="str">
        <f aca="false">IF(AND(ISNUMBER(O21),ISNUMBER(O19)),O21/IF(ISNUMBER(N19),AVERAGE(N19,O19),O19),"")</f>
        <v/>
      </c>
      <c r="P26" s="17" t="str">
        <f aca="false">IF(AND(ISNUMBER(P21),ISNUMBER(P19)),P21/IF(ISNUMBER(O19),AVERAGE(O19,P19),P19),"")</f>
        <v/>
      </c>
      <c r="Q26" s="17" t="str">
        <f aca="false">IF(AND(ISNUMBER(Q21),ISNUMBER(Q19)),Q21/IF(ISNUMBER(P19),AVERAGE(P19,Q19),Q19),"")</f>
        <v/>
      </c>
      <c r="R26" s="17" t="str">
        <f aca="false">IF(AND(ISNUMBER(R21),ISNUMBER(R19)),R21/IF(ISNUMBER(Q19),AVERAGE(Q19,R19),R19),"")</f>
        <v/>
      </c>
      <c r="S26" s="17" t="str">
        <f aca="false">IF(AND(ISNUMBER(S21),ISNUMBER(S19)),S21/IF(ISNUMBER(R19),AVERAGE(R19,S19),S19),"")</f>
        <v/>
      </c>
      <c r="T26" s="25" t="s">
        <v>192</v>
      </c>
      <c r="U26" s="25"/>
      <c r="V26" s="25"/>
    </row>
    <row r="27" customFormat="false" ht="24.75" hidden="false" customHeight="true" outlineLevel="0" collapsed="false">
      <c r="A27" s="10" t="s">
        <v>193</v>
      </c>
      <c r="B27" s="29" t="s">
        <v>189</v>
      </c>
      <c r="C27" s="17" t="str">
        <f aca="false">IF(ISNUMBER(C19),IF(ISNUMBER(C22),C22/C19,IF(ISNUMBER(C23),C23/C19,"")),"")</f>
        <v/>
      </c>
      <c r="D27" s="17" t="str">
        <f aca="false">IF(ISNUMBER(D19),IF(ISNUMBER(D22),D22/D19,IF(ISNUMBER(D23),D23/D19,"")),"")</f>
        <v/>
      </c>
      <c r="E27" s="17" t="str">
        <f aca="false">IF(ISNUMBER(E19),IF(ISNUMBER(E22),E22/E19,IF(ISNUMBER(E23),E23/E19,"")),"")</f>
        <v/>
      </c>
      <c r="F27" s="17" t="str">
        <f aca="false">IF(ISNUMBER(F19),IF(ISNUMBER(F22),F22/F19,IF(ISNUMBER(F23),F23/F19,"")),"")</f>
        <v/>
      </c>
      <c r="G27" s="17" t="str">
        <f aca="false">IF(ISNUMBER(G19),IF(ISNUMBER(G22),G22/G19,IF(ISNUMBER(G23),G23/G19,"")),"")</f>
        <v/>
      </c>
      <c r="H27" s="17" t="str">
        <f aca="false">IF(ISNUMBER(H19),IF(ISNUMBER(H22),H22/H19,IF(ISNUMBER(H23),H23/H19,"")),"")</f>
        <v/>
      </c>
      <c r="I27" s="17" t="str">
        <f aca="false">IF(ISNUMBER(I19),IF(ISNUMBER(I22),I22/I19,IF(ISNUMBER(I23),I23/I19,"")),"")</f>
        <v/>
      </c>
      <c r="J27" s="17" t="str">
        <f aca="false">IF(ISNUMBER(J19),IF(ISNUMBER(J22),J22/J19,IF(ISNUMBER(J23),J23/J19,"")),"")</f>
        <v/>
      </c>
      <c r="K27" s="17" t="str">
        <f aca="false">IF(ISNUMBER(K19),IF(ISNUMBER(K22),K22/K19,IF(ISNUMBER(K23),K23/K19,"")),"")</f>
        <v/>
      </c>
      <c r="L27" s="17" t="str">
        <f aca="false">IF(ISNUMBER(L19),IF(ISNUMBER(L22),L22/L19,IF(ISNUMBER(L23),L23/L19,"")),"")</f>
        <v/>
      </c>
      <c r="M27" s="17" t="str">
        <f aca="false">IF(ISNUMBER(M19),IF(ISNUMBER(M22),M22/M19,IF(ISNUMBER(M23),M23/M19,"")),"")</f>
        <v/>
      </c>
      <c r="N27" s="17" t="str">
        <f aca="false">IF(ISNUMBER(N19),IF(ISNUMBER(N22),N22/N19,IF(ISNUMBER(N23),N23/N19,"")),"")</f>
        <v/>
      </c>
      <c r="O27" s="17" t="str">
        <f aca="false">IF(ISNUMBER(O19),IF(ISNUMBER(O22),O22/O19,IF(ISNUMBER(O23),O23/O19,"")),"")</f>
        <v/>
      </c>
      <c r="P27" s="17" t="str">
        <f aca="false">IF(ISNUMBER(P19),IF(ISNUMBER(P22),P22/P19,IF(ISNUMBER(P23),P23/P19,"")),"")</f>
        <v/>
      </c>
      <c r="Q27" s="17" t="str">
        <f aca="false">IF(ISNUMBER(Q19),IF(ISNUMBER(Q22),Q22/Q19,IF(ISNUMBER(Q23),Q23/Q19,"")),"")</f>
        <v/>
      </c>
      <c r="R27" s="17" t="str">
        <f aca="false">IF(ISNUMBER(R19),IF(ISNUMBER(R22),R22/R19,IF(ISNUMBER(R23),R23/R19,"")),"")</f>
        <v/>
      </c>
      <c r="S27" s="17" t="n">
        <f aca="false">IF(ISNUMBER(S19),IF(ISNUMBER(S22),S22/S19,IF(ISNUMBER(S23),S23/S19,"")),"")</f>
        <v>0.866029411764706</v>
      </c>
      <c r="T27" s="25" t="s">
        <v>194</v>
      </c>
      <c r="U27" s="25"/>
      <c r="V27" s="25"/>
    </row>
    <row r="28" customFormat="false" ht="15" hidden="false" customHeight="true" outlineLevel="0" collapsed="false">
      <c r="A28" s="10" t="s">
        <v>195</v>
      </c>
      <c r="B28" s="29" t="s">
        <v>173</v>
      </c>
      <c r="C28" s="5"/>
      <c r="D28" s="18" t="str">
        <f aca="false">IF(AND(ISNUMBER(D19),ISNUMBER(C19)),D19-C19,"")</f>
        <v/>
      </c>
      <c r="E28" s="18" t="str">
        <f aca="false">IF(AND(ISNUMBER(E19),ISNUMBER(D19)),E19-D19,"")</f>
        <v/>
      </c>
      <c r="F28" s="18" t="str">
        <f aca="false">IF(AND(ISNUMBER(F19),ISNUMBER(E19)),F19-E19,"")</f>
        <v/>
      </c>
      <c r="G28" s="18" t="str">
        <f aca="false">IF(AND(ISNUMBER(G19),ISNUMBER(F19)),G19-F19,"")</f>
        <v/>
      </c>
      <c r="H28" s="18" t="str">
        <f aca="false">IF(AND(ISNUMBER(H19),ISNUMBER(G19)),H19-G19,"")</f>
        <v/>
      </c>
      <c r="I28" s="18" t="str">
        <f aca="false">IF(AND(ISNUMBER(I19),ISNUMBER(H19)),I19-H19,"")</f>
        <v/>
      </c>
      <c r="J28" s="18" t="str">
        <f aca="false">IF(AND(ISNUMBER(J19),ISNUMBER(I19)),J19-I19,"")</f>
        <v/>
      </c>
      <c r="K28" s="18" t="str">
        <f aca="false">IF(AND(ISNUMBER(K19),ISNUMBER(J19)),K19-J19,"")</f>
        <v/>
      </c>
      <c r="L28" s="18" t="str">
        <f aca="false">IF(AND(ISNUMBER(L19),ISNUMBER(K19)),L19-K19,"")</f>
        <v/>
      </c>
      <c r="M28" s="18" t="str">
        <f aca="false">IF(AND(ISNUMBER(M19),ISNUMBER(L19)),M19-L19,"")</f>
        <v/>
      </c>
      <c r="N28" s="18" t="str">
        <f aca="false">IF(AND(ISNUMBER(N19),ISNUMBER(M19)),N19-M19,"")</f>
        <v/>
      </c>
      <c r="O28" s="18" t="str">
        <f aca="false">IF(AND(ISNUMBER(O19),ISNUMBER(N19)),O19-N19,"")</f>
        <v/>
      </c>
      <c r="P28" s="18" t="str">
        <f aca="false">IF(AND(ISNUMBER(P19),ISNUMBER(O19)),P19-O19,"")</f>
        <v/>
      </c>
      <c r="Q28" s="18" t="str">
        <f aca="false">IF(AND(ISNUMBER(Q19),ISNUMBER(P19)),Q19-P19,"")</f>
        <v/>
      </c>
      <c r="R28" s="18" t="str">
        <f aca="false">IF(AND(ISNUMBER(R19),ISNUMBER(Q19)),R19-Q19,"")</f>
        <v/>
      </c>
      <c r="S28" s="18" t="str">
        <f aca="false">IF(AND(ISNUMBER(S19),ISNUMBER(R19)),S19-R19,"")</f>
        <v/>
      </c>
      <c r="T28" s="25" t="s">
        <v>196</v>
      </c>
      <c r="U28" s="25"/>
      <c r="V28" s="25"/>
    </row>
    <row r="29" customFormat="false" ht="15" hidden="false" customHeight="true" outlineLevel="0" collapsed="false">
      <c r="A29" s="10" t="s">
        <v>197</v>
      </c>
      <c r="B29" s="29" t="s">
        <v>189</v>
      </c>
      <c r="C29" s="31"/>
      <c r="D29" s="31"/>
      <c r="E29" s="31"/>
      <c r="F29" s="31"/>
      <c r="G29" s="31"/>
      <c r="H29" s="31"/>
      <c r="I29" s="31"/>
      <c r="J29" s="31"/>
      <c r="K29" s="31"/>
      <c r="L29" s="31"/>
      <c r="M29" s="31"/>
      <c r="N29" s="31"/>
      <c r="O29" s="31"/>
      <c r="P29" s="31"/>
      <c r="Q29" s="31"/>
      <c r="R29" s="31"/>
      <c r="S29" s="31"/>
      <c r="T29" s="25"/>
      <c r="U29" s="25"/>
      <c r="V29" s="25"/>
    </row>
    <row r="30" customFormat="false" ht="24.75" hidden="false" customHeight="true" outlineLevel="0" collapsed="false">
      <c r="A30" s="10" t="s">
        <v>199</v>
      </c>
      <c r="B30" s="29"/>
      <c r="C30" s="29"/>
      <c r="D30" s="29"/>
      <c r="E30" s="29"/>
      <c r="F30" s="29"/>
      <c r="G30" s="29"/>
      <c r="H30" s="29"/>
      <c r="I30" s="29"/>
      <c r="J30" s="29"/>
      <c r="K30" s="29"/>
      <c r="L30" s="29"/>
      <c r="M30" s="29" t="s">
        <v>1564</v>
      </c>
      <c r="N30" s="29"/>
      <c r="O30" s="29"/>
      <c r="P30" s="29" t="s">
        <v>1565</v>
      </c>
      <c r="Q30" s="29"/>
      <c r="R30" s="29" t="s">
        <v>1566</v>
      </c>
      <c r="S30" s="29" t="s">
        <v>1567</v>
      </c>
      <c r="T30" s="25"/>
      <c r="U30" s="25"/>
      <c r="V30" s="25"/>
    </row>
    <row r="31" customFormat="false" ht="46.5" hidden="false" customHeight="true" outlineLevel="0" collapsed="false">
      <c r="A31" s="10" t="s">
        <v>216</v>
      </c>
      <c r="B31" s="29"/>
      <c r="C31" s="25"/>
      <c r="D31" s="25"/>
      <c r="E31" s="25"/>
      <c r="F31" s="25"/>
      <c r="G31" s="25"/>
      <c r="H31" s="25"/>
      <c r="I31" s="25"/>
      <c r="J31" s="25"/>
      <c r="K31" s="25"/>
      <c r="L31" s="25"/>
      <c r="M31" s="25" t="s">
        <v>1568</v>
      </c>
      <c r="N31" s="25"/>
      <c r="O31" s="25"/>
      <c r="P31" s="25" t="s">
        <v>1569</v>
      </c>
      <c r="Q31" s="25"/>
      <c r="R31" s="25" t="s">
        <v>1570</v>
      </c>
      <c r="S31" s="25" t="s">
        <v>1571</v>
      </c>
      <c r="T31" s="25"/>
      <c r="U31" s="25"/>
      <c r="V31" s="25"/>
    </row>
    <row r="33" customFormat="false" ht="18" hidden="false" customHeight="true" outlineLevel="0" collapsed="false">
      <c r="A33" s="6" t="s">
        <v>233</v>
      </c>
      <c r="B33" s="6"/>
      <c r="C33" s="6"/>
      <c r="D33" s="6"/>
      <c r="E33" s="6"/>
      <c r="F33" s="6"/>
      <c r="G33" s="6"/>
      <c r="H33" s="6"/>
      <c r="I33" s="6"/>
      <c r="J33" s="6"/>
      <c r="K33" s="6"/>
      <c r="L33" s="6"/>
      <c r="M33" s="6"/>
      <c r="N33" s="6"/>
      <c r="O33" s="6"/>
      <c r="P33" s="6"/>
      <c r="Q33" s="6"/>
      <c r="R33" s="6"/>
      <c r="S33" s="6"/>
      <c r="T33" s="6"/>
      <c r="U33" s="6"/>
      <c r="V33" s="6"/>
    </row>
    <row r="34" customFormat="false" ht="15" hidden="false" customHeight="true" outlineLevel="0" collapsed="false">
      <c r="A34" s="8" t="s">
        <v>234</v>
      </c>
      <c r="B34" s="9" t="s">
        <v>170</v>
      </c>
      <c r="C34" s="9" t="s">
        <v>71</v>
      </c>
      <c r="D34" s="9" t="s">
        <v>72</v>
      </c>
      <c r="E34" s="9" t="s">
        <v>73</v>
      </c>
      <c r="F34" s="9" t="s">
        <v>74</v>
      </c>
      <c r="G34" s="9" t="s">
        <v>75</v>
      </c>
      <c r="H34" s="9" t="s">
        <v>76</v>
      </c>
      <c r="I34" s="9" t="s">
        <v>77</v>
      </c>
      <c r="J34" s="9" t="s">
        <v>78</v>
      </c>
      <c r="K34" s="9" t="s">
        <v>79</v>
      </c>
      <c r="L34" s="9" t="s">
        <v>80</v>
      </c>
      <c r="M34" s="9" t="s">
        <v>81</v>
      </c>
      <c r="N34" s="9" t="s">
        <v>82</v>
      </c>
      <c r="O34" s="9" t="s">
        <v>83</v>
      </c>
      <c r="P34" s="9" t="s">
        <v>84</v>
      </c>
      <c r="Q34" s="9" t="s">
        <v>85</v>
      </c>
      <c r="R34" s="9" t="s">
        <v>86</v>
      </c>
      <c r="S34" s="9" t="s">
        <v>87</v>
      </c>
      <c r="T34" s="8" t="s">
        <v>235</v>
      </c>
      <c r="U34" s="8"/>
      <c r="V34" s="8"/>
    </row>
    <row r="35" customFormat="false" ht="15" hidden="false" customHeight="true" outlineLevel="0" collapsed="false">
      <c r="A35" s="10" t="s">
        <v>1362</v>
      </c>
      <c r="B35" s="29" t="s">
        <v>173</v>
      </c>
      <c r="C35" s="32"/>
      <c r="D35" s="32"/>
      <c r="E35" s="32"/>
      <c r="F35" s="32"/>
      <c r="G35" s="32"/>
      <c r="H35" s="32"/>
      <c r="I35" s="32"/>
      <c r="J35" s="32"/>
      <c r="K35" s="32"/>
      <c r="L35" s="32"/>
      <c r="M35" s="30" t="n">
        <v>2500000</v>
      </c>
      <c r="N35" s="32"/>
      <c r="O35" s="32"/>
      <c r="P35" s="32"/>
      <c r="Q35" s="32"/>
      <c r="R35" s="32"/>
      <c r="S35" s="32"/>
      <c r="T35" s="25" t="s">
        <v>1572</v>
      </c>
      <c r="U35" s="25"/>
      <c r="V35" s="25"/>
    </row>
    <row r="36" customFormat="false" ht="15" hidden="false" customHeight="true" outlineLevel="0" collapsed="false">
      <c r="A36" s="10" t="s">
        <v>1573</v>
      </c>
      <c r="B36" s="29" t="s">
        <v>173</v>
      </c>
      <c r="C36" s="32"/>
      <c r="D36" s="32"/>
      <c r="E36" s="32"/>
      <c r="F36" s="32"/>
      <c r="G36" s="32"/>
      <c r="H36" s="32"/>
      <c r="I36" s="32"/>
      <c r="J36" s="32"/>
      <c r="K36" s="32"/>
      <c r="L36" s="32"/>
      <c r="M36" s="30" t="n">
        <v>1700000</v>
      </c>
      <c r="N36" s="32"/>
      <c r="O36" s="32"/>
      <c r="P36" s="32"/>
      <c r="Q36" s="32"/>
      <c r="R36" s="32"/>
      <c r="S36" s="32"/>
      <c r="T36" s="25" t="s">
        <v>1572</v>
      </c>
      <c r="U36" s="25"/>
      <c r="V36" s="25"/>
    </row>
    <row r="37" customFormat="false" ht="15" hidden="false" customHeight="true" outlineLevel="0" collapsed="false">
      <c r="A37" s="10" t="s">
        <v>1438</v>
      </c>
      <c r="B37" s="29" t="s">
        <v>173</v>
      </c>
      <c r="C37" s="32"/>
      <c r="D37" s="32"/>
      <c r="E37" s="32"/>
      <c r="F37" s="32"/>
      <c r="G37" s="32"/>
      <c r="H37" s="32"/>
      <c r="I37" s="32"/>
      <c r="J37" s="32"/>
      <c r="K37" s="32"/>
      <c r="L37" s="32"/>
      <c r="M37" s="32"/>
      <c r="N37" s="32"/>
      <c r="O37" s="32"/>
      <c r="P37" s="30" t="n">
        <v>4950000</v>
      </c>
      <c r="Q37" s="32"/>
      <c r="R37" s="32"/>
      <c r="S37" s="32"/>
      <c r="T37" s="25" t="s">
        <v>1574</v>
      </c>
      <c r="U37" s="25"/>
      <c r="V37" s="25"/>
    </row>
    <row r="38" customFormat="false" ht="15" hidden="false" customHeight="true" outlineLevel="0" collapsed="false">
      <c r="A38" s="10" t="s">
        <v>1440</v>
      </c>
      <c r="B38" s="29" t="s">
        <v>173</v>
      </c>
      <c r="C38" s="32"/>
      <c r="D38" s="32"/>
      <c r="E38" s="32"/>
      <c r="F38" s="32"/>
      <c r="G38" s="32"/>
      <c r="H38" s="32"/>
      <c r="I38" s="32"/>
      <c r="J38" s="32"/>
      <c r="K38" s="32"/>
      <c r="L38" s="32"/>
      <c r="M38" s="32"/>
      <c r="N38" s="32"/>
      <c r="O38" s="32"/>
      <c r="P38" s="30" t="n">
        <v>240000</v>
      </c>
      <c r="Q38" s="32"/>
      <c r="R38" s="32"/>
      <c r="S38" s="32"/>
      <c r="T38" s="25" t="s">
        <v>1574</v>
      </c>
      <c r="U38" s="25"/>
      <c r="V38" s="25"/>
    </row>
    <row r="40" customFormat="false" ht="18" hidden="false" customHeight="true" outlineLevel="0" collapsed="false">
      <c r="A40" s="6" t="s">
        <v>249</v>
      </c>
      <c r="B40" s="6"/>
      <c r="C40" s="6"/>
      <c r="D40" s="6"/>
      <c r="E40" s="6"/>
      <c r="F40" s="6"/>
      <c r="G40" s="6"/>
      <c r="H40" s="6"/>
      <c r="I40" s="6"/>
      <c r="J40" s="6"/>
      <c r="K40" s="6"/>
      <c r="L40" s="6"/>
      <c r="M40" s="6"/>
      <c r="N40" s="6"/>
      <c r="O40" s="6"/>
      <c r="P40" s="6"/>
      <c r="Q40" s="6"/>
      <c r="R40" s="6"/>
      <c r="S40" s="6"/>
      <c r="T40" s="6"/>
      <c r="U40" s="6"/>
      <c r="V40" s="6"/>
    </row>
    <row r="41" customFormat="false" ht="40.5" hidden="false" customHeight="true" outlineLevel="0" collapsed="false">
      <c r="A41" s="9" t="s">
        <v>250</v>
      </c>
      <c r="B41" s="9" t="s">
        <v>251</v>
      </c>
      <c r="C41" s="9"/>
      <c r="D41" s="9" t="s">
        <v>252</v>
      </c>
      <c r="E41" s="9"/>
      <c r="F41" s="9" t="s">
        <v>253</v>
      </c>
      <c r="G41" s="9" t="s">
        <v>254</v>
      </c>
      <c r="H41" s="9"/>
      <c r="I41" s="9" t="s">
        <v>255</v>
      </c>
      <c r="J41" s="9"/>
      <c r="K41" s="9"/>
      <c r="L41" s="9"/>
      <c r="M41" s="9" t="s">
        <v>256</v>
      </c>
      <c r="N41" s="9"/>
      <c r="O41" s="9" t="s">
        <v>257</v>
      </c>
      <c r="P41" s="9" t="s">
        <v>258</v>
      </c>
      <c r="Q41" s="9" t="s">
        <v>110</v>
      </c>
      <c r="R41" s="9" t="s">
        <v>259</v>
      </c>
      <c r="S41" s="9" t="s">
        <v>171</v>
      </c>
      <c r="T41" s="9"/>
      <c r="U41" s="9"/>
      <c r="V41" s="9" t="s">
        <v>260</v>
      </c>
    </row>
    <row r="42" customFormat="false" ht="40.5" hidden="false" customHeight="true" outlineLevel="0" collapsed="false">
      <c r="A42" s="10" t="s">
        <v>1362</v>
      </c>
      <c r="B42" s="5" t="s">
        <v>669</v>
      </c>
      <c r="C42" s="5"/>
      <c r="D42" s="5" t="s">
        <v>100</v>
      </c>
      <c r="E42" s="5"/>
      <c r="F42" s="5" t="s">
        <v>1575</v>
      </c>
      <c r="G42" s="5" t="s">
        <v>1576</v>
      </c>
      <c r="H42" s="5"/>
      <c r="I42" s="5" t="s">
        <v>1577</v>
      </c>
      <c r="J42" s="5"/>
      <c r="K42" s="5"/>
      <c r="L42" s="5"/>
      <c r="M42" s="5" t="s">
        <v>1578</v>
      </c>
      <c r="N42" s="5"/>
      <c r="O42" s="5"/>
      <c r="P42" s="30" t="n">
        <v>2500000</v>
      </c>
      <c r="Q42" s="5" t="s">
        <v>1579</v>
      </c>
      <c r="R42" s="5" t="s">
        <v>277</v>
      </c>
      <c r="S42" s="5" t="s">
        <v>1580</v>
      </c>
      <c r="T42" s="5"/>
      <c r="U42" s="5"/>
      <c r="V42" s="5" t="s">
        <v>1581</v>
      </c>
    </row>
    <row r="43" customFormat="false" ht="15" hidden="false" customHeight="true" outlineLevel="0" collapsed="false">
      <c r="A43" s="10" t="s">
        <v>1573</v>
      </c>
      <c r="B43" s="5" t="s">
        <v>1156</v>
      </c>
      <c r="C43" s="5"/>
      <c r="D43" s="5" t="s">
        <v>100</v>
      </c>
      <c r="E43" s="5"/>
      <c r="F43" s="5" t="s">
        <v>121</v>
      </c>
      <c r="G43" s="5" t="s">
        <v>1582</v>
      </c>
      <c r="H43" s="5"/>
      <c r="I43" s="5" t="s">
        <v>121</v>
      </c>
      <c r="J43" s="5"/>
      <c r="K43" s="5"/>
      <c r="L43" s="5"/>
      <c r="M43" s="5" t="s">
        <v>301</v>
      </c>
      <c r="N43" s="5"/>
      <c r="O43" s="5"/>
      <c r="P43" s="30" t="n">
        <v>1700000</v>
      </c>
      <c r="Q43" s="5" t="s">
        <v>1579</v>
      </c>
      <c r="R43" s="5" t="s">
        <v>277</v>
      </c>
      <c r="S43" s="5"/>
      <c r="T43" s="5"/>
      <c r="U43" s="5"/>
      <c r="V43" s="5" t="s">
        <v>1583</v>
      </c>
    </row>
    <row r="44" customFormat="false" ht="27.75" hidden="false" customHeight="true" outlineLevel="0" collapsed="false">
      <c r="A44" s="10" t="s">
        <v>1584</v>
      </c>
      <c r="B44" s="5" t="s">
        <v>1585</v>
      </c>
      <c r="C44" s="5"/>
      <c r="D44" s="5" t="s">
        <v>100</v>
      </c>
      <c r="E44" s="5"/>
      <c r="F44" s="5" t="s">
        <v>595</v>
      </c>
      <c r="G44" s="5" t="s">
        <v>102</v>
      </c>
      <c r="H44" s="5"/>
      <c r="I44" s="5" t="s">
        <v>121</v>
      </c>
      <c r="J44" s="5"/>
      <c r="K44" s="5"/>
      <c r="L44" s="5"/>
      <c r="M44" s="5" t="s">
        <v>301</v>
      </c>
      <c r="N44" s="5"/>
      <c r="O44" s="30" t="n">
        <v>400000</v>
      </c>
      <c r="P44" s="5" t="s">
        <v>1586</v>
      </c>
      <c r="Q44" s="5" t="s">
        <v>334</v>
      </c>
      <c r="R44" s="5" t="s">
        <v>277</v>
      </c>
      <c r="S44" s="5" t="s">
        <v>1587</v>
      </c>
      <c r="T44" s="5"/>
      <c r="U44" s="5"/>
      <c r="V44" s="5" t="s">
        <v>1588</v>
      </c>
    </row>
    <row r="45" customFormat="false" ht="27.75" hidden="false" customHeight="true" outlineLevel="0" collapsed="false">
      <c r="A45" s="10" t="s">
        <v>1589</v>
      </c>
      <c r="B45" s="5" t="s">
        <v>1590</v>
      </c>
      <c r="C45" s="5"/>
      <c r="D45" s="5" t="s">
        <v>1591</v>
      </c>
      <c r="E45" s="5"/>
      <c r="F45" s="5" t="s">
        <v>595</v>
      </c>
      <c r="G45" s="5" t="s">
        <v>102</v>
      </c>
      <c r="H45" s="5"/>
      <c r="I45" s="5" t="s">
        <v>121</v>
      </c>
      <c r="J45" s="5"/>
      <c r="K45" s="5"/>
      <c r="L45" s="5"/>
      <c r="M45" s="5" t="s">
        <v>301</v>
      </c>
      <c r="N45" s="5"/>
      <c r="O45" s="30" t="n">
        <v>300000</v>
      </c>
      <c r="P45" s="5" t="s">
        <v>121</v>
      </c>
      <c r="Q45" s="5" t="s">
        <v>595</v>
      </c>
      <c r="R45" s="5" t="s">
        <v>277</v>
      </c>
      <c r="S45" s="5"/>
      <c r="T45" s="5"/>
      <c r="U45" s="5"/>
      <c r="V45" s="5" t="s">
        <v>1592</v>
      </c>
    </row>
    <row r="46" customFormat="false" ht="27.75" hidden="false" customHeight="true" outlineLevel="0" collapsed="false">
      <c r="A46" s="10" t="s">
        <v>1593</v>
      </c>
      <c r="B46" s="5" t="s">
        <v>1594</v>
      </c>
      <c r="C46" s="5"/>
      <c r="D46" s="5" t="s">
        <v>100</v>
      </c>
      <c r="E46" s="5"/>
      <c r="F46" s="5" t="s">
        <v>301</v>
      </c>
      <c r="G46" s="5" t="s">
        <v>1595</v>
      </c>
      <c r="H46" s="5"/>
      <c r="I46" s="5" t="s">
        <v>301</v>
      </c>
      <c r="J46" s="5"/>
      <c r="K46" s="5"/>
      <c r="L46" s="5"/>
      <c r="M46" s="5" t="s">
        <v>301</v>
      </c>
      <c r="N46" s="5"/>
      <c r="O46" s="5"/>
      <c r="P46" s="5" t="s">
        <v>121</v>
      </c>
      <c r="Q46" s="5" t="s">
        <v>268</v>
      </c>
      <c r="R46" s="5" t="s">
        <v>1596</v>
      </c>
      <c r="S46" s="5" t="s">
        <v>1597</v>
      </c>
      <c r="T46" s="5"/>
      <c r="U46" s="5"/>
      <c r="V46" s="5" t="s">
        <v>1598</v>
      </c>
    </row>
    <row r="48" customFormat="false" ht="18" hidden="false" customHeight="true" outlineLevel="0" collapsed="false">
      <c r="A48" s="6" t="s">
        <v>316</v>
      </c>
      <c r="B48" s="6"/>
      <c r="C48" s="6"/>
      <c r="D48" s="6"/>
      <c r="E48" s="6"/>
      <c r="F48" s="6"/>
      <c r="G48" s="6"/>
      <c r="H48" s="6"/>
      <c r="I48" s="6"/>
      <c r="J48" s="6"/>
      <c r="K48" s="6"/>
      <c r="L48" s="6"/>
      <c r="M48" s="6"/>
      <c r="N48" s="6"/>
      <c r="O48" s="6"/>
      <c r="P48" s="6"/>
      <c r="Q48" s="6"/>
      <c r="R48" s="6"/>
      <c r="S48" s="6"/>
      <c r="T48" s="6"/>
      <c r="U48" s="6"/>
      <c r="V48" s="6"/>
    </row>
    <row r="49" customFormat="false" ht="40.5" hidden="false" customHeight="true" outlineLevel="0" collapsed="false">
      <c r="A49" s="9" t="s">
        <v>317</v>
      </c>
      <c r="B49" s="9" t="s">
        <v>318</v>
      </c>
      <c r="C49" s="9" t="s">
        <v>319</v>
      </c>
      <c r="D49" s="9" t="s">
        <v>320</v>
      </c>
      <c r="E49" s="9"/>
      <c r="F49" s="9" t="s">
        <v>250</v>
      </c>
      <c r="G49" s="9"/>
      <c r="H49" s="9" t="s">
        <v>321</v>
      </c>
      <c r="I49" s="9" t="s">
        <v>322</v>
      </c>
      <c r="J49" s="9" t="s">
        <v>323</v>
      </c>
      <c r="K49" s="9" t="s">
        <v>324</v>
      </c>
      <c r="L49" s="9" t="s">
        <v>259</v>
      </c>
      <c r="M49" s="9"/>
      <c r="N49" s="9" t="s">
        <v>171</v>
      </c>
      <c r="O49" s="9"/>
      <c r="P49" s="9"/>
      <c r="Q49" s="9"/>
      <c r="R49" s="9"/>
      <c r="S49" s="9"/>
      <c r="T49" s="9"/>
      <c r="U49" s="9"/>
      <c r="V49" s="9" t="s">
        <v>325</v>
      </c>
    </row>
    <row r="50" customFormat="false" ht="15" hidden="false" customHeight="true" outlineLevel="0" collapsed="false">
      <c r="A50" s="10" t="s">
        <v>1599</v>
      </c>
      <c r="B50" s="5" t="s">
        <v>1600</v>
      </c>
      <c r="C50" s="5" t="s">
        <v>1601</v>
      </c>
      <c r="D50" s="5" t="s">
        <v>328</v>
      </c>
      <c r="E50" s="5"/>
      <c r="F50" s="5" t="s">
        <v>1362</v>
      </c>
      <c r="G50" s="5"/>
      <c r="H50" s="5"/>
      <c r="I50" s="5"/>
      <c r="J50" s="5"/>
      <c r="K50" s="5"/>
      <c r="L50" s="5" t="s">
        <v>329</v>
      </c>
      <c r="M50" s="5"/>
      <c r="N50" s="5" t="s">
        <v>1602</v>
      </c>
      <c r="O50" s="5"/>
      <c r="P50" s="5"/>
      <c r="Q50" s="5"/>
      <c r="R50" s="5"/>
      <c r="S50" s="5"/>
      <c r="T50" s="5"/>
      <c r="U50" s="5"/>
      <c r="V50" s="5" t="s">
        <v>1603</v>
      </c>
    </row>
    <row r="51" customFormat="false" ht="15" hidden="false" customHeight="true" outlineLevel="0" collapsed="false">
      <c r="A51" s="10" t="s">
        <v>1604</v>
      </c>
      <c r="B51" s="5" t="s">
        <v>595</v>
      </c>
      <c r="C51" s="5" t="s">
        <v>595</v>
      </c>
      <c r="D51" s="5" t="s">
        <v>328</v>
      </c>
      <c r="E51" s="5"/>
      <c r="F51" s="5" t="s">
        <v>1584</v>
      </c>
      <c r="G51" s="5"/>
      <c r="H51" s="30" t="n">
        <v>400000</v>
      </c>
      <c r="I51" s="30" t="n">
        <v>400000</v>
      </c>
      <c r="J51" s="5"/>
      <c r="K51" s="5"/>
      <c r="L51" s="5" t="s">
        <v>329</v>
      </c>
      <c r="M51" s="5"/>
      <c r="N51" s="5" t="s">
        <v>1605</v>
      </c>
      <c r="O51" s="5"/>
      <c r="P51" s="5"/>
      <c r="Q51" s="5"/>
      <c r="R51" s="5"/>
      <c r="S51" s="5"/>
      <c r="T51" s="5"/>
      <c r="U51" s="5"/>
      <c r="V51" s="5" t="s">
        <v>1603</v>
      </c>
    </row>
    <row r="52" customFormat="false" ht="15" hidden="false" customHeight="true" outlineLevel="0" collapsed="false">
      <c r="A52" s="10" t="s">
        <v>1606</v>
      </c>
      <c r="B52" s="5" t="s">
        <v>595</v>
      </c>
      <c r="C52" s="5" t="s">
        <v>595</v>
      </c>
      <c r="D52" s="5" t="s">
        <v>1505</v>
      </c>
      <c r="E52" s="5"/>
      <c r="F52" s="5" t="s">
        <v>1607</v>
      </c>
      <c r="G52" s="5"/>
      <c r="H52" s="30" t="n">
        <v>300000</v>
      </c>
      <c r="I52" s="30" t="n">
        <v>300000</v>
      </c>
      <c r="J52" s="5"/>
      <c r="K52" s="5"/>
      <c r="L52" s="5" t="s">
        <v>329</v>
      </c>
      <c r="M52" s="5"/>
      <c r="N52" s="5"/>
      <c r="O52" s="5"/>
      <c r="P52" s="5"/>
      <c r="Q52" s="5"/>
      <c r="R52" s="5"/>
      <c r="S52" s="5"/>
      <c r="T52" s="5"/>
      <c r="U52" s="5"/>
      <c r="V52" s="5" t="s">
        <v>1603</v>
      </c>
    </row>
    <row r="53" customFormat="false" ht="15" hidden="false" customHeight="true" outlineLevel="0" collapsed="false">
      <c r="A53" s="10" t="s">
        <v>1608</v>
      </c>
      <c r="B53" s="5" t="s">
        <v>1579</v>
      </c>
      <c r="C53" s="5" t="s">
        <v>81</v>
      </c>
      <c r="D53" s="5" t="s">
        <v>784</v>
      </c>
      <c r="E53" s="5"/>
      <c r="F53" s="5" t="s">
        <v>1609</v>
      </c>
      <c r="G53" s="5"/>
      <c r="H53" s="5"/>
      <c r="I53" s="5"/>
      <c r="J53" s="5"/>
      <c r="K53" s="5"/>
      <c r="L53" s="5" t="s">
        <v>786</v>
      </c>
      <c r="M53" s="5"/>
      <c r="N53" s="5" t="s">
        <v>1610</v>
      </c>
      <c r="O53" s="5"/>
      <c r="P53" s="5"/>
      <c r="Q53" s="5"/>
      <c r="R53" s="5"/>
      <c r="S53" s="5"/>
      <c r="T53" s="5"/>
      <c r="U53" s="5"/>
      <c r="V53" s="5" t="s">
        <v>1564</v>
      </c>
    </row>
    <row r="54" customFormat="false" ht="15" hidden="false" customHeight="true" outlineLevel="0" collapsed="false">
      <c r="A54" s="10" t="s">
        <v>1611</v>
      </c>
      <c r="B54" s="5" t="s">
        <v>1612</v>
      </c>
      <c r="C54" s="5" t="s">
        <v>84</v>
      </c>
      <c r="D54" s="5" t="s">
        <v>784</v>
      </c>
      <c r="E54" s="5"/>
      <c r="F54" s="5" t="s">
        <v>1024</v>
      </c>
      <c r="G54" s="5"/>
      <c r="H54" s="5"/>
      <c r="I54" s="5"/>
      <c r="J54" s="30" t="n">
        <v>5190000</v>
      </c>
      <c r="K54" s="5"/>
      <c r="L54" s="5" t="s">
        <v>786</v>
      </c>
      <c r="M54" s="5"/>
      <c r="N54" s="5" t="s">
        <v>1613</v>
      </c>
      <c r="O54" s="5"/>
      <c r="P54" s="5"/>
      <c r="Q54" s="5"/>
      <c r="R54" s="5"/>
      <c r="S54" s="5"/>
      <c r="T54" s="5"/>
      <c r="U54" s="5"/>
      <c r="V54" s="5" t="s">
        <v>1565</v>
      </c>
    </row>
    <row r="55" customFormat="false" ht="27.75" hidden="false" customHeight="true" outlineLevel="0" collapsed="false">
      <c r="A55" s="10" t="s">
        <v>1614</v>
      </c>
      <c r="B55" s="5" t="s">
        <v>268</v>
      </c>
      <c r="C55" s="5" t="s">
        <v>425</v>
      </c>
      <c r="D55" s="5" t="s">
        <v>1049</v>
      </c>
      <c r="E55" s="5"/>
      <c r="F55" s="5" t="s">
        <v>1615</v>
      </c>
      <c r="G55" s="5"/>
      <c r="H55" s="30" t="n">
        <v>1500000</v>
      </c>
      <c r="I55" s="5"/>
      <c r="J55" s="30" t="n">
        <v>8300000</v>
      </c>
      <c r="K55" s="30" t="n">
        <v>1000</v>
      </c>
      <c r="L55" s="5" t="s">
        <v>341</v>
      </c>
      <c r="M55" s="5"/>
      <c r="N55" s="5" t="s">
        <v>1616</v>
      </c>
      <c r="O55" s="5"/>
      <c r="P55" s="5"/>
      <c r="Q55" s="5"/>
      <c r="R55" s="5"/>
      <c r="S55" s="5"/>
      <c r="T55" s="5"/>
      <c r="U55" s="5"/>
      <c r="V55" s="5" t="s">
        <v>1617</v>
      </c>
    </row>
    <row r="57" customFormat="false" ht="18" hidden="false" customHeight="true" outlineLevel="0" collapsed="false">
      <c r="A57" s="6" t="s">
        <v>433</v>
      </c>
      <c r="B57" s="6"/>
      <c r="C57" s="6"/>
      <c r="D57" s="6"/>
      <c r="E57" s="6"/>
      <c r="F57" s="6"/>
      <c r="G57" s="6"/>
      <c r="H57" s="6"/>
      <c r="I57" s="6"/>
      <c r="J57" s="6"/>
      <c r="K57" s="6"/>
      <c r="L57" s="6"/>
      <c r="M57" s="6"/>
      <c r="N57" s="6"/>
      <c r="O57" s="6"/>
      <c r="P57" s="6"/>
      <c r="Q57" s="6"/>
      <c r="R57" s="6"/>
      <c r="S57" s="6"/>
      <c r="T57" s="6"/>
      <c r="U57" s="6"/>
      <c r="V57" s="6"/>
    </row>
    <row r="58" customFormat="false" ht="15" hidden="false" customHeight="true" outlineLevel="0" collapsed="false">
      <c r="A58" s="9" t="s">
        <v>434</v>
      </c>
      <c r="B58" s="9" t="s">
        <v>435</v>
      </c>
      <c r="C58" s="9"/>
      <c r="D58" s="9" t="s">
        <v>70</v>
      </c>
      <c r="E58" s="9"/>
      <c r="F58" s="9" t="s">
        <v>436</v>
      </c>
      <c r="G58" s="9"/>
      <c r="H58" s="9"/>
      <c r="I58" s="9"/>
      <c r="J58" s="9"/>
      <c r="K58" s="9"/>
      <c r="L58" s="9" t="s">
        <v>437</v>
      </c>
      <c r="M58" s="9"/>
      <c r="N58" s="9"/>
      <c r="O58" s="9" t="s">
        <v>438</v>
      </c>
      <c r="P58" s="9" t="s">
        <v>171</v>
      </c>
      <c r="Q58" s="9"/>
      <c r="R58" s="9"/>
      <c r="S58" s="9"/>
      <c r="T58" s="9"/>
      <c r="U58" s="9"/>
      <c r="V58" s="9" t="s">
        <v>260</v>
      </c>
    </row>
    <row r="59" customFormat="false" ht="15" hidden="false" customHeight="true" outlineLevel="0" collapsed="false">
      <c r="A59" s="10" t="s">
        <v>1618</v>
      </c>
      <c r="B59" s="5" t="s">
        <v>461</v>
      </c>
      <c r="C59" s="5"/>
      <c r="D59" s="5" t="s">
        <v>1447</v>
      </c>
      <c r="E59" s="5"/>
      <c r="F59" s="5" t="s">
        <v>1619</v>
      </c>
      <c r="G59" s="5"/>
      <c r="H59" s="5"/>
      <c r="I59" s="5"/>
      <c r="J59" s="5"/>
      <c r="K59" s="5"/>
      <c r="L59" s="5" t="s">
        <v>1620</v>
      </c>
      <c r="M59" s="5"/>
      <c r="N59" s="5"/>
      <c r="O59" s="5" t="s">
        <v>1621</v>
      </c>
      <c r="P59" s="5"/>
      <c r="Q59" s="5"/>
      <c r="R59" s="5"/>
      <c r="S59" s="5"/>
      <c r="T59" s="5"/>
      <c r="U59" s="5"/>
      <c r="V59" s="5" t="s">
        <v>658</v>
      </c>
    </row>
    <row r="60" customFormat="false" ht="15" hidden="false" customHeight="true" outlineLevel="0" collapsed="false">
      <c r="A60" s="10" t="s">
        <v>1622</v>
      </c>
      <c r="B60" s="5" t="s">
        <v>461</v>
      </c>
      <c r="C60" s="5"/>
      <c r="D60" s="5" t="s">
        <v>1623</v>
      </c>
      <c r="E60" s="5"/>
      <c r="F60" s="5" t="s">
        <v>1624</v>
      </c>
      <c r="G60" s="5"/>
      <c r="H60" s="5"/>
      <c r="I60" s="5"/>
      <c r="J60" s="5"/>
      <c r="K60" s="5"/>
      <c r="L60" s="5" t="s">
        <v>121</v>
      </c>
      <c r="M60" s="5"/>
      <c r="N60" s="5"/>
      <c r="O60" s="5" t="s">
        <v>1625</v>
      </c>
      <c r="P60" s="5"/>
      <c r="Q60" s="5"/>
      <c r="R60" s="5"/>
      <c r="S60" s="5"/>
      <c r="T60" s="5"/>
      <c r="U60" s="5"/>
      <c r="V60" s="5" t="s">
        <v>658</v>
      </c>
    </row>
    <row r="61" customFormat="false" ht="15" hidden="false" customHeight="true" outlineLevel="0" collapsed="false">
      <c r="A61" s="10" t="s">
        <v>1626</v>
      </c>
      <c r="B61" s="5" t="s">
        <v>447</v>
      </c>
      <c r="C61" s="5"/>
      <c r="D61" s="5" t="s">
        <v>1464</v>
      </c>
      <c r="E61" s="5"/>
      <c r="F61" s="5" t="s">
        <v>1627</v>
      </c>
      <c r="G61" s="5"/>
      <c r="H61" s="5"/>
      <c r="I61" s="5"/>
      <c r="J61" s="5"/>
      <c r="K61" s="5"/>
      <c r="L61" s="5" t="s">
        <v>1362</v>
      </c>
      <c r="M61" s="5"/>
      <c r="N61" s="5"/>
      <c r="O61" s="5" t="s">
        <v>1057</v>
      </c>
      <c r="P61" s="5" t="s">
        <v>1628</v>
      </c>
      <c r="Q61" s="5"/>
      <c r="R61" s="5"/>
      <c r="S61" s="5"/>
      <c r="T61" s="5"/>
      <c r="U61" s="5"/>
      <c r="V61" s="5" t="s">
        <v>1629</v>
      </c>
    </row>
    <row r="62" customFormat="false" ht="15" hidden="false" customHeight="true" outlineLevel="0" collapsed="false">
      <c r="A62" s="10" t="s">
        <v>1630</v>
      </c>
      <c r="B62" s="5" t="s">
        <v>461</v>
      </c>
      <c r="C62" s="5"/>
      <c r="D62" s="5" t="s">
        <v>1447</v>
      </c>
      <c r="E62" s="5"/>
      <c r="F62" s="5" t="s">
        <v>1631</v>
      </c>
      <c r="G62" s="5"/>
      <c r="H62" s="5"/>
      <c r="I62" s="5"/>
      <c r="J62" s="5"/>
      <c r="K62" s="5"/>
      <c r="L62" s="5" t="s">
        <v>1362</v>
      </c>
      <c r="M62" s="5"/>
      <c r="N62" s="5"/>
      <c r="O62" s="5" t="s">
        <v>1228</v>
      </c>
      <c r="P62" s="5" t="s">
        <v>1632</v>
      </c>
      <c r="Q62" s="5"/>
      <c r="R62" s="5"/>
      <c r="S62" s="5"/>
      <c r="T62" s="5"/>
      <c r="U62" s="5"/>
      <c r="V62" s="5" t="s">
        <v>1629</v>
      </c>
    </row>
    <row r="63" customFormat="false" ht="15" hidden="false" customHeight="true" outlineLevel="0" collapsed="false">
      <c r="A63" s="10" t="s">
        <v>1633</v>
      </c>
      <c r="B63" s="5" t="s">
        <v>1209</v>
      </c>
      <c r="C63" s="5"/>
      <c r="D63" s="5" t="s">
        <v>1634</v>
      </c>
      <c r="E63" s="5"/>
      <c r="F63" s="5" t="s">
        <v>1635</v>
      </c>
      <c r="G63" s="5"/>
      <c r="H63" s="5"/>
      <c r="I63" s="5"/>
      <c r="J63" s="5"/>
      <c r="K63" s="5"/>
      <c r="L63" s="5" t="s">
        <v>121</v>
      </c>
      <c r="M63" s="5"/>
      <c r="N63" s="5"/>
      <c r="O63" s="5" t="s">
        <v>301</v>
      </c>
      <c r="P63" s="5" t="s">
        <v>1636</v>
      </c>
      <c r="Q63" s="5"/>
      <c r="R63" s="5"/>
      <c r="S63" s="5"/>
      <c r="T63" s="5"/>
      <c r="U63" s="5"/>
      <c r="V63" s="5" t="s">
        <v>1637</v>
      </c>
    </row>
    <row r="65" customFormat="false" ht="18" hidden="false" customHeight="true" outlineLevel="0" collapsed="false">
      <c r="A65" s="6" t="s">
        <v>468</v>
      </c>
      <c r="B65" s="6"/>
      <c r="C65" s="6"/>
      <c r="D65" s="6"/>
      <c r="E65" s="6"/>
      <c r="F65" s="6"/>
      <c r="G65" s="6"/>
      <c r="H65" s="6"/>
      <c r="I65" s="6"/>
      <c r="J65" s="6"/>
      <c r="K65" s="6"/>
      <c r="L65" s="6"/>
      <c r="M65" s="6"/>
      <c r="N65" s="6"/>
      <c r="O65" s="6"/>
      <c r="P65" s="6"/>
      <c r="Q65" s="6"/>
      <c r="R65" s="6"/>
      <c r="S65" s="6"/>
      <c r="T65" s="6"/>
      <c r="U65" s="6"/>
      <c r="V65" s="6"/>
    </row>
    <row r="66" customFormat="false" ht="40.5" hidden="false" customHeight="true" outlineLevel="0" collapsed="false">
      <c r="A66" s="9" t="s">
        <v>469</v>
      </c>
      <c r="B66" s="9" t="s">
        <v>251</v>
      </c>
      <c r="C66" s="9"/>
      <c r="D66" s="9" t="s">
        <v>470</v>
      </c>
      <c r="E66" s="9" t="s">
        <v>471</v>
      </c>
      <c r="F66" s="9" t="s">
        <v>324</v>
      </c>
      <c r="G66" s="9" t="s">
        <v>472</v>
      </c>
      <c r="H66" s="9" t="s">
        <v>473</v>
      </c>
      <c r="I66" s="9"/>
      <c r="J66" s="9" t="s">
        <v>171</v>
      </c>
      <c r="K66" s="9"/>
      <c r="L66" s="9"/>
      <c r="M66" s="9"/>
      <c r="N66" s="9"/>
      <c r="O66" s="9"/>
      <c r="P66" s="9"/>
      <c r="Q66" s="9"/>
      <c r="R66" s="9"/>
      <c r="S66" s="9"/>
      <c r="T66" s="9"/>
      <c r="U66" s="9"/>
      <c r="V66" s="9" t="s">
        <v>325</v>
      </c>
    </row>
    <row r="67" customFormat="false" ht="27.75" hidden="false" customHeight="true" outlineLevel="0" collapsed="false">
      <c r="A67" s="10" t="s">
        <v>1638</v>
      </c>
      <c r="B67" s="5" t="s">
        <v>1639</v>
      </c>
      <c r="C67" s="5"/>
      <c r="D67" s="30" t="n">
        <v>1500000</v>
      </c>
      <c r="E67" s="5" t="s">
        <v>1640</v>
      </c>
      <c r="F67" s="5"/>
      <c r="G67" s="5" t="s">
        <v>484</v>
      </c>
      <c r="H67" s="5" t="s">
        <v>1641</v>
      </c>
      <c r="I67" s="5"/>
      <c r="J67" s="5" t="s">
        <v>1642</v>
      </c>
      <c r="K67" s="5"/>
      <c r="L67" s="5"/>
      <c r="M67" s="5"/>
      <c r="N67" s="5"/>
      <c r="O67" s="5"/>
      <c r="P67" s="5"/>
      <c r="Q67" s="5"/>
      <c r="R67" s="5"/>
      <c r="S67" s="5"/>
      <c r="T67" s="5"/>
      <c r="U67" s="5"/>
      <c r="V67" s="5" t="s">
        <v>1617</v>
      </c>
    </row>
    <row r="68" customFormat="false" ht="15" hidden="false" customHeight="true" outlineLevel="0" collapsed="false">
      <c r="A68" s="10" t="s">
        <v>1643</v>
      </c>
      <c r="B68" s="5" t="s">
        <v>1362</v>
      </c>
      <c r="C68" s="5"/>
      <c r="D68" s="5"/>
      <c r="E68" s="5" t="s">
        <v>425</v>
      </c>
      <c r="F68" s="5"/>
      <c r="G68" s="5" t="s">
        <v>498</v>
      </c>
      <c r="H68" s="5" t="s">
        <v>300</v>
      </c>
      <c r="I68" s="5"/>
      <c r="J68" s="5" t="s">
        <v>1644</v>
      </c>
      <c r="K68" s="5"/>
      <c r="L68" s="5"/>
      <c r="M68" s="5"/>
      <c r="N68" s="5"/>
      <c r="O68" s="5"/>
      <c r="P68" s="5"/>
      <c r="Q68" s="5"/>
      <c r="R68" s="5"/>
      <c r="S68" s="5"/>
      <c r="T68" s="5"/>
      <c r="U68" s="5"/>
      <c r="V68" s="5" t="s">
        <v>1617</v>
      </c>
    </row>
    <row r="69" customFormat="false" ht="15" hidden="false" customHeight="true" outlineLevel="0" collapsed="false">
      <c r="A69" s="10" t="s">
        <v>1645</v>
      </c>
      <c r="B69" s="5" t="s">
        <v>1646</v>
      </c>
      <c r="C69" s="5"/>
      <c r="D69" s="5"/>
      <c r="E69" s="5" t="s">
        <v>425</v>
      </c>
      <c r="F69" s="30" t="n">
        <v>1000</v>
      </c>
      <c r="G69" s="5" t="s">
        <v>498</v>
      </c>
      <c r="H69" s="5" t="s">
        <v>1647</v>
      </c>
      <c r="I69" s="5"/>
      <c r="J69" s="5" t="s">
        <v>1648</v>
      </c>
      <c r="K69" s="5"/>
      <c r="L69" s="5"/>
      <c r="M69" s="5"/>
      <c r="N69" s="5"/>
      <c r="O69" s="5"/>
      <c r="P69" s="5"/>
      <c r="Q69" s="5"/>
      <c r="R69" s="5"/>
      <c r="S69" s="5"/>
      <c r="T69" s="5"/>
      <c r="U69" s="5"/>
      <c r="V69" s="5" t="s">
        <v>1617</v>
      </c>
    </row>
    <row r="71" customFormat="false" ht="18" hidden="false" customHeight="true" outlineLevel="0" collapsed="false">
      <c r="A71" s="6" t="s">
        <v>502</v>
      </c>
      <c r="B71" s="6"/>
      <c r="C71" s="6"/>
      <c r="D71" s="6"/>
      <c r="E71" s="6"/>
      <c r="F71" s="6"/>
      <c r="G71" s="6"/>
      <c r="H71" s="6"/>
      <c r="I71" s="6"/>
      <c r="J71" s="6"/>
      <c r="K71" s="6"/>
      <c r="L71" s="6"/>
      <c r="M71" s="6"/>
      <c r="N71" s="6"/>
      <c r="O71" s="6"/>
      <c r="P71" s="6"/>
      <c r="Q71" s="6"/>
      <c r="R71" s="6"/>
      <c r="S71" s="6"/>
      <c r="T71" s="6"/>
      <c r="U71" s="6"/>
      <c r="V71" s="6"/>
    </row>
    <row r="72" customFormat="false" ht="15" hidden="false" customHeight="true" outlineLevel="0" collapsed="false">
      <c r="A72" s="10" t="s">
        <v>1649</v>
      </c>
      <c r="B72" s="10"/>
      <c r="C72" s="10"/>
      <c r="D72" s="10"/>
      <c r="E72" s="10"/>
      <c r="F72" s="10"/>
      <c r="G72" s="10"/>
      <c r="H72" s="10"/>
      <c r="I72" s="10"/>
      <c r="J72" s="10"/>
      <c r="K72" s="10"/>
      <c r="L72" s="10"/>
      <c r="M72" s="10"/>
      <c r="N72" s="10"/>
      <c r="O72" s="10"/>
      <c r="P72" s="10"/>
      <c r="Q72" s="10"/>
      <c r="R72" s="10"/>
      <c r="S72" s="10"/>
      <c r="T72" s="10"/>
      <c r="U72" s="10"/>
      <c r="V72" s="10"/>
    </row>
    <row r="73" customFormat="false" ht="15" hidden="false" customHeight="true" outlineLevel="0" collapsed="false">
      <c r="A73" s="10" t="s">
        <v>1650</v>
      </c>
      <c r="B73" s="10"/>
      <c r="C73" s="10"/>
      <c r="D73" s="10"/>
      <c r="E73" s="10"/>
      <c r="F73" s="10"/>
      <c r="G73" s="10"/>
      <c r="H73" s="10"/>
      <c r="I73" s="10"/>
      <c r="J73" s="10"/>
      <c r="K73" s="10"/>
      <c r="L73" s="10"/>
      <c r="M73" s="10"/>
      <c r="N73" s="10"/>
      <c r="O73" s="10"/>
      <c r="P73" s="10"/>
      <c r="Q73" s="10"/>
      <c r="R73" s="10"/>
      <c r="S73" s="10"/>
      <c r="T73" s="10"/>
      <c r="U73" s="10"/>
      <c r="V73" s="10"/>
    </row>
    <row r="74" customFormat="false" ht="15" hidden="false" customHeight="true" outlineLevel="0" collapsed="false">
      <c r="A74" s="10" t="s">
        <v>1651</v>
      </c>
      <c r="B74" s="10"/>
      <c r="C74" s="10"/>
      <c r="D74" s="10"/>
      <c r="E74" s="10"/>
      <c r="F74" s="10"/>
      <c r="G74" s="10"/>
      <c r="H74" s="10"/>
      <c r="I74" s="10"/>
      <c r="J74" s="10"/>
      <c r="K74" s="10"/>
      <c r="L74" s="10"/>
      <c r="M74" s="10"/>
      <c r="N74" s="10"/>
      <c r="O74" s="10"/>
      <c r="P74" s="10"/>
      <c r="Q74" s="10"/>
      <c r="R74" s="10"/>
      <c r="S74" s="10"/>
      <c r="T74" s="10"/>
      <c r="U74" s="10"/>
      <c r="V74" s="10"/>
    </row>
  </sheetData>
  <mergeCells count="169">
    <mergeCell ref="A3:V3"/>
    <mergeCell ref="A4:V4"/>
    <mergeCell ref="A5:B5"/>
    <mergeCell ref="C5:E5"/>
    <mergeCell ref="F5:V5"/>
    <mergeCell ref="A6:B6"/>
    <mergeCell ref="C6:E6"/>
    <mergeCell ref="F6:V6"/>
    <mergeCell ref="A7:B7"/>
    <mergeCell ref="C7:E7"/>
    <mergeCell ref="F7:V7"/>
    <mergeCell ref="A8:B8"/>
    <mergeCell ref="C8:E8"/>
    <mergeCell ref="F8:V8"/>
    <mergeCell ref="A9:B9"/>
    <mergeCell ref="C9:E9"/>
    <mergeCell ref="F9:V9"/>
    <mergeCell ref="A10:B10"/>
    <mergeCell ref="C10:E10"/>
    <mergeCell ref="F10:V10"/>
    <mergeCell ref="A11:B11"/>
    <mergeCell ref="C11:E11"/>
    <mergeCell ref="F11:V11"/>
    <mergeCell ref="A12:B12"/>
    <mergeCell ref="C12:E12"/>
    <mergeCell ref="F12:V12"/>
    <mergeCell ref="A13:B13"/>
    <mergeCell ref="C13:E13"/>
    <mergeCell ref="F13:V13"/>
    <mergeCell ref="A14:B14"/>
    <mergeCell ref="C14:E14"/>
    <mergeCell ref="F14:V14"/>
    <mergeCell ref="A15:B15"/>
    <mergeCell ref="C15:V15"/>
    <mergeCell ref="A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A33:V33"/>
    <mergeCell ref="T34:V34"/>
    <mergeCell ref="T35:V35"/>
    <mergeCell ref="T36:V36"/>
    <mergeCell ref="T37:V37"/>
    <mergeCell ref="T38:V38"/>
    <mergeCell ref="A40:V40"/>
    <mergeCell ref="B41:C41"/>
    <mergeCell ref="D41:E41"/>
    <mergeCell ref="G41:H41"/>
    <mergeCell ref="I41:L41"/>
    <mergeCell ref="M41:N41"/>
    <mergeCell ref="S41:U41"/>
    <mergeCell ref="B42:C42"/>
    <mergeCell ref="D42:E42"/>
    <mergeCell ref="G42:H42"/>
    <mergeCell ref="I42:L42"/>
    <mergeCell ref="M42:N42"/>
    <mergeCell ref="S42:U42"/>
    <mergeCell ref="B43:C43"/>
    <mergeCell ref="D43:E43"/>
    <mergeCell ref="G43:H43"/>
    <mergeCell ref="I43:L43"/>
    <mergeCell ref="M43:N43"/>
    <mergeCell ref="S43:U43"/>
    <mergeCell ref="B44:C44"/>
    <mergeCell ref="D44:E44"/>
    <mergeCell ref="G44:H44"/>
    <mergeCell ref="I44:L44"/>
    <mergeCell ref="M44:N44"/>
    <mergeCell ref="S44:U44"/>
    <mergeCell ref="B45:C45"/>
    <mergeCell ref="D45:E45"/>
    <mergeCell ref="G45:H45"/>
    <mergeCell ref="I45:L45"/>
    <mergeCell ref="M45:N45"/>
    <mergeCell ref="S45:U45"/>
    <mergeCell ref="B46:C46"/>
    <mergeCell ref="D46:E46"/>
    <mergeCell ref="G46:H46"/>
    <mergeCell ref="I46:L46"/>
    <mergeCell ref="M46:N46"/>
    <mergeCell ref="S46:U46"/>
    <mergeCell ref="A48:V48"/>
    <mergeCell ref="D49:E49"/>
    <mergeCell ref="F49:G49"/>
    <mergeCell ref="L49:M49"/>
    <mergeCell ref="N49:U49"/>
    <mergeCell ref="D50:E50"/>
    <mergeCell ref="F50:G50"/>
    <mergeCell ref="L50:M50"/>
    <mergeCell ref="N50:U50"/>
    <mergeCell ref="D51:E51"/>
    <mergeCell ref="F51:G51"/>
    <mergeCell ref="L51:M51"/>
    <mergeCell ref="N51:U51"/>
    <mergeCell ref="D52:E52"/>
    <mergeCell ref="F52:G52"/>
    <mergeCell ref="L52:M52"/>
    <mergeCell ref="N52:U52"/>
    <mergeCell ref="D53:E53"/>
    <mergeCell ref="F53:G53"/>
    <mergeCell ref="L53:M53"/>
    <mergeCell ref="N53:U53"/>
    <mergeCell ref="D54:E54"/>
    <mergeCell ref="F54:G54"/>
    <mergeCell ref="L54:M54"/>
    <mergeCell ref="N54:U54"/>
    <mergeCell ref="D55:E55"/>
    <mergeCell ref="F55:G55"/>
    <mergeCell ref="L55:M55"/>
    <mergeCell ref="N55:U55"/>
    <mergeCell ref="A57:V57"/>
    <mergeCell ref="B58:C58"/>
    <mergeCell ref="D58:E58"/>
    <mergeCell ref="F58:K58"/>
    <mergeCell ref="L58:N58"/>
    <mergeCell ref="P58:U58"/>
    <mergeCell ref="B59:C59"/>
    <mergeCell ref="D59:E59"/>
    <mergeCell ref="F59:K59"/>
    <mergeCell ref="L59:N59"/>
    <mergeCell ref="P59:U59"/>
    <mergeCell ref="B60:C60"/>
    <mergeCell ref="D60:E60"/>
    <mergeCell ref="F60:K60"/>
    <mergeCell ref="L60:N60"/>
    <mergeCell ref="P60:U60"/>
    <mergeCell ref="B61:C61"/>
    <mergeCell ref="D61:E61"/>
    <mergeCell ref="F61:K61"/>
    <mergeCell ref="L61:N61"/>
    <mergeCell ref="P61:U61"/>
    <mergeCell ref="B62:C62"/>
    <mergeCell ref="D62:E62"/>
    <mergeCell ref="F62:K62"/>
    <mergeCell ref="L62:N62"/>
    <mergeCell ref="P62:U62"/>
    <mergeCell ref="B63:C63"/>
    <mergeCell ref="D63:E63"/>
    <mergeCell ref="F63:K63"/>
    <mergeCell ref="L63:N63"/>
    <mergeCell ref="P63:U63"/>
    <mergeCell ref="A65:V65"/>
    <mergeCell ref="B66:C66"/>
    <mergeCell ref="H66:I66"/>
    <mergeCell ref="J66:U66"/>
    <mergeCell ref="B67:C67"/>
    <mergeCell ref="H67:I67"/>
    <mergeCell ref="J67:U67"/>
    <mergeCell ref="B68:C68"/>
    <mergeCell ref="H68:I68"/>
    <mergeCell ref="J68:U68"/>
    <mergeCell ref="B69:C69"/>
    <mergeCell ref="H69:I69"/>
    <mergeCell ref="J69:U69"/>
    <mergeCell ref="A71:V71"/>
    <mergeCell ref="A72:V72"/>
    <mergeCell ref="A73:V73"/>
    <mergeCell ref="A74:V74"/>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1" min="3" style="0" width="11"/>
    <col collapsed="false" customWidth="true" hidden="false" outlineLevel="0" max="22" min="22" style="0" width="36"/>
  </cols>
  <sheetData>
    <row r="1" customFormat="false" ht="18.55" hidden="false" customHeight="false" outlineLevel="0" collapsed="false">
      <c r="A1" s="1" t="s">
        <v>1652</v>
      </c>
    </row>
    <row r="2" customFormat="false" ht="15" hidden="false" customHeight="false" outlineLevel="0" collapsed="false">
      <c r="A2" s="2" t="s">
        <v>1653</v>
      </c>
    </row>
    <row r="3" customFormat="false" ht="15" hidden="false" customHeight="true" outlineLevel="0" collapsed="false">
      <c r="A3" s="23" t="s">
        <v>1654</v>
      </c>
      <c r="B3" s="23"/>
      <c r="C3" s="23"/>
      <c r="D3" s="23"/>
      <c r="E3" s="23"/>
      <c r="F3" s="23"/>
      <c r="G3" s="23"/>
      <c r="H3" s="23"/>
      <c r="I3" s="23"/>
      <c r="J3" s="23"/>
      <c r="K3" s="23"/>
      <c r="L3" s="23"/>
      <c r="M3" s="23"/>
      <c r="N3" s="23"/>
      <c r="O3" s="23"/>
      <c r="P3" s="23"/>
      <c r="Q3" s="23"/>
      <c r="R3" s="23"/>
      <c r="S3" s="23"/>
      <c r="T3" s="23"/>
      <c r="U3" s="23"/>
      <c r="V3" s="23"/>
    </row>
    <row r="4" customFormat="false" ht="18" hidden="false" customHeight="true" outlineLevel="0" collapsed="false">
      <c r="A4" s="6" t="s">
        <v>151</v>
      </c>
      <c r="B4" s="6"/>
      <c r="C4" s="6"/>
      <c r="D4" s="6"/>
      <c r="E4" s="6"/>
      <c r="F4" s="6"/>
      <c r="G4" s="6"/>
      <c r="H4" s="6"/>
      <c r="I4" s="6"/>
      <c r="J4" s="6"/>
      <c r="K4" s="6"/>
      <c r="L4" s="6"/>
      <c r="M4" s="6"/>
      <c r="N4" s="6"/>
      <c r="O4" s="6"/>
      <c r="P4" s="6"/>
      <c r="Q4" s="6"/>
      <c r="R4" s="6"/>
      <c r="S4" s="6"/>
      <c r="T4" s="6"/>
      <c r="U4" s="6"/>
      <c r="V4" s="6"/>
    </row>
    <row r="5" customFormat="false" ht="15" hidden="false" customHeight="true" outlineLevel="0" collapsed="false">
      <c r="A5" s="4" t="s">
        <v>152</v>
      </c>
      <c r="B5" s="4"/>
      <c r="C5" s="24" t="n">
        <v>1460000</v>
      </c>
      <c r="D5" s="24"/>
      <c r="E5" s="24"/>
      <c r="F5" s="25" t="s">
        <v>1655</v>
      </c>
      <c r="G5" s="25"/>
      <c r="H5" s="25"/>
      <c r="I5" s="25"/>
      <c r="J5" s="25"/>
      <c r="K5" s="25"/>
      <c r="L5" s="25"/>
      <c r="M5" s="25"/>
      <c r="N5" s="25"/>
      <c r="O5" s="25"/>
      <c r="P5" s="25"/>
      <c r="Q5" s="25"/>
      <c r="R5" s="25"/>
      <c r="S5" s="25"/>
      <c r="T5" s="25"/>
      <c r="U5" s="25"/>
      <c r="V5" s="25"/>
    </row>
    <row r="6" customFormat="false" ht="15" hidden="false" customHeight="true" outlineLevel="0" collapsed="false">
      <c r="A6" s="4" t="s">
        <v>110</v>
      </c>
      <c r="B6" s="4"/>
      <c r="C6" s="5" t="s">
        <v>1656</v>
      </c>
      <c r="D6" s="5"/>
      <c r="E6" s="5"/>
      <c r="F6" s="25"/>
      <c r="G6" s="25"/>
      <c r="H6" s="25"/>
      <c r="I6" s="25"/>
      <c r="J6" s="25"/>
      <c r="K6" s="25"/>
      <c r="L6" s="25"/>
      <c r="M6" s="25"/>
      <c r="N6" s="25"/>
      <c r="O6" s="25"/>
      <c r="P6" s="25"/>
      <c r="Q6" s="25"/>
      <c r="R6" s="25"/>
      <c r="S6" s="25"/>
      <c r="T6" s="25"/>
      <c r="U6" s="25"/>
      <c r="V6" s="25"/>
    </row>
    <row r="7" customFormat="false" ht="27.75" hidden="false" customHeight="true" outlineLevel="0" collapsed="false">
      <c r="A7" s="4" t="s">
        <v>155</v>
      </c>
      <c r="B7" s="4"/>
      <c r="C7" s="5" t="s">
        <v>1657</v>
      </c>
      <c r="D7" s="5"/>
      <c r="E7" s="5"/>
      <c r="F7" s="25"/>
      <c r="G7" s="25"/>
      <c r="H7" s="25"/>
      <c r="I7" s="25"/>
      <c r="J7" s="25"/>
      <c r="K7" s="25"/>
      <c r="L7" s="25"/>
      <c r="M7" s="25"/>
      <c r="N7" s="25"/>
      <c r="O7" s="25"/>
      <c r="P7" s="25"/>
      <c r="Q7" s="25"/>
      <c r="R7" s="25"/>
      <c r="S7" s="25"/>
      <c r="T7" s="25"/>
      <c r="U7" s="25"/>
      <c r="V7" s="25"/>
    </row>
    <row r="8" customFormat="false" ht="27.75" hidden="false" customHeight="true" outlineLevel="0" collapsed="false">
      <c r="A8" s="4" t="s">
        <v>111</v>
      </c>
      <c r="B8" s="4"/>
      <c r="C8" s="5" t="s">
        <v>1658</v>
      </c>
      <c r="D8" s="5"/>
      <c r="E8" s="5"/>
      <c r="F8" s="25"/>
      <c r="G8" s="25"/>
      <c r="H8" s="25"/>
      <c r="I8" s="25"/>
      <c r="J8" s="25"/>
      <c r="K8" s="25"/>
      <c r="L8" s="25"/>
      <c r="M8" s="25"/>
      <c r="N8" s="25"/>
      <c r="O8" s="25"/>
      <c r="P8" s="25"/>
      <c r="Q8" s="25"/>
      <c r="R8" s="25"/>
      <c r="S8" s="25"/>
      <c r="T8" s="25"/>
      <c r="U8" s="25"/>
      <c r="V8" s="25"/>
    </row>
    <row r="9" customFormat="false" ht="15" hidden="false" customHeight="true" outlineLevel="0" collapsed="false">
      <c r="A9" s="4" t="s">
        <v>158</v>
      </c>
      <c r="B9" s="4"/>
      <c r="C9" s="26" t="n">
        <f aca="false">IF(ISNUMBER(S22),S22,"n.d.")</f>
        <v>1238659</v>
      </c>
      <c r="D9" s="26"/>
      <c r="E9" s="26"/>
      <c r="F9" s="25" t="s">
        <v>1410</v>
      </c>
      <c r="G9" s="25"/>
      <c r="H9" s="25"/>
      <c r="I9" s="25"/>
      <c r="J9" s="25"/>
      <c r="K9" s="25"/>
      <c r="L9" s="25"/>
      <c r="M9" s="25"/>
      <c r="N9" s="25"/>
      <c r="O9" s="25"/>
      <c r="P9" s="25"/>
      <c r="Q9" s="25"/>
      <c r="R9" s="25"/>
      <c r="S9" s="25"/>
      <c r="T9" s="25"/>
      <c r="U9" s="25"/>
      <c r="V9" s="25"/>
    </row>
    <row r="10" customFormat="false" ht="27.75" hidden="false" customHeight="true" outlineLevel="0" collapsed="false">
      <c r="A10" s="4" t="s">
        <v>160</v>
      </c>
      <c r="B10" s="4"/>
      <c r="C10" s="5" t="s">
        <v>1410</v>
      </c>
      <c r="D10" s="5"/>
      <c r="E10" s="5"/>
      <c r="F10" s="25"/>
      <c r="G10" s="25"/>
      <c r="H10" s="25"/>
      <c r="I10" s="25"/>
      <c r="J10" s="25"/>
      <c r="K10" s="25"/>
      <c r="L10" s="25"/>
      <c r="M10" s="25"/>
      <c r="N10" s="25"/>
      <c r="O10" s="25"/>
      <c r="P10" s="25"/>
      <c r="Q10" s="25"/>
      <c r="R10" s="25"/>
      <c r="S10" s="25"/>
      <c r="T10" s="25"/>
      <c r="U10" s="25"/>
      <c r="V10" s="25"/>
    </row>
    <row r="11" customFormat="false" ht="15" hidden="false" customHeight="true" outlineLevel="0" collapsed="false">
      <c r="A11" s="4" t="s">
        <v>114</v>
      </c>
      <c r="B11" s="4"/>
      <c r="C11" s="27" t="n">
        <f aca="false">IFERROR(C9/S19,"n.d.")</f>
        <v>0.848396575342466</v>
      </c>
      <c r="D11" s="27"/>
      <c r="E11" s="27"/>
      <c r="F11" s="25" t="s">
        <v>161</v>
      </c>
      <c r="G11" s="25"/>
      <c r="H11" s="25"/>
      <c r="I11" s="25"/>
      <c r="J11" s="25"/>
      <c r="K11" s="25"/>
      <c r="L11" s="25"/>
      <c r="M11" s="25"/>
      <c r="N11" s="25"/>
      <c r="O11" s="25"/>
      <c r="P11" s="25"/>
      <c r="Q11" s="25"/>
      <c r="R11" s="25"/>
      <c r="S11" s="25"/>
      <c r="T11" s="25"/>
      <c r="U11" s="25"/>
      <c r="V11" s="25"/>
    </row>
    <row r="12" customFormat="false" ht="15" hidden="false" customHeight="true" outlineLevel="0" collapsed="false">
      <c r="A12" s="4" t="s">
        <v>162</v>
      </c>
      <c r="B12" s="4"/>
      <c r="C12" s="26" t="n">
        <f aca="false">S19</f>
        <v>1460000</v>
      </c>
      <c r="D12" s="26"/>
      <c r="E12" s="26"/>
      <c r="F12" s="25" t="s">
        <v>163</v>
      </c>
      <c r="G12" s="25"/>
      <c r="H12" s="25"/>
      <c r="I12" s="25"/>
      <c r="J12" s="25"/>
      <c r="K12" s="25"/>
      <c r="L12" s="25"/>
      <c r="M12" s="25"/>
      <c r="N12" s="25"/>
      <c r="O12" s="25"/>
      <c r="P12" s="25"/>
      <c r="Q12" s="25"/>
      <c r="R12" s="25"/>
      <c r="S12" s="25"/>
      <c r="T12" s="25"/>
      <c r="U12" s="25"/>
      <c r="V12" s="25"/>
    </row>
    <row r="13" customFormat="false" ht="15" hidden="false" customHeight="true" outlineLevel="0" collapsed="false">
      <c r="A13" s="4" t="s">
        <v>164</v>
      </c>
      <c r="B13" s="4"/>
      <c r="C13" s="24" t="n">
        <v>2000000</v>
      </c>
      <c r="D13" s="24"/>
      <c r="E13" s="24"/>
      <c r="F13" s="25" t="s">
        <v>1659</v>
      </c>
      <c r="G13" s="25"/>
      <c r="H13" s="25"/>
      <c r="I13" s="25"/>
      <c r="J13" s="25"/>
      <c r="K13" s="25"/>
      <c r="L13" s="25"/>
      <c r="M13" s="25"/>
      <c r="N13" s="25"/>
      <c r="O13" s="25"/>
      <c r="P13" s="25"/>
      <c r="Q13" s="25"/>
      <c r="R13" s="25"/>
      <c r="S13" s="25"/>
      <c r="T13" s="25"/>
      <c r="U13" s="25"/>
      <c r="V13" s="25"/>
    </row>
    <row r="14" customFormat="false" ht="15" hidden="false" customHeight="true" outlineLevel="0" collapsed="false">
      <c r="A14" s="4" t="s">
        <v>130</v>
      </c>
      <c r="B14" s="4"/>
      <c r="C14" s="5" t="s">
        <v>1660</v>
      </c>
      <c r="D14" s="5"/>
      <c r="E14" s="5"/>
      <c r="F14" s="25"/>
      <c r="G14" s="25"/>
      <c r="H14" s="25"/>
      <c r="I14" s="25"/>
      <c r="J14" s="25"/>
      <c r="K14" s="25"/>
      <c r="L14" s="25"/>
      <c r="M14" s="25"/>
      <c r="N14" s="25"/>
      <c r="O14" s="25"/>
      <c r="P14" s="25"/>
      <c r="Q14" s="25"/>
      <c r="R14" s="25"/>
      <c r="S14" s="25"/>
      <c r="T14" s="25"/>
      <c r="U14" s="25"/>
      <c r="V14" s="25"/>
    </row>
    <row r="15" customFormat="false" ht="20.25" hidden="false" customHeight="true" outlineLevel="0" collapsed="false">
      <c r="A15" s="4" t="s">
        <v>120</v>
      </c>
      <c r="B15" s="4"/>
      <c r="C15" s="28" t="s">
        <v>1661</v>
      </c>
      <c r="D15" s="28"/>
      <c r="E15" s="28"/>
      <c r="F15" s="28"/>
      <c r="G15" s="28"/>
      <c r="H15" s="28"/>
      <c r="I15" s="28"/>
      <c r="J15" s="28"/>
      <c r="K15" s="28"/>
      <c r="L15" s="28"/>
      <c r="M15" s="28"/>
      <c r="N15" s="28"/>
      <c r="O15" s="28"/>
      <c r="P15" s="28"/>
      <c r="Q15" s="28"/>
      <c r="R15" s="28"/>
      <c r="S15" s="28"/>
      <c r="T15" s="28"/>
      <c r="U15" s="28"/>
      <c r="V15" s="28"/>
    </row>
    <row r="17" customFormat="false" ht="18" hidden="false" customHeight="true" outlineLevel="0" collapsed="false">
      <c r="A17" s="6" t="s">
        <v>168</v>
      </c>
      <c r="B17" s="6"/>
      <c r="C17" s="6"/>
      <c r="D17" s="6"/>
      <c r="E17" s="6"/>
      <c r="F17" s="6"/>
      <c r="G17" s="6"/>
      <c r="H17" s="6"/>
      <c r="I17" s="6"/>
      <c r="J17" s="6"/>
      <c r="K17" s="6"/>
      <c r="L17" s="6"/>
      <c r="M17" s="6"/>
      <c r="N17" s="6"/>
      <c r="O17" s="6"/>
      <c r="P17" s="6"/>
      <c r="Q17" s="6"/>
      <c r="R17" s="6"/>
      <c r="S17" s="6"/>
      <c r="T17" s="6"/>
      <c r="U17" s="6"/>
      <c r="V17" s="6"/>
    </row>
    <row r="18" customFormat="false" ht="15" hidden="false" customHeight="true" outlineLevel="0" collapsed="false">
      <c r="A18" s="8" t="s">
        <v>169</v>
      </c>
      <c r="B18" s="9" t="s">
        <v>170</v>
      </c>
      <c r="C18" s="9" t="s">
        <v>71</v>
      </c>
      <c r="D18" s="9" t="s">
        <v>72</v>
      </c>
      <c r="E18" s="9" t="s">
        <v>73</v>
      </c>
      <c r="F18" s="9" t="s">
        <v>74</v>
      </c>
      <c r="G18" s="9" t="s">
        <v>75</v>
      </c>
      <c r="H18" s="9" t="s">
        <v>76</v>
      </c>
      <c r="I18" s="9" t="s">
        <v>77</v>
      </c>
      <c r="J18" s="9" t="s">
        <v>78</v>
      </c>
      <c r="K18" s="9" t="s">
        <v>79</v>
      </c>
      <c r="L18" s="9" t="s">
        <v>80</v>
      </c>
      <c r="M18" s="9" t="s">
        <v>81</v>
      </c>
      <c r="N18" s="9" t="s">
        <v>82</v>
      </c>
      <c r="O18" s="9" t="s">
        <v>83</v>
      </c>
      <c r="P18" s="9" t="s">
        <v>84</v>
      </c>
      <c r="Q18" s="9" t="s">
        <v>85</v>
      </c>
      <c r="R18" s="9" t="s">
        <v>86</v>
      </c>
      <c r="S18" s="9" t="s">
        <v>87</v>
      </c>
      <c r="T18" s="8" t="s">
        <v>171</v>
      </c>
      <c r="U18" s="8"/>
      <c r="V18" s="8"/>
    </row>
    <row r="19" customFormat="false" ht="24.75" hidden="false" customHeight="true" outlineLevel="0" collapsed="false">
      <c r="A19" s="10" t="s">
        <v>172</v>
      </c>
      <c r="B19" s="29" t="s">
        <v>173</v>
      </c>
      <c r="C19" s="5"/>
      <c r="D19" s="5"/>
      <c r="E19" s="5"/>
      <c r="F19" s="5"/>
      <c r="G19" s="5"/>
      <c r="H19" s="5"/>
      <c r="I19" s="5"/>
      <c r="J19" s="5"/>
      <c r="K19" s="30" t="n">
        <v>825000</v>
      </c>
      <c r="L19" s="30" t="n">
        <v>950000</v>
      </c>
      <c r="M19" s="5"/>
      <c r="N19" s="5"/>
      <c r="O19" s="5"/>
      <c r="P19" s="5"/>
      <c r="Q19" s="5"/>
      <c r="R19" s="5"/>
      <c r="S19" s="30" t="n">
        <v>1460000</v>
      </c>
      <c r="T19" s="25" t="s">
        <v>1662</v>
      </c>
      <c r="U19" s="25"/>
      <c r="V19" s="25"/>
    </row>
    <row r="20" customFormat="false" ht="24.75" hidden="false" customHeight="true" outlineLevel="0" collapsed="false">
      <c r="A20" s="10" t="s">
        <v>175</v>
      </c>
      <c r="B20" s="29" t="s">
        <v>176</v>
      </c>
      <c r="C20" s="5"/>
      <c r="D20" s="5"/>
      <c r="E20" s="5"/>
      <c r="F20" s="5"/>
      <c r="G20" s="5"/>
      <c r="H20" s="5"/>
      <c r="I20" s="5"/>
      <c r="J20" s="5"/>
      <c r="K20" s="29" t="s">
        <v>520</v>
      </c>
      <c r="L20" s="29" t="s">
        <v>520</v>
      </c>
      <c r="M20" s="5"/>
      <c r="N20" s="5"/>
      <c r="O20" s="5"/>
      <c r="P20" s="5"/>
      <c r="Q20" s="5"/>
      <c r="R20" s="5"/>
      <c r="S20" s="29" t="s">
        <v>177</v>
      </c>
      <c r="T20" s="25" t="s">
        <v>179</v>
      </c>
      <c r="U20" s="25"/>
      <c r="V20" s="25"/>
    </row>
    <row r="21" customFormat="false" ht="15" hidden="false" customHeight="true" outlineLevel="0" collapsed="false">
      <c r="A21" s="10" t="s">
        <v>180</v>
      </c>
      <c r="B21" s="29" t="s">
        <v>181</v>
      </c>
      <c r="C21" s="5"/>
      <c r="D21" s="5"/>
      <c r="E21" s="5"/>
      <c r="F21" s="5"/>
      <c r="G21" s="5"/>
      <c r="H21" s="5"/>
      <c r="I21" s="5"/>
      <c r="J21" s="30" t="n">
        <v>667135</v>
      </c>
      <c r="K21" s="5"/>
      <c r="L21" s="5"/>
      <c r="M21" s="5"/>
      <c r="N21" s="5"/>
      <c r="O21" s="5"/>
      <c r="P21" s="5"/>
      <c r="Q21" s="5"/>
      <c r="R21" s="5"/>
      <c r="S21" s="5"/>
      <c r="T21" s="25" t="s">
        <v>1663</v>
      </c>
      <c r="U21" s="25"/>
      <c r="V21" s="25"/>
    </row>
    <row r="22" customFormat="false" ht="15" hidden="false" customHeight="true" outlineLevel="0" collapsed="false">
      <c r="A22" s="10" t="s">
        <v>183</v>
      </c>
      <c r="B22" s="29" t="s">
        <v>181</v>
      </c>
      <c r="C22" s="5"/>
      <c r="D22" s="5"/>
      <c r="E22" s="5"/>
      <c r="F22" s="5"/>
      <c r="G22" s="5"/>
      <c r="H22" s="5"/>
      <c r="I22" s="5"/>
      <c r="J22" s="30" t="n">
        <v>667135</v>
      </c>
      <c r="K22" s="30" t="n">
        <v>820000</v>
      </c>
      <c r="L22" s="5"/>
      <c r="M22" s="5"/>
      <c r="N22" s="5"/>
      <c r="O22" s="5"/>
      <c r="P22" s="5"/>
      <c r="Q22" s="5"/>
      <c r="R22" s="30" t="n">
        <v>1009900</v>
      </c>
      <c r="S22" s="30" t="n">
        <v>1238659</v>
      </c>
      <c r="T22" s="25" t="s">
        <v>1664</v>
      </c>
      <c r="U22" s="25"/>
      <c r="V22" s="25"/>
    </row>
    <row r="23" customFormat="false" ht="15" hidden="false" customHeight="true" outlineLevel="0" collapsed="false">
      <c r="A23" s="10" t="s">
        <v>185</v>
      </c>
      <c r="B23" s="29" t="s">
        <v>181</v>
      </c>
      <c r="C23" s="5"/>
      <c r="D23" s="5"/>
      <c r="E23" s="5"/>
      <c r="F23" s="5"/>
      <c r="G23" s="5"/>
      <c r="H23" s="5"/>
      <c r="I23" s="5"/>
      <c r="J23" s="5"/>
      <c r="K23" s="5"/>
      <c r="L23" s="5"/>
      <c r="M23" s="5"/>
      <c r="N23" s="5"/>
      <c r="O23" s="5"/>
      <c r="P23" s="5"/>
      <c r="Q23" s="5"/>
      <c r="R23" s="30" t="n">
        <v>902757</v>
      </c>
      <c r="S23" s="30" t="n">
        <v>1107343</v>
      </c>
      <c r="T23" s="25"/>
      <c r="U23" s="25"/>
      <c r="V23" s="25"/>
    </row>
    <row r="24" customFormat="false" ht="15" hidden="false" customHeight="true" outlineLevel="0" collapsed="false">
      <c r="A24" s="10" t="s">
        <v>187</v>
      </c>
      <c r="B24" s="29" t="s">
        <v>181</v>
      </c>
      <c r="C24" s="5"/>
      <c r="D24" s="5"/>
      <c r="E24" s="5"/>
      <c r="F24" s="5"/>
      <c r="G24" s="5"/>
      <c r="H24" s="5"/>
      <c r="I24" s="5"/>
      <c r="J24" s="5"/>
      <c r="K24" s="5"/>
      <c r="L24" s="5"/>
      <c r="M24" s="5"/>
      <c r="N24" s="5"/>
      <c r="O24" s="5"/>
      <c r="P24" s="5"/>
      <c r="Q24" s="5"/>
      <c r="R24" s="30" t="n">
        <v>107143</v>
      </c>
      <c r="S24" s="30" t="n">
        <v>131316</v>
      </c>
      <c r="T24" s="25" t="s">
        <v>1665</v>
      </c>
      <c r="U24" s="25"/>
      <c r="V24" s="25"/>
    </row>
    <row r="25" customFormat="false" ht="24.75" hidden="false" customHeight="true" outlineLevel="0" collapsed="false">
      <c r="A25" s="10" t="s">
        <v>188</v>
      </c>
      <c r="B25" s="29" t="s">
        <v>189</v>
      </c>
      <c r="C25" s="17" t="str">
        <f aca="false">IF(AND(ISNUMBER(C21),ISNUMBER(C19)),C21/C19,"")</f>
        <v/>
      </c>
      <c r="D25" s="17" t="str">
        <f aca="false">IF(AND(ISNUMBER(D21),ISNUMBER(D19)),D21/D19,"")</f>
        <v/>
      </c>
      <c r="E25" s="17" t="str">
        <f aca="false">IF(AND(ISNUMBER(E21),ISNUMBER(E19)),E21/E19,"")</f>
        <v/>
      </c>
      <c r="F25" s="17" t="str">
        <f aca="false">IF(AND(ISNUMBER(F21),ISNUMBER(F19)),F21/F19,"")</f>
        <v/>
      </c>
      <c r="G25" s="17" t="str">
        <f aca="false">IF(AND(ISNUMBER(G21),ISNUMBER(G19)),G21/G19,"")</f>
        <v/>
      </c>
      <c r="H25" s="17" t="str">
        <f aca="false">IF(AND(ISNUMBER(H21),ISNUMBER(H19)),H21/H19,"")</f>
        <v/>
      </c>
      <c r="I25" s="17" t="str">
        <f aca="false">IF(AND(ISNUMBER(I21),ISNUMBER(I19)),I21/I19,"")</f>
        <v/>
      </c>
      <c r="J25" s="17" t="str">
        <f aca="false">IF(AND(ISNUMBER(J21),ISNUMBER(J19)),J21/J19,"")</f>
        <v/>
      </c>
      <c r="K25" s="17" t="str">
        <f aca="false">IF(AND(ISNUMBER(K21),ISNUMBER(K19)),K21/K19,"")</f>
        <v/>
      </c>
      <c r="L25" s="17" t="str">
        <f aca="false">IF(AND(ISNUMBER(L21),ISNUMBER(L19)),L21/L19,"")</f>
        <v/>
      </c>
      <c r="M25" s="17" t="str">
        <f aca="false">IF(AND(ISNUMBER(M21),ISNUMBER(M19)),M21/M19,"")</f>
        <v/>
      </c>
      <c r="N25" s="17" t="str">
        <f aca="false">IF(AND(ISNUMBER(N21),ISNUMBER(N19)),N21/N19,"")</f>
        <v/>
      </c>
      <c r="O25" s="17" t="str">
        <f aca="false">IF(AND(ISNUMBER(O21),ISNUMBER(O19)),O21/O19,"")</f>
        <v/>
      </c>
      <c r="P25" s="17" t="str">
        <f aca="false">IF(AND(ISNUMBER(P21),ISNUMBER(P19)),P21/P19,"")</f>
        <v/>
      </c>
      <c r="Q25" s="17" t="str">
        <f aca="false">IF(AND(ISNUMBER(Q21),ISNUMBER(Q19)),Q21/Q19,"")</f>
        <v/>
      </c>
      <c r="R25" s="17" t="str">
        <f aca="false">IF(AND(ISNUMBER(R21),ISNUMBER(R19)),R21/R19,"")</f>
        <v/>
      </c>
      <c r="S25" s="17" t="str">
        <f aca="false">IF(AND(ISNUMBER(S21),ISNUMBER(S19)),S21/S19,"")</f>
        <v/>
      </c>
      <c r="T25" s="25" t="s">
        <v>190</v>
      </c>
      <c r="U25" s="25"/>
      <c r="V25" s="25"/>
    </row>
    <row r="26" customFormat="false" ht="15" hidden="false" customHeight="true" outlineLevel="0" collapsed="false">
      <c r="A26" s="10" t="s">
        <v>191</v>
      </c>
      <c r="B26" s="29" t="s">
        <v>189</v>
      </c>
      <c r="C26" s="17" t="str">
        <f aca="false">IF(AND(ISNUMBER(C21),ISNUMBER(C19)),C21/C19,"")</f>
        <v/>
      </c>
      <c r="D26" s="17" t="str">
        <f aca="false">IF(AND(ISNUMBER(D21),ISNUMBER(D19)),D21/IF(ISNUMBER(C19),AVERAGE(C19,D19),D19),"")</f>
        <v/>
      </c>
      <c r="E26" s="17" t="str">
        <f aca="false">IF(AND(ISNUMBER(E21),ISNUMBER(E19)),E21/IF(ISNUMBER(D19),AVERAGE(D19,E19),E19),"")</f>
        <v/>
      </c>
      <c r="F26" s="17" t="str">
        <f aca="false">IF(AND(ISNUMBER(F21),ISNUMBER(F19)),F21/IF(ISNUMBER(E19),AVERAGE(E19,F19),F19),"")</f>
        <v/>
      </c>
      <c r="G26" s="17" t="str">
        <f aca="false">IF(AND(ISNUMBER(G21),ISNUMBER(G19)),G21/IF(ISNUMBER(F19),AVERAGE(F19,G19),G19),"")</f>
        <v/>
      </c>
      <c r="H26" s="17" t="str">
        <f aca="false">IF(AND(ISNUMBER(H21),ISNUMBER(H19)),H21/IF(ISNUMBER(G19),AVERAGE(G19,H19),H19),"")</f>
        <v/>
      </c>
      <c r="I26" s="17" t="str">
        <f aca="false">IF(AND(ISNUMBER(I21),ISNUMBER(I19)),I21/IF(ISNUMBER(H19),AVERAGE(H19,I19),I19),"")</f>
        <v/>
      </c>
      <c r="J26" s="17" t="str">
        <f aca="false">IF(AND(ISNUMBER(J21),ISNUMBER(J19)),J21/IF(ISNUMBER(I19),AVERAGE(I19,J19),J19),"")</f>
        <v/>
      </c>
      <c r="K26" s="17" t="str">
        <f aca="false">IF(AND(ISNUMBER(K21),ISNUMBER(K19)),K21/IF(ISNUMBER(J19),AVERAGE(J19,K19),K19),"")</f>
        <v/>
      </c>
      <c r="L26" s="17" t="str">
        <f aca="false">IF(AND(ISNUMBER(L21),ISNUMBER(L19)),L21/IF(ISNUMBER(K19),AVERAGE(K19,L19),L19),"")</f>
        <v/>
      </c>
      <c r="M26" s="17" t="str">
        <f aca="false">IF(AND(ISNUMBER(M21),ISNUMBER(M19)),M21/IF(ISNUMBER(L19),AVERAGE(L19,M19),M19),"")</f>
        <v/>
      </c>
      <c r="N26" s="17" t="str">
        <f aca="false">IF(AND(ISNUMBER(N21),ISNUMBER(N19)),N21/IF(ISNUMBER(M19),AVERAGE(M19,N19),N19),"")</f>
        <v/>
      </c>
      <c r="O26" s="17" t="str">
        <f aca="false">IF(AND(ISNUMBER(O21),ISNUMBER(O19)),O21/IF(ISNUMBER(N19),AVERAGE(N19,O19),O19),"")</f>
        <v/>
      </c>
      <c r="P26" s="17" t="str">
        <f aca="false">IF(AND(ISNUMBER(P21),ISNUMBER(P19)),P21/IF(ISNUMBER(O19),AVERAGE(O19,P19),P19),"")</f>
        <v/>
      </c>
      <c r="Q26" s="17" t="str">
        <f aca="false">IF(AND(ISNUMBER(Q21),ISNUMBER(Q19)),Q21/IF(ISNUMBER(P19),AVERAGE(P19,Q19),Q19),"")</f>
        <v/>
      </c>
      <c r="R26" s="17" t="str">
        <f aca="false">IF(AND(ISNUMBER(R21),ISNUMBER(R19)),R21/IF(ISNUMBER(Q19),AVERAGE(Q19,R19),R19),"")</f>
        <v/>
      </c>
      <c r="S26" s="17" t="str">
        <f aca="false">IF(AND(ISNUMBER(S21),ISNUMBER(S19)),S21/IF(ISNUMBER(R19),AVERAGE(R19,S19),S19),"")</f>
        <v/>
      </c>
      <c r="T26" s="25" t="s">
        <v>192</v>
      </c>
      <c r="U26" s="25"/>
      <c r="V26" s="25"/>
    </row>
    <row r="27" customFormat="false" ht="24.75" hidden="false" customHeight="true" outlineLevel="0" collapsed="false">
      <c r="A27" s="10" t="s">
        <v>193</v>
      </c>
      <c r="B27" s="29" t="s">
        <v>189</v>
      </c>
      <c r="C27" s="17" t="str">
        <f aca="false">IF(ISNUMBER(C19),IF(ISNUMBER(C22),C22/C19,IF(ISNUMBER(C23),C23/C19,"")),"")</f>
        <v/>
      </c>
      <c r="D27" s="17" t="str">
        <f aca="false">IF(ISNUMBER(D19),IF(ISNUMBER(D22),D22/D19,IF(ISNUMBER(D23),D23/D19,"")),"")</f>
        <v/>
      </c>
      <c r="E27" s="17" t="str">
        <f aca="false">IF(ISNUMBER(E19),IF(ISNUMBER(E22),E22/E19,IF(ISNUMBER(E23),E23/E19,"")),"")</f>
        <v/>
      </c>
      <c r="F27" s="17" t="str">
        <f aca="false">IF(ISNUMBER(F19),IF(ISNUMBER(F22),F22/F19,IF(ISNUMBER(F23),F23/F19,"")),"")</f>
        <v/>
      </c>
      <c r="G27" s="17" t="str">
        <f aca="false">IF(ISNUMBER(G19),IF(ISNUMBER(G22),G22/G19,IF(ISNUMBER(G23),G23/G19,"")),"")</f>
        <v/>
      </c>
      <c r="H27" s="17" t="str">
        <f aca="false">IF(ISNUMBER(H19),IF(ISNUMBER(H22),H22/H19,IF(ISNUMBER(H23),H23/H19,"")),"")</f>
        <v/>
      </c>
      <c r="I27" s="17" t="str">
        <f aca="false">IF(ISNUMBER(I19),IF(ISNUMBER(I22),I22/I19,IF(ISNUMBER(I23),I23/I19,"")),"")</f>
        <v/>
      </c>
      <c r="J27" s="17" t="str">
        <f aca="false">IF(ISNUMBER(J19),IF(ISNUMBER(J22),J22/J19,IF(ISNUMBER(J23),J23/J19,"")),"")</f>
        <v/>
      </c>
      <c r="K27" s="17" t="n">
        <f aca="false">IF(ISNUMBER(K19),IF(ISNUMBER(K22),K22/K19,IF(ISNUMBER(K23),K23/K19,"")),"")</f>
        <v>0.993939393939394</v>
      </c>
      <c r="L27" s="17" t="str">
        <f aca="false">IF(ISNUMBER(L19),IF(ISNUMBER(L22),L22/L19,IF(ISNUMBER(L23),L23/L19,"")),"")</f>
        <v/>
      </c>
      <c r="M27" s="17" t="str">
        <f aca="false">IF(ISNUMBER(M19),IF(ISNUMBER(M22),M22/M19,IF(ISNUMBER(M23),M23/M19,"")),"")</f>
        <v/>
      </c>
      <c r="N27" s="17" t="str">
        <f aca="false">IF(ISNUMBER(N19),IF(ISNUMBER(N22),N22/N19,IF(ISNUMBER(N23),N23/N19,"")),"")</f>
        <v/>
      </c>
      <c r="O27" s="17" t="str">
        <f aca="false">IF(ISNUMBER(O19),IF(ISNUMBER(O22),O22/O19,IF(ISNUMBER(O23),O23/O19,"")),"")</f>
        <v/>
      </c>
      <c r="P27" s="17" t="str">
        <f aca="false">IF(ISNUMBER(P19),IF(ISNUMBER(P22),P22/P19,IF(ISNUMBER(P23),P23/P19,"")),"")</f>
        <v/>
      </c>
      <c r="Q27" s="17" t="str">
        <f aca="false">IF(ISNUMBER(Q19),IF(ISNUMBER(Q22),Q22/Q19,IF(ISNUMBER(Q23),Q23/Q19,"")),"")</f>
        <v/>
      </c>
      <c r="R27" s="17" t="str">
        <f aca="false">IF(ISNUMBER(R19),IF(ISNUMBER(R22),R22/R19,IF(ISNUMBER(R23),R23/R19,"")),"")</f>
        <v/>
      </c>
      <c r="S27" s="17" t="n">
        <f aca="false">IF(ISNUMBER(S19),IF(ISNUMBER(S22),S22/S19,IF(ISNUMBER(S23),S23/S19,"")),"")</f>
        <v>0.848396575342466</v>
      </c>
      <c r="T27" s="25" t="s">
        <v>194</v>
      </c>
      <c r="U27" s="25"/>
      <c r="V27" s="25"/>
    </row>
    <row r="28" customFormat="false" ht="15" hidden="false" customHeight="true" outlineLevel="0" collapsed="false">
      <c r="A28" s="10" t="s">
        <v>195</v>
      </c>
      <c r="B28" s="29" t="s">
        <v>173</v>
      </c>
      <c r="C28" s="5"/>
      <c r="D28" s="18" t="str">
        <f aca="false">IF(AND(ISNUMBER(D19),ISNUMBER(C19)),D19-C19,"")</f>
        <v/>
      </c>
      <c r="E28" s="18" t="str">
        <f aca="false">IF(AND(ISNUMBER(E19),ISNUMBER(D19)),E19-D19,"")</f>
        <v/>
      </c>
      <c r="F28" s="18" t="str">
        <f aca="false">IF(AND(ISNUMBER(F19),ISNUMBER(E19)),F19-E19,"")</f>
        <v/>
      </c>
      <c r="G28" s="18" t="str">
        <f aca="false">IF(AND(ISNUMBER(G19),ISNUMBER(F19)),G19-F19,"")</f>
        <v/>
      </c>
      <c r="H28" s="18" t="str">
        <f aca="false">IF(AND(ISNUMBER(H19),ISNUMBER(G19)),H19-G19,"")</f>
        <v/>
      </c>
      <c r="I28" s="18" t="str">
        <f aca="false">IF(AND(ISNUMBER(I19),ISNUMBER(H19)),I19-H19,"")</f>
        <v/>
      </c>
      <c r="J28" s="18" t="str">
        <f aca="false">IF(AND(ISNUMBER(J19),ISNUMBER(I19)),J19-I19,"")</f>
        <v/>
      </c>
      <c r="K28" s="18" t="str">
        <f aca="false">IF(AND(ISNUMBER(K19),ISNUMBER(J19)),K19-J19,"")</f>
        <v/>
      </c>
      <c r="L28" s="18" t="n">
        <f aca="false">IF(AND(ISNUMBER(L19),ISNUMBER(K19)),L19-K19,"")</f>
        <v>125000</v>
      </c>
      <c r="M28" s="18" t="str">
        <f aca="false">IF(AND(ISNUMBER(M19),ISNUMBER(L19)),M19-L19,"")</f>
        <v/>
      </c>
      <c r="N28" s="18" t="str">
        <f aca="false">IF(AND(ISNUMBER(N19),ISNUMBER(M19)),N19-M19,"")</f>
        <v/>
      </c>
      <c r="O28" s="18" t="str">
        <f aca="false">IF(AND(ISNUMBER(O19),ISNUMBER(N19)),O19-N19,"")</f>
        <v/>
      </c>
      <c r="P28" s="18" t="str">
        <f aca="false">IF(AND(ISNUMBER(P19),ISNUMBER(O19)),P19-O19,"")</f>
        <v/>
      </c>
      <c r="Q28" s="18" t="str">
        <f aca="false">IF(AND(ISNUMBER(Q19),ISNUMBER(P19)),Q19-P19,"")</f>
        <v/>
      </c>
      <c r="R28" s="18" t="str">
        <f aca="false">IF(AND(ISNUMBER(R19),ISNUMBER(Q19)),R19-Q19,"")</f>
        <v/>
      </c>
      <c r="S28" s="18" t="str">
        <f aca="false">IF(AND(ISNUMBER(S19),ISNUMBER(R19)),S19-R19,"")</f>
        <v/>
      </c>
      <c r="T28" s="25" t="s">
        <v>196</v>
      </c>
      <c r="U28" s="25"/>
      <c r="V28" s="25"/>
    </row>
    <row r="29" customFormat="false" ht="15" hidden="false" customHeight="true" outlineLevel="0" collapsed="false">
      <c r="A29" s="10" t="s">
        <v>197</v>
      </c>
      <c r="B29" s="29" t="s">
        <v>189</v>
      </c>
      <c r="C29" s="31"/>
      <c r="D29" s="31"/>
      <c r="E29" s="31"/>
      <c r="F29" s="31"/>
      <c r="G29" s="31"/>
      <c r="H29" s="31"/>
      <c r="I29" s="31"/>
      <c r="J29" s="31"/>
      <c r="K29" s="31"/>
      <c r="L29" s="31"/>
      <c r="M29" s="31"/>
      <c r="N29" s="31"/>
      <c r="O29" s="31"/>
      <c r="P29" s="31"/>
      <c r="Q29" s="31"/>
      <c r="R29" s="31"/>
      <c r="S29" s="31"/>
      <c r="T29" s="25"/>
      <c r="U29" s="25"/>
      <c r="V29" s="25"/>
    </row>
    <row r="30" customFormat="false" ht="24.75" hidden="false" customHeight="true" outlineLevel="0" collapsed="false">
      <c r="A30" s="10" t="s">
        <v>199</v>
      </c>
      <c r="B30" s="29"/>
      <c r="C30" s="29"/>
      <c r="D30" s="29"/>
      <c r="E30" s="29"/>
      <c r="F30" s="29" t="s">
        <v>1666</v>
      </c>
      <c r="G30" s="29" t="s">
        <v>1667</v>
      </c>
      <c r="H30" s="29"/>
      <c r="I30" s="29"/>
      <c r="J30" s="29" t="s">
        <v>1668</v>
      </c>
      <c r="K30" s="29" t="s">
        <v>1669</v>
      </c>
      <c r="L30" s="29" t="s">
        <v>1670</v>
      </c>
      <c r="M30" s="29"/>
      <c r="N30" s="29"/>
      <c r="O30" s="29"/>
      <c r="P30" s="29"/>
      <c r="Q30" s="29"/>
      <c r="R30" s="29" t="s">
        <v>1671</v>
      </c>
      <c r="S30" s="29" t="s">
        <v>1672</v>
      </c>
      <c r="T30" s="25"/>
      <c r="U30" s="25"/>
      <c r="V30" s="25"/>
    </row>
    <row r="31" customFormat="false" ht="46.5" hidden="false" customHeight="true" outlineLevel="0" collapsed="false">
      <c r="A31" s="10" t="s">
        <v>216</v>
      </c>
      <c r="B31" s="29"/>
      <c r="C31" s="25"/>
      <c r="D31" s="25"/>
      <c r="E31" s="25"/>
      <c r="F31" s="25" t="s">
        <v>1673</v>
      </c>
      <c r="G31" s="25" t="s">
        <v>1674</v>
      </c>
      <c r="H31" s="25" t="s">
        <v>1675</v>
      </c>
      <c r="I31" s="25"/>
      <c r="J31" s="25" t="s">
        <v>1676</v>
      </c>
      <c r="K31" s="25" t="s">
        <v>1677</v>
      </c>
      <c r="L31" s="25" t="s">
        <v>1678</v>
      </c>
      <c r="M31" s="25"/>
      <c r="N31" s="25"/>
      <c r="O31" s="25"/>
      <c r="P31" s="25"/>
      <c r="Q31" s="25"/>
      <c r="R31" s="25"/>
      <c r="S31" s="25" t="s">
        <v>1679</v>
      </c>
      <c r="T31" s="25"/>
      <c r="U31" s="25"/>
      <c r="V31" s="25"/>
    </row>
    <row r="33" customFormat="false" ht="18" hidden="false" customHeight="true" outlineLevel="0" collapsed="false">
      <c r="A33" s="6" t="s">
        <v>233</v>
      </c>
      <c r="B33" s="6"/>
      <c r="C33" s="6"/>
      <c r="D33" s="6"/>
      <c r="E33" s="6"/>
      <c r="F33" s="6"/>
      <c r="G33" s="6"/>
      <c r="H33" s="6"/>
      <c r="I33" s="6"/>
      <c r="J33" s="6"/>
      <c r="K33" s="6"/>
      <c r="L33" s="6"/>
      <c r="M33" s="6"/>
      <c r="N33" s="6"/>
      <c r="O33" s="6"/>
      <c r="P33" s="6"/>
      <c r="Q33" s="6"/>
      <c r="R33" s="6"/>
      <c r="S33" s="6"/>
      <c r="T33" s="6"/>
      <c r="U33" s="6"/>
      <c r="V33" s="6"/>
    </row>
    <row r="34" customFormat="false" ht="15" hidden="false" customHeight="true" outlineLevel="0" collapsed="false">
      <c r="A34" s="8" t="s">
        <v>234</v>
      </c>
      <c r="B34" s="9" t="s">
        <v>170</v>
      </c>
      <c r="C34" s="9" t="s">
        <v>71</v>
      </c>
      <c r="D34" s="9" t="s">
        <v>72</v>
      </c>
      <c r="E34" s="9" t="s">
        <v>73</v>
      </c>
      <c r="F34" s="9" t="s">
        <v>74</v>
      </c>
      <c r="G34" s="9" t="s">
        <v>75</v>
      </c>
      <c r="H34" s="9" t="s">
        <v>76</v>
      </c>
      <c r="I34" s="9" t="s">
        <v>77</v>
      </c>
      <c r="J34" s="9" t="s">
        <v>78</v>
      </c>
      <c r="K34" s="9" t="s">
        <v>79</v>
      </c>
      <c r="L34" s="9" t="s">
        <v>80</v>
      </c>
      <c r="M34" s="9" t="s">
        <v>81</v>
      </c>
      <c r="N34" s="9" t="s">
        <v>82</v>
      </c>
      <c r="O34" s="9" t="s">
        <v>83</v>
      </c>
      <c r="P34" s="9" t="s">
        <v>84</v>
      </c>
      <c r="Q34" s="9" t="s">
        <v>85</v>
      </c>
      <c r="R34" s="9" t="s">
        <v>86</v>
      </c>
      <c r="S34" s="9" t="s">
        <v>87</v>
      </c>
      <c r="T34" s="8" t="s">
        <v>235</v>
      </c>
      <c r="U34" s="8"/>
      <c r="V34" s="8"/>
    </row>
    <row r="35" customFormat="false" ht="15" hidden="false" customHeight="true" outlineLevel="0" collapsed="false">
      <c r="A35" s="10" t="s">
        <v>1680</v>
      </c>
      <c r="B35" s="29" t="s">
        <v>173</v>
      </c>
      <c r="C35" s="32"/>
      <c r="D35" s="32"/>
      <c r="E35" s="32"/>
      <c r="F35" s="32"/>
      <c r="G35" s="30" t="n">
        <v>150000</v>
      </c>
      <c r="H35" s="32"/>
      <c r="I35" s="32"/>
      <c r="J35" s="32"/>
      <c r="K35" s="32"/>
      <c r="L35" s="32"/>
      <c r="M35" s="32"/>
      <c r="N35" s="32"/>
      <c r="O35" s="32"/>
      <c r="P35" s="32"/>
      <c r="Q35" s="32"/>
      <c r="R35" s="32"/>
      <c r="S35" s="32"/>
      <c r="T35" s="25" t="s">
        <v>1681</v>
      </c>
      <c r="U35" s="25"/>
      <c r="V35" s="25"/>
    </row>
    <row r="36" customFormat="false" ht="15" hidden="false" customHeight="true" outlineLevel="0" collapsed="false">
      <c r="A36" s="10" t="s">
        <v>1682</v>
      </c>
      <c r="B36" s="29" t="s">
        <v>173</v>
      </c>
      <c r="C36" s="32"/>
      <c r="D36" s="32"/>
      <c r="E36" s="32"/>
      <c r="F36" s="32"/>
      <c r="G36" s="32"/>
      <c r="H36" s="32"/>
      <c r="I36" s="32"/>
      <c r="J36" s="32"/>
      <c r="K36" s="30" t="n">
        <v>300000</v>
      </c>
      <c r="L36" s="32"/>
      <c r="M36" s="32"/>
      <c r="N36" s="32"/>
      <c r="O36" s="32"/>
      <c r="P36" s="32"/>
      <c r="Q36" s="32"/>
      <c r="R36" s="32"/>
      <c r="S36" s="32"/>
      <c r="T36" s="25" t="s">
        <v>1683</v>
      </c>
      <c r="U36" s="25"/>
      <c r="V36" s="25"/>
    </row>
    <row r="37" customFormat="false" ht="15" hidden="false" customHeight="true" outlineLevel="0" collapsed="false">
      <c r="A37" s="10" t="s">
        <v>1684</v>
      </c>
      <c r="B37" s="29" t="s">
        <v>173</v>
      </c>
      <c r="C37" s="32"/>
      <c r="D37" s="32"/>
      <c r="E37" s="32"/>
      <c r="F37" s="32"/>
      <c r="G37" s="32"/>
      <c r="H37" s="32"/>
      <c r="I37" s="32"/>
      <c r="J37" s="32"/>
      <c r="K37" s="32"/>
      <c r="L37" s="32"/>
      <c r="M37" s="32"/>
      <c r="N37" s="32"/>
      <c r="O37" s="32"/>
      <c r="P37" s="32"/>
      <c r="Q37" s="32"/>
      <c r="R37" s="32"/>
      <c r="S37" s="34" t="n">
        <v>1000000</v>
      </c>
      <c r="T37" s="25" t="s">
        <v>1685</v>
      </c>
      <c r="U37" s="25"/>
      <c r="V37" s="25"/>
    </row>
    <row r="38" customFormat="false" ht="15" hidden="false" customHeight="true" outlineLevel="0" collapsed="false">
      <c r="A38" s="10" t="s">
        <v>1686</v>
      </c>
      <c r="B38" s="29" t="s">
        <v>173</v>
      </c>
      <c r="C38" s="32"/>
      <c r="D38" s="32"/>
      <c r="E38" s="32"/>
      <c r="F38" s="32"/>
      <c r="G38" s="32"/>
      <c r="H38" s="32"/>
      <c r="I38" s="32"/>
      <c r="J38" s="32"/>
      <c r="K38" s="32"/>
      <c r="L38" s="32"/>
      <c r="M38" s="32"/>
      <c r="N38" s="32"/>
      <c r="O38" s="32"/>
      <c r="P38" s="32"/>
      <c r="Q38" s="32"/>
      <c r="R38" s="32"/>
      <c r="S38" s="32"/>
      <c r="T38" s="25" t="s">
        <v>1687</v>
      </c>
      <c r="U38" s="25"/>
      <c r="V38" s="25"/>
    </row>
    <row r="40" customFormat="false" ht="18" hidden="false" customHeight="true" outlineLevel="0" collapsed="false">
      <c r="A40" s="6" t="s">
        <v>249</v>
      </c>
      <c r="B40" s="6"/>
      <c r="C40" s="6"/>
      <c r="D40" s="6"/>
      <c r="E40" s="6"/>
      <c r="F40" s="6"/>
      <c r="G40" s="6"/>
      <c r="H40" s="6"/>
      <c r="I40" s="6"/>
      <c r="J40" s="6"/>
      <c r="K40" s="6"/>
      <c r="L40" s="6"/>
      <c r="M40" s="6"/>
      <c r="N40" s="6"/>
      <c r="O40" s="6"/>
      <c r="P40" s="6"/>
      <c r="Q40" s="6"/>
      <c r="R40" s="6"/>
      <c r="S40" s="6"/>
      <c r="T40" s="6"/>
      <c r="U40" s="6"/>
      <c r="V40" s="6"/>
    </row>
    <row r="41" customFormat="false" ht="40.5" hidden="false" customHeight="true" outlineLevel="0" collapsed="false">
      <c r="A41" s="9" t="s">
        <v>250</v>
      </c>
      <c r="B41" s="9" t="s">
        <v>251</v>
      </c>
      <c r="C41" s="9"/>
      <c r="D41" s="9" t="s">
        <v>252</v>
      </c>
      <c r="E41" s="9"/>
      <c r="F41" s="9" t="s">
        <v>253</v>
      </c>
      <c r="G41" s="9" t="s">
        <v>254</v>
      </c>
      <c r="H41" s="9"/>
      <c r="I41" s="9" t="s">
        <v>255</v>
      </c>
      <c r="J41" s="9"/>
      <c r="K41" s="9"/>
      <c r="L41" s="9"/>
      <c r="M41" s="9" t="s">
        <v>256</v>
      </c>
      <c r="N41" s="9"/>
      <c r="O41" s="9" t="s">
        <v>257</v>
      </c>
      <c r="P41" s="9" t="s">
        <v>258</v>
      </c>
      <c r="Q41" s="9" t="s">
        <v>110</v>
      </c>
      <c r="R41" s="9" t="s">
        <v>259</v>
      </c>
      <c r="S41" s="9" t="s">
        <v>171</v>
      </c>
      <c r="T41" s="9"/>
      <c r="U41" s="9"/>
      <c r="V41" s="9" t="s">
        <v>260</v>
      </c>
    </row>
    <row r="42" customFormat="false" ht="27.75" hidden="false" customHeight="true" outlineLevel="0" collapsed="false">
      <c r="A42" s="10" t="s">
        <v>1688</v>
      </c>
      <c r="B42" s="5" t="s">
        <v>1281</v>
      </c>
      <c r="C42" s="5"/>
      <c r="D42" s="5" t="s">
        <v>1689</v>
      </c>
      <c r="E42" s="5"/>
      <c r="F42" s="5" t="s">
        <v>1690</v>
      </c>
      <c r="G42" s="5" t="s">
        <v>1691</v>
      </c>
      <c r="H42" s="5"/>
      <c r="I42" s="5" t="s">
        <v>121</v>
      </c>
      <c r="J42" s="5"/>
      <c r="K42" s="5"/>
      <c r="L42" s="5"/>
      <c r="M42" s="5" t="s">
        <v>301</v>
      </c>
      <c r="N42" s="5"/>
      <c r="O42" s="5"/>
      <c r="P42" s="5" t="s">
        <v>121</v>
      </c>
      <c r="Q42" s="5" t="s">
        <v>301</v>
      </c>
      <c r="R42" s="5" t="s">
        <v>277</v>
      </c>
      <c r="S42" s="5" t="s">
        <v>1692</v>
      </c>
      <c r="T42" s="5"/>
      <c r="U42" s="5"/>
      <c r="V42" s="5" t="s">
        <v>1693</v>
      </c>
    </row>
    <row r="43" customFormat="false" ht="15" hidden="false" customHeight="true" outlineLevel="0" collapsed="false">
      <c r="A43" s="10" t="s">
        <v>1680</v>
      </c>
      <c r="B43" s="5" t="s">
        <v>669</v>
      </c>
      <c r="C43" s="5"/>
      <c r="D43" s="5" t="s">
        <v>1689</v>
      </c>
      <c r="E43" s="5"/>
      <c r="F43" s="5" t="s">
        <v>361</v>
      </c>
      <c r="G43" s="5" t="s">
        <v>1694</v>
      </c>
      <c r="H43" s="5"/>
      <c r="I43" s="5" t="s">
        <v>121</v>
      </c>
      <c r="J43" s="5"/>
      <c r="K43" s="5"/>
      <c r="L43" s="5"/>
      <c r="M43" s="5" t="s">
        <v>301</v>
      </c>
      <c r="N43" s="5"/>
      <c r="O43" s="30" t="n">
        <v>150000</v>
      </c>
      <c r="P43" s="5" t="s">
        <v>121</v>
      </c>
      <c r="Q43" s="5" t="s">
        <v>301</v>
      </c>
      <c r="R43" s="5" t="s">
        <v>277</v>
      </c>
      <c r="S43" s="5" t="s">
        <v>1695</v>
      </c>
      <c r="T43" s="5"/>
      <c r="U43" s="5"/>
      <c r="V43" s="5" t="s">
        <v>1696</v>
      </c>
    </row>
    <row r="44" customFormat="false" ht="15" hidden="false" customHeight="true" outlineLevel="0" collapsed="false">
      <c r="A44" s="10" t="s">
        <v>1682</v>
      </c>
      <c r="B44" s="5" t="s">
        <v>669</v>
      </c>
      <c r="C44" s="5"/>
      <c r="D44" s="5" t="s">
        <v>1689</v>
      </c>
      <c r="E44" s="5"/>
      <c r="F44" s="5" t="s">
        <v>1697</v>
      </c>
      <c r="G44" s="5" t="s">
        <v>1694</v>
      </c>
      <c r="H44" s="5"/>
      <c r="I44" s="5" t="s">
        <v>121</v>
      </c>
      <c r="J44" s="5"/>
      <c r="K44" s="5"/>
      <c r="L44" s="5"/>
      <c r="M44" s="5" t="s">
        <v>301</v>
      </c>
      <c r="N44" s="5"/>
      <c r="O44" s="30" t="n">
        <v>300000</v>
      </c>
      <c r="P44" s="5" t="s">
        <v>121</v>
      </c>
      <c r="Q44" s="5" t="s">
        <v>301</v>
      </c>
      <c r="R44" s="5" t="s">
        <v>277</v>
      </c>
      <c r="S44" s="5" t="s">
        <v>1698</v>
      </c>
      <c r="T44" s="5"/>
      <c r="U44" s="5"/>
      <c r="V44" s="5" t="s">
        <v>1699</v>
      </c>
    </row>
    <row r="45" customFormat="false" ht="27.75" hidden="false" customHeight="true" outlineLevel="0" collapsed="false">
      <c r="A45" s="10" t="s">
        <v>1686</v>
      </c>
      <c r="B45" s="5" t="s">
        <v>1700</v>
      </c>
      <c r="C45" s="5"/>
      <c r="D45" s="5" t="s">
        <v>1689</v>
      </c>
      <c r="E45" s="5"/>
      <c r="F45" s="5" t="s">
        <v>1701</v>
      </c>
      <c r="G45" s="5" t="s">
        <v>1702</v>
      </c>
      <c r="H45" s="5"/>
      <c r="I45" s="5" t="s">
        <v>1703</v>
      </c>
      <c r="J45" s="5"/>
      <c r="K45" s="5"/>
      <c r="L45" s="5"/>
      <c r="M45" s="5" t="s">
        <v>1704</v>
      </c>
      <c r="N45" s="5"/>
      <c r="O45" s="5" t="s">
        <v>121</v>
      </c>
      <c r="P45" s="5" t="s">
        <v>1705</v>
      </c>
      <c r="Q45" s="5" t="s">
        <v>766</v>
      </c>
      <c r="R45" s="5" t="s">
        <v>1469</v>
      </c>
      <c r="S45" s="5" t="s">
        <v>1706</v>
      </c>
      <c r="T45" s="5"/>
      <c r="U45" s="5"/>
      <c r="V45" s="5" t="s">
        <v>1707</v>
      </c>
    </row>
    <row r="46" customFormat="false" ht="40.5" hidden="false" customHeight="true" outlineLevel="0" collapsed="false">
      <c r="A46" s="10" t="s">
        <v>1708</v>
      </c>
      <c r="B46" s="5" t="s">
        <v>1709</v>
      </c>
      <c r="C46" s="5"/>
      <c r="D46" s="5" t="s">
        <v>1710</v>
      </c>
      <c r="E46" s="5"/>
      <c r="F46" s="5" t="s">
        <v>301</v>
      </c>
      <c r="G46" s="5" t="s">
        <v>1711</v>
      </c>
      <c r="H46" s="5"/>
      <c r="I46" s="5" t="s">
        <v>301</v>
      </c>
      <c r="J46" s="5"/>
      <c r="K46" s="5"/>
      <c r="L46" s="5"/>
      <c r="M46" s="5" t="s">
        <v>301</v>
      </c>
      <c r="N46" s="5"/>
      <c r="O46" s="5"/>
      <c r="P46" s="5" t="s">
        <v>121</v>
      </c>
      <c r="Q46" s="5" t="s">
        <v>268</v>
      </c>
      <c r="R46" s="5" t="s">
        <v>277</v>
      </c>
      <c r="S46" s="5" t="s">
        <v>1476</v>
      </c>
      <c r="T46" s="5"/>
      <c r="U46" s="5"/>
      <c r="V46" s="5" t="s">
        <v>1712</v>
      </c>
    </row>
    <row r="48" customFormat="false" ht="18" hidden="false" customHeight="true" outlineLevel="0" collapsed="false">
      <c r="A48" s="6" t="s">
        <v>316</v>
      </c>
      <c r="B48" s="6"/>
      <c r="C48" s="6"/>
      <c r="D48" s="6"/>
      <c r="E48" s="6"/>
      <c r="F48" s="6"/>
      <c r="G48" s="6"/>
      <c r="H48" s="6"/>
      <c r="I48" s="6"/>
      <c r="J48" s="6"/>
      <c r="K48" s="6"/>
      <c r="L48" s="6"/>
      <c r="M48" s="6"/>
      <c r="N48" s="6"/>
      <c r="O48" s="6"/>
      <c r="P48" s="6"/>
      <c r="Q48" s="6"/>
      <c r="R48" s="6"/>
      <c r="S48" s="6"/>
      <c r="T48" s="6"/>
      <c r="U48" s="6"/>
      <c r="V48" s="6"/>
    </row>
    <row r="49" customFormat="false" ht="40.5" hidden="false" customHeight="true" outlineLevel="0" collapsed="false">
      <c r="A49" s="9" t="s">
        <v>317</v>
      </c>
      <c r="B49" s="9" t="s">
        <v>318</v>
      </c>
      <c r="C49" s="9" t="s">
        <v>319</v>
      </c>
      <c r="D49" s="9" t="s">
        <v>320</v>
      </c>
      <c r="E49" s="9"/>
      <c r="F49" s="9" t="s">
        <v>250</v>
      </c>
      <c r="G49" s="9"/>
      <c r="H49" s="9" t="s">
        <v>321</v>
      </c>
      <c r="I49" s="9" t="s">
        <v>322</v>
      </c>
      <c r="J49" s="9" t="s">
        <v>323</v>
      </c>
      <c r="K49" s="9" t="s">
        <v>324</v>
      </c>
      <c r="L49" s="9" t="s">
        <v>259</v>
      </c>
      <c r="M49" s="9"/>
      <c r="N49" s="9" t="s">
        <v>171</v>
      </c>
      <c r="O49" s="9"/>
      <c r="P49" s="9"/>
      <c r="Q49" s="9"/>
      <c r="R49" s="9"/>
      <c r="S49" s="9"/>
      <c r="T49" s="9"/>
      <c r="U49" s="9"/>
      <c r="V49" s="9" t="s">
        <v>325</v>
      </c>
    </row>
    <row r="50" customFormat="false" ht="15" hidden="false" customHeight="true" outlineLevel="0" collapsed="false">
      <c r="A50" s="10" t="s">
        <v>1713</v>
      </c>
      <c r="B50" s="5" t="s">
        <v>361</v>
      </c>
      <c r="C50" s="5" t="s">
        <v>362</v>
      </c>
      <c r="D50" s="5" t="s">
        <v>328</v>
      </c>
      <c r="E50" s="5"/>
      <c r="F50" s="5" t="s">
        <v>1680</v>
      </c>
      <c r="G50" s="5"/>
      <c r="H50" s="30" t="n">
        <v>150000</v>
      </c>
      <c r="I50" s="30" t="n">
        <v>150000</v>
      </c>
      <c r="J50" s="5"/>
      <c r="K50" s="30" t="n">
        <v>150</v>
      </c>
      <c r="L50" s="5" t="s">
        <v>329</v>
      </c>
      <c r="M50" s="5"/>
      <c r="N50" s="5" t="s">
        <v>1714</v>
      </c>
      <c r="O50" s="5"/>
      <c r="P50" s="5"/>
      <c r="Q50" s="5"/>
      <c r="R50" s="5"/>
      <c r="S50" s="5"/>
      <c r="T50" s="5"/>
      <c r="U50" s="5"/>
      <c r="V50" s="5" t="s">
        <v>1667</v>
      </c>
    </row>
    <row r="51" customFormat="false" ht="15" hidden="false" customHeight="true" outlineLevel="0" collapsed="false">
      <c r="A51" s="10" t="s">
        <v>1715</v>
      </c>
      <c r="B51" s="5" t="s">
        <v>1716</v>
      </c>
      <c r="C51" s="5" t="s">
        <v>76</v>
      </c>
      <c r="D51" s="5" t="s">
        <v>1489</v>
      </c>
      <c r="E51" s="5"/>
      <c r="F51" s="5" t="s">
        <v>1680</v>
      </c>
      <c r="G51" s="5"/>
      <c r="H51" s="30" t="n">
        <v>100000</v>
      </c>
      <c r="I51" s="30" t="n">
        <v>250000</v>
      </c>
      <c r="J51" s="5"/>
      <c r="K51" s="5"/>
      <c r="L51" s="5" t="s">
        <v>1717</v>
      </c>
      <c r="M51" s="5"/>
      <c r="N51" s="5"/>
      <c r="O51" s="5"/>
      <c r="P51" s="5"/>
      <c r="Q51" s="5"/>
      <c r="R51" s="5"/>
      <c r="S51" s="5"/>
      <c r="T51" s="5"/>
      <c r="U51" s="5"/>
      <c r="V51" s="5" t="s">
        <v>1666</v>
      </c>
    </row>
    <row r="52" customFormat="false" ht="15" hidden="false" customHeight="true" outlineLevel="0" collapsed="false">
      <c r="A52" s="10" t="s">
        <v>1718</v>
      </c>
      <c r="B52" s="5" t="s">
        <v>1719</v>
      </c>
      <c r="C52" s="5" t="s">
        <v>76</v>
      </c>
      <c r="D52" s="5" t="s">
        <v>386</v>
      </c>
      <c r="E52" s="5"/>
      <c r="F52" s="5" t="s">
        <v>1682</v>
      </c>
      <c r="G52" s="5"/>
      <c r="H52" s="5"/>
      <c r="I52" s="5"/>
      <c r="J52" s="5"/>
      <c r="K52" s="5"/>
      <c r="L52" s="5" t="s">
        <v>1720</v>
      </c>
      <c r="M52" s="5"/>
      <c r="N52" s="5" t="s">
        <v>1721</v>
      </c>
      <c r="O52" s="5"/>
      <c r="P52" s="5"/>
      <c r="Q52" s="5"/>
      <c r="R52" s="5"/>
      <c r="S52" s="5"/>
      <c r="T52" s="5"/>
      <c r="U52" s="5"/>
      <c r="V52" s="5" t="s">
        <v>1668</v>
      </c>
    </row>
    <row r="53" customFormat="false" ht="15" hidden="false" customHeight="true" outlineLevel="0" collapsed="false">
      <c r="A53" s="10" t="s">
        <v>1722</v>
      </c>
      <c r="B53" s="5" t="s">
        <v>1697</v>
      </c>
      <c r="C53" s="5" t="s">
        <v>79</v>
      </c>
      <c r="D53" s="5" t="s">
        <v>328</v>
      </c>
      <c r="E53" s="5"/>
      <c r="F53" s="5" t="s">
        <v>1682</v>
      </c>
      <c r="G53" s="5"/>
      <c r="H53" s="30" t="n">
        <v>300000</v>
      </c>
      <c r="I53" s="30" t="n">
        <v>300000</v>
      </c>
      <c r="J53" s="30" t="n">
        <v>825000</v>
      </c>
      <c r="K53" s="30" t="n">
        <v>800</v>
      </c>
      <c r="L53" s="5" t="s">
        <v>329</v>
      </c>
      <c r="M53" s="5"/>
      <c r="N53" s="5" t="s">
        <v>1723</v>
      </c>
      <c r="O53" s="5"/>
      <c r="P53" s="5"/>
      <c r="Q53" s="5"/>
      <c r="R53" s="5"/>
      <c r="S53" s="5"/>
      <c r="T53" s="5"/>
      <c r="U53" s="5"/>
      <c r="V53" s="5" t="s">
        <v>1668</v>
      </c>
    </row>
    <row r="54" customFormat="false" ht="15" hidden="false" customHeight="true" outlineLevel="0" collapsed="false">
      <c r="A54" s="10" t="s">
        <v>1724</v>
      </c>
      <c r="B54" s="5" t="s">
        <v>80</v>
      </c>
      <c r="C54" s="5" t="s">
        <v>80</v>
      </c>
      <c r="D54" s="5" t="s">
        <v>1489</v>
      </c>
      <c r="E54" s="5"/>
      <c r="F54" s="5" t="s">
        <v>1682</v>
      </c>
      <c r="G54" s="5"/>
      <c r="H54" s="5"/>
      <c r="I54" s="5"/>
      <c r="J54" s="30" t="n">
        <v>950000</v>
      </c>
      <c r="K54" s="30" t="n">
        <v>800</v>
      </c>
      <c r="L54" s="5" t="s">
        <v>329</v>
      </c>
      <c r="M54" s="5"/>
      <c r="N54" s="5" t="s">
        <v>1725</v>
      </c>
      <c r="O54" s="5"/>
      <c r="P54" s="5"/>
      <c r="Q54" s="5"/>
      <c r="R54" s="5"/>
      <c r="S54" s="5"/>
      <c r="T54" s="5"/>
      <c r="U54" s="5"/>
      <c r="V54" s="5" t="s">
        <v>1670</v>
      </c>
    </row>
    <row r="55" customFormat="false" ht="15" hidden="false" customHeight="true" outlineLevel="0" collapsed="false">
      <c r="A55" s="10" t="s">
        <v>1726</v>
      </c>
      <c r="B55" s="5" t="s">
        <v>1727</v>
      </c>
      <c r="C55" s="5" t="s">
        <v>85</v>
      </c>
      <c r="D55" s="5" t="s">
        <v>392</v>
      </c>
      <c r="E55" s="5"/>
      <c r="F55" s="5" t="s">
        <v>1686</v>
      </c>
      <c r="G55" s="5"/>
      <c r="H55" s="5"/>
      <c r="I55" s="5"/>
      <c r="J55" s="5"/>
      <c r="K55" s="5"/>
      <c r="L55" s="5" t="s">
        <v>1728</v>
      </c>
      <c r="M55" s="5"/>
      <c r="N55" s="5" t="s">
        <v>1729</v>
      </c>
      <c r="O55" s="5"/>
      <c r="P55" s="5"/>
      <c r="Q55" s="5"/>
      <c r="R55" s="5"/>
      <c r="S55" s="5"/>
      <c r="T55" s="5"/>
      <c r="U55" s="5"/>
      <c r="V55" s="5" t="s">
        <v>1730</v>
      </c>
    </row>
    <row r="56" customFormat="false" ht="15" hidden="false" customHeight="true" outlineLevel="0" collapsed="false">
      <c r="A56" s="10" t="s">
        <v>1731</v>
      </c>
      <c r="B56" s="5" t="s">
        <v>1701</v>
      </c>
      <c r="C56" s="5" t="s">
        <v>87</v>
      </c>
      <c r="D56" s="5" t="s">
        <v>328</v>
      </c>
      <c r="E56" s="5"/>
      <c r="F56" s="5" t="s">
        <v>1686</v>
      </c>
      <c r="G56" s="5"/>
      <c r="H56" s="5"/>
      <c r="I56" s="5"/>
      <c r="J56" s="30" t="n">
        <v>1460000</v>
      </c>
      <c r="K56" s="5"/>
      <c r="L56" s="5" t="s">
        <v>329</v>
      </c>
      <c r="M56" s="5"/>
      <c r="N56" s="5" t="s">
        <v>1732</v>
      </c>
      <c r="O56" s="5"/>
      <c r="P56" s="5"/>
      <c r="Q56" s="5"/>
      <c r="R56" s="5"/>
      <c r="S56" s="5"/>
      <c r="T56" s="5"/>
      <c r="U56" s="5"/>
      <c r="V56" s="5" t="s">
        <v>1733</v>
      </c>
    </row>
    <row r="57" customFormat="false" ht="15" hidden="false" customHeight="true" outlineLevel="0" collapsed="false">
      <c r="A57" s="10" t="s">
        <v>1734</v>
      </c>
      <c r="B57" s="5" t="s">
        <v>766</v>
      </c>
      <c r="C57" s="5" t="s">
        <v>87</v>
      </c>
      <c r="D57" s="5" t="s">
        <v>1735</v>
      </c>
      <c r="E57" s="5"/>
      <c r="F57" s="5" t="s">
        <v>1686</v>
      </c>
      <c r="G57" s="5"/>
      <c r="H57" s="30" t="n">
        <v>540000</v>
      </c>
      <c r="I57" s="5"/>
      <c r="J57" s="30" t="n">
        <v>2000000</v>
      </c>
      <c r="K57" s="30" t="n">
        <v>958</v>
      </c>
      <c r="L57" s="5" t="s">
        <v>1736</v>
      </c>
      <c r="M57" s="5"/>
      <c r="N57" s="5" t="s">
        <v>1737</v>
      </c>
      <c r="O57" s="5"/>
      <c r="P57" s="5"/>
      <c r="Q57" s="5"/>
      <c r="R57" s="5"/>
      <c r="S57" s="5"/>
      <c r="T57" s="5"/>
      <c r="U57" s="5"/>
      <c r="V57" s="5" t="s">
        <v>1738</v>
      </c>
    </row>
    <row r="59" customFormat="false" ht="18" hidden="false" customHeight="true" outlineLevel="0" collapsed="false">
      <c r="A59" s="6" t="s">
        <v>433</v>
      </c>
      <c r="B59" s="6"/>
      <c r="C59" s="6"/>
      <c r="D59" s="6"/>
      <c r="E59" s="6"/>
      <c r="F59" s="6"/>
      <c r="G59" s="6"/>
      <c r="H59" s="6"/>
      <c r="I59" s="6"/>
      <c r="J59" s="6"/>
      <c r="K59" s="6"/>
      <c r="L59" s="6"/>
      <c r="M59" s="6"/>
      <c r="N59" s="6"/>
      <c r="O59" s="6"/>
      <c r="P59" s="6"/>
      <c r="Q59" s="6"/>
      <c r="R59" s="6"/>
      <c r="S59" s="6"/>
      <c r="T59" s="6"/>
      <c r="U59" s="6"/>
      <c r="V59" s="6"/>
    </row>
    <row r="60" customFormat="false" ht="15" hidden="false" customHeight="true" outlineLevel="0" collapsed="false">
      <c r="A60" s="9" t="s">
        <v>434</v>
      </c>
      <c r="B60" s="9" t="s">
        <v>435</v>
      </c>
      <c r="C60" s="9"/>
      <c r="D60" s="9" t="s">
        <v>70</v>
      </c>
      <c r="E60" s="9"/>
      <c r="F60" s="9" t="s">
        <v>436</v>
      </c>
      <c r="G60" s="9"/>
      <c r="H60" s="9"/>
      <c r="I60" s="9"/>
      <c r="J60" s="9"/>
      <c r="K60" s="9"/>
      <c r="L60" s="9" t="s">
        <v>437</v>
      </c>
      <c r="M60" s="9"/>
      <c r="N60" s="9"/>
      <c r="O60" s="9" t="s">
        <v>438</v>
      </c>
      <c r="P60" s="9" t="s">
        <v>171</v>
      </c>
      <c r="Q60" s="9"/>
      <c r="R60" s="9"/>
      <c r="S60" s="9"/>
      <c r="T60" s="9"/>
      <c r="U60" s="9"/>
      <c r="V60" s="9" t="s">
        <v>260</v>
      </c>
    </row>
    <row r="61" customFormat="false" ht="15" hidden="false" customHeight="true" outlineLevel="0" collapsed="false">
      <c r="A61" s="10" t="s">
        <v>1739</v>
      </c>
      <c r="B61" s="5" t="s">
        <v>461</v>
      </c>
      <c r="C61" s="5"/>
      <c r="D61" s="5" t="s">
        <v>1740</v>
      </c>
      <c r="E61" s="5"/>
      <c r="F61" s="5" t="s">
        <v>1741</v>
      </c>
      <c r="G61" s="5"/>
      <c r="H61" s="5"/>
      <c r="I61" s="5"/>
      <c r="J61" s="5"/>
      <c r="K61" s="5"/>
      <c r="L61" s="5" t="s">
        <v>121</v>
      </c>
      <c r="M61" s="5"/>
      <c r="N61" s="5"/>
      <c r="O61" s="5" t="s">
        <v>1057</v>
      </c>
      <c r="P61" s="5"/>
      <c r="Q61" s="5"/>
      <c r="R61" s="5"/>
      <c r="S61" s="5"/>
      <c r="T61" s="5"/>
      <c r="U61" s="5"/>
      <c r="V61" s="5" t="s">
        <v>658</v>
      </c>
    </row>
    <row r="62" customFormat="false" ht="15" hidden="false" customHeight="true" outlineLevel="0" collapsed="false">
      <c r="A62" s="10" t="s">
        <v>1742</v>
      </c>
      <c r="B62" s="5" t="s">
        <v>461</v>
      </c>
      <c r="C62" s="5"/>
      <c r="D62" s="5" t="s">
        <v>1743</v>
      </c>
      <c r="E62" s="5"/>
      <c r="F62" s="5" t="s">
        <v>1744</v>
      </c>
      <c r="G62" s="5"/>
      <c r="H62" s="5"/>
      <c r="I62" s="5"/>
      <c r="J62" s="5"/>
      <c r="K62" s="5"/>
      <c r="L62" s="5" t="s">
        <v>121</v>
      </c>
      <c r="M62" s="5"/>
      <c r="N62" s="5"/>
      <c r="O62" s="5" t="s">
        <v>465</v>
      </c>
      <c r="P62" s="5"/>
      <c r="Q62" s="5"/>
      <c r="R62" s="5"/>
      <c r="S62" s="5"/>
      <c r="T62" s="5"/>
      <c r="U62" s="5"/>
      <c r="V62" s="5" t="s">
        <v>658</v>
      </c>
    </row>
    <row r="63" customFormat="false" ht="27.75" hidden="false" customHeight="true" outlineLevel="0" collapsed="false">
      <c r="A63" s="10" t="s">
        <v>1745</v>
      </c>
      <c r="B63" s="5" t="s">
        <v>461</v>
      </c>
      <c r="C63" s="5"/>
      <c r="D63" s="5" t="s">
        <v>1746</v>
      </c>
      <c r="E63" s="5"/>
      <c r="F63" s="5" t="s">
        <v>1747</v>
      </c>
      <c r="G63" s="5"/>
      <c r="H63" s="5"/>
      <c r="I63" s="5"/>
      <c r="J63" s="5"/>
      <c r="K63" s="5"/>
      <c r="L63" s="5" t="s">
        <v>1748</v>
      </c>
      <c r="M63" s="5"/>
      <c r="N63" s="5"/>
      <c r="O63" s="5" t="s">
        <v>1749</v>
      </c>
      <c r="P63" s="5"/>
      <c r="Q63" s="5"/>
      <c r="R63" s="5"/>
      <c r="S63" s="5"/>
      <c r="T63" s="5"/>
      <c r="U63" s="5"/>
      <c r="V63" s="5" t="s">
        <v>1750</v>
      </c>
    </row>
    <row r="64" customFormat="false" ht="27.75" hidden="false" customHeight="true" outlineLevel="0" collapsed="false">
      <c r="A64" s="10" t="s">
        <v>1751</v>
      </c>
      <c r="B64" s="5" t="s">
        <v>447</v>
      </c>
      <c r="C64" s="5"/>
      <c r="D64" s="5" t="s">
        <v>1752</v>
      </c>
      <c r="E64" s="5"/>
      <c r="F64" s="5" t="s">
        <v>1753</v>
      </c>
      <c r="G64" s="5"/>
      <c r="H64" s="5"/>
      <c r="I64" s="5"/>
      <c r="J64" s="5"/>
      <c r="K64" s="5"/>
      <c r="L64" s="5" t="s">
        <v>1686</v>
      </c>
      <c r="M64" s="5"/>
      <c r="N64" s="5"/>
      <c r="O64" s="5" t="s">
        <v>1754</v>
      </c>
      <c r="P64" s="5"/>
      <c r="Q64" s="5"/>
      <c r="R64" s="5"/>
      <c r="S64" s="5"/>
      <c r="T64" s="5"/>
      <c r="U64" s="5"/>
      <c r="V64" s="5" t="s">
        <v>1755</v>
      </c>
    </row>
    <row r="66" customFormat="false" ht="18" hidden="false" customHeight="true" outlineLevel="0" collapsed="false">
      <c r="A66" s="6" t="s">
        <v>468</v>
      </c>
      <c r="B66" s="6"/>
      <c r="C66" s="6"/>
      <c r="D66" s="6"/>
      <c r="E66" s="6"/>
      <c r="F66" s="6"/>
      <c r="G66" s="6"/>
      <c r="H66" s="6"/>
      <c r="I66" s="6"/>
      <c r="J66" s="6"/>
      <c r="K66" s="6"/>
      <c r="L66" s="6"/>
      <c r="M66" s="6"/>
      <c r="N66" s="6"/>
      <c r="O66" s="6"/>
      <c r="P66" s="6"/>
      <c r="Q66" s="6"/>
      <c r="R66" s="6"/>
      <c r="S66" s="6"/>
      <c r="T66" s="6"/>
      <c r="U66" s="6"/>
      <c r="V66" s="6"/>
    </row>
    <row r="67" customFormat="false" ht="40.5" hidden="false" customHeight="true" outlineLevel="0" collapsed="false">
      <c r="A67" s="9" t="s">
        <v>469</v>
      </c>
      <c r="B67" s="9" t="s">
        <v>251</v>
      </c>
      <c r="C67" s="9"/>
      <c r="D67" s="9" t="s">
        <v>470</v>
      </c>
      <c r="E67" s="9" t="s">
        <v>471</v>
      </c>
      <c r="F67" s="9" t="s">
        <v>324</v>
      </c>
      <c r="G67" s="9" t="s">
        <v>472</v>
      </c>
      <c r="H67" s="9" t="s">
        <v>473</v>
      </c>
      <c r="I67" s="9"/>
      <c r="J67" s="9" t="s">
        <v>171</v>
      </c>
      <c r="K67" s="9"/>
      <c r="L67" s="9"/>
      <c r="M67" s="9"/>
      <c r="N67" s="9"/>
      <c r="O67" s="9"/>
      <c r="P67" s="9"/>
      <c r="Q67" s="9"/>
      <c r="R67" s="9"/>
      <c r="S67" s="9"/>
      <c r="T67" s="9"/>
      <c r="U67" s="9"/>
      <c r="V67" s="9" t="s">
        <v>325</v>
      </c>
    </row>
    <row r="68" customFormat="false" ht="27.75" hidden="false" customHeight="true" outlineLevel="0" collapsed="false">
      <c r="A68" s="10" t="s">
        <v>1756</v>
      </c>
      <c r="B68" s="5" t="s">
        <v>669</v>
      </c>
      <c r="C68" s="5"/>
      <c r="D68" s="30" t="n">
        <v>540000</v>
      </c>
      <c r="E68" s="5" t="s">
        <v>1757</v>
      </c>
      <c r="F68" s="30" t="n">
        <v>958</v>
      </c>
      <c r="G68" s="5" t="s">
        <v>477</v>
      </c>
      <c r="H68" s="5" t="s">
        <v>1537</v>
      </c>
      <c r="I68" s="5"/>
      <c r="J68" s="5" t="s">
        <v>1758</v>
      </c>
      <c r="K68" s="5"/>
      <c r="L68" s="5"/>
      <c r="M68" s="5"/>
      <c r="N68" s="5"/>
      <c r="O68" s="5"/>
      <c r="P68" s="5"/>
      <c r="Q68" s="5"/>
      <c r="R68" s="5"/>
      <c r="S68" s="5"/>
      <c r="T68" s="5"/>
      <c r="U68" s="5"/>
      <c r="V68" s="5" t="s">
        <v>1738</v>
      </c>
    </row>
    <row r="70" customFormat="false" ht="18" hidden="false" customHeight="true" outlineLevel="0" collapsed="false">
      <c r="A70" s="6" t="s">
        <v>502</v>
      </c>
      <c r="B70" s="6"/>
      <c r="C70" s="6"/>
      <c r="D70" s="6"/>
      <c r="E70" s="6"/>
      <c r="F70" s="6"/>
      <c r="G70" s="6"/>
      <c r="H70" s="6"/>
      <c r="I70" s="6"/>
      <c r="J70" s="6"/>
      <c r="K70" s="6"/>
      <c r="L70" s="6"/>
      <c r="M70" s="6"/>
      <c r="N70" s="6"/>
      <c r="O70" s="6"/>
      <c r="P70" s="6"/>
      <c r="Q70" s="6"/>
      <c r="R70" s="6"/>
      <c r="S70" s="6"/>
      <c r="T70" s="6"/>
      <c r="U70" s="6"/>
      <c r="V70" s="6"/>
    </row>
    <row r="71" customFormat="false" ht="15" hidden="false" customHeight="true" outlineLevel="0" collapsed="false">
      <c r="A71" s="10" t="s">
        <v>1759</v>
      </c>
      <c r="B71" s="10"/>
      <c r="C71" s="10"/>
      <c r="D71" s="10"/>
      <c r="E71" s="10"/>
      <c r="F71" s="10"/>
      <c r="G71" s="10"/>
      <c r="H71" s="10"/>
      <c r="I71" s="10"/>
      <c r="J71" s="10"/>
      <c r="K71" s="10"/>
      <c r="L71" s="10"/>
      <c r="M71" s="10"/>
      <c r="N71" s="10"/>
      <c r="O71" s="10"/>
      <c r="P71" s="10"/>
      <c r="Q71" s="10"/>
      <c r="R71" s="10"/>
      <c r="S71" s="10"/>
      <c r="T71" s="10"/>
      <c r="U71" s="10"/>
      <c r="V71" s="10"/>
    </row>
    <row r="72" customFormat="false" ht="15" hidden="false" customHeight="true" outlineLevel="0" collapsed="false">
      <c r="A72" s="10" t="s">
        <v>1760</v>
      </c>
      <c r="B72" s="10"/>
      <c r="C72" s="10"/>
      <c r="D72" s="10"/>
      <c r="E72" s="10"/>
      <c r="F72" s="10"/>
      <c r="G72" s="10"/>
      <c r="H72" s="10"/>
      <c r="I72" s="10"/>
      <c r="J72" s="10"/>
      <c r="K72" s="10"/>
      <c r="L72" s="10"/>
      <c r="M72" s="10"/>
      <c r="N72" s="10"/>
      <c r="O72" s="10"/>
      <c r="P72" s="10"/>
      <c r="Q72" s="10"/>
      <c r="R72" s="10"/>
      <c r="S72" s="10"/>
      <c r="T72" s="10"/>
      <c r="U72" s="10"/>
      <c r="V72" s="10"/>
    </row>
    <row r="73" customFormat="false" ht="15" hidden="false" customHeight="true" outlineLevel="0" collapsed="false">
      <c r="A73" s="10" t="s">
        <v>1761</v>
      </c>
      <c r="B73" s="10"/>
      <c r="C73" s="10"/>
      <c r="D73" s="10"/>
      <c r="E73" s="10"/>
      <c r="F73" s="10"/>
      <c r="G73" s="10"/>
      <c r="H73" s="10"/>
      <c r="I73" s="10"/>
      <c r="J73" s="10"/>
      <c r="K73" s="10"/>
      <c r="L73" s="10"/>
      <c r="M73" s="10"/>
      <c r="N73" s="10"/>
      <c r="O73" s="10"/>
      <c r="P73" s="10"/>
      <c r="Q73" s="10"/>
      <c r="R73" s="10"/>
      <c r="S73" s="10"/>
      <c r="T73" s="10"/>
      <c r="U73" s="10"/>
      <c r="V73" s="10"/>
    </row>
  </sheetData>
  <mergeCells count="166">
    <mergeCell ref="A3:V3"/>
    <mergeCell ref="A4:V4"/>
    <mergeCell ref="A5:B5"/>
    <mergeCell ref="C5:E5"/>
    <mergeCell ref="F5:V5"/>
    <mergeCell ref="A6:B6"/>
    <mergeCell ref="C6:E6"/>
    <mergeCell ref="F6:V6"/>
    <mergeCell ref="A7:B7"/>
    <mergeCell ref="C7:E7"/>
    <mergeCell ref="F7:V7"/>
    <mergeCell ref="A8:B8"/>
    <mergeCell ref="C8:E8"/>
    <mergeCell ref="F8:V8"/>
    <mergeCell ref="A9:B9"/>
    <mergeCell ref="C9:E9"/>
    <mergeCell ref="F9:V9"/>
    <mergeCell ref="A10:B10"/>
    <mergeCell ref="C10:E10"/>
    <mergeCell ref="F10:V10"/>
    <mergeCell ref="A11:B11"/>
    <mergeCell ref="C11:E11"/>
    <mergeCell ref="F11:V11"/>
    <mergeCell ref="A12:B12"/>
    <mergeCell ref="C12:E12"/>
    <mergeCell ref="F12:V12"/>
    <mergeCell ref="A13:B13"/>
    <mergeCell ref="C13:E13"/>
    <mergeCell ref="F13:V13"/>
    <mergeCell ref="A14:B14"/>
    <mergeCell ref="C14:E14"/>
    <mergeCell ref="F14:V14"/>
    <mergeCell ref="A15:B15"/>
    <mergeCell ref="C15:V15"/>
    <mergeCell ref="A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A33:V33"/>
    <mergeCell ref="T34:V34"/>
    <mergeCell ref="T35:V35"/>
    <mergeCell ref="T36:V36"/>
    <mergeCell ref="T37:V37"/>
    <mergeCell ref="T38:V38"/>
    <mergeCell ref="A40:V40"/>
    <mergeCell ref="B41:C41"/>
    <mergeCell ref="D41:E41"/>
    <mergeCell ref="G41:H41"/>
    <mergeCell ref="I41:L41"/>
    <mergeCell ref="M41:N41"/>
    <mergeCell ref="S41:U41"/>
    <mergeCell ref="B42:C42"/>
    <mergeCell ref="D42:E42"/>
    <mergeCell ref="G42:H42"/>
    <mergeCell ref="I42:L42"/>
    <mergeCell ref="M42:N42"/>
    <mergeCell ref="S42:U42"/>
    <mergeCell ref="B43:C43"/>
    <mergeCell ref="D43:E43"/>
    <mergeCell ref="G43:H43"/>
    <mergeCell ref="I43:L43"/>
    <mergeCell ref="M43:N43"/>
    <mergeCell ref="S43:U43"/>
    <mergeCell ref="B44:C44"/>
    <mergeCell ref="D44:E44"/>
    <mergeCell ref="G44:H44"/>
    <mergeCell ref="I44:L44"/>
    <mergeCell ref="M44:N44"/>
    <mergeCell ref="S44:U44"/>
    <mergeCell ref="B45:C45"/>
    <mergeCell ref="D45:E45"/>
    <mergeCell ref="G45:H45"/>
    <mergeCell ref="I45:L45"/>
    <mergeCell ref="M45:N45"/>
    <mergeCell ref="S45:U45"/>
    <mergeCell ref="B46:C46"/>
    <mergeCell ref="D46:E46"/>
    <mergeCell ref="G46:H46"/>
    <mergeCell ref="I46:L46"/>
    <mergeCell ref="M46:N46"/>
    <mergeCell ref="S46:U46"/>
    <mergeCell ref="A48:V48"/>
    <mergeCell ref="D49:E49"/>
    <mergeCell ref="F49:G49"/>
    <mergeCell ref="L49:M49"/>
    <mergeCell ref="N49:U49"/>
    <mergeCell ref="D50:E50"/>
    <mergeCell ref="F50:G50"/>
    <mergeCell ref="L50:M50"/>
    <mergeCell ref="N50:U50"/>
    <mergeCell ref="D51:E51"/>
    <mergeCell ref="F51:G51"/>
    <mergeCell ref="L51:M51"/>
    <mergeCell ref="N51:U51"/>
    <mergeCell ref="D52:E52"/>
    <mergeCell ref="F52:G52"/>
    <mergeCell ref="L52:M52"/>
    <mergeCell ref="N52:U52"/>
    <mergeCell ref="D53:E53"/>
    <mergeCell ref="F53:G53"/>
    <mergeCell ref="L53:M53"/>
    <mergeCell ref="N53:U53"/>
    <mergeCell ref="D54:E54"/>
    <mergeCell ref="F54:G54"/>
    <mergeCell ref="L54:M54"/>
    <mergeCell ref="N54:U54"/>
    <mergeCell ref="D55:E55"/>
    <mergeCell ref="F55:G55"/>
    <mergeCell ref="L55:M55"/>
    <mergeCell ref="N55:U55"/>
    <mergeCell ref="D56:E56"/>
    <mergeCell ref="F56:G56"/>
    <mergeCell ref="L56:M56"/>
    <mergeCell ref="N56:U56"/>
    <mergeCell ref="D57:E57"/>
    <mergeCell ref="F57:G57"/>
    <mergeCell ref="L57:M57"/>
    <mergeCell ref="N57:U57"/>
    <mergeCell ref="A59:V59"/>
    <mergeCell ref="B60:C60"/>
    <mergeCell ref="D60:E60"/>
    <mergeCell ref="F60:K60"/>
    <mergeCell ref="L60:N60"/>
    <mergeCell ref="P60:U60"/>
    <mergeCell ref="B61:C61"/>
    <mergeCell ref="D61:E61"/>
    <mergeCell ref="F61:K61"/>
    <mergeCell ref="L61:N61"/>
    <mergeCell ref="P61:U61"/>
    <mergeCell ref="B62:C62"/>
    <mergeCell ref="D62:E62"/>
    <mergeCell ref="F62:K62"/>
    <mergeCell ref="L62:N62"/>
    <mergeCell ref="P62:U62"/>
    <mergeCell ref="B63:C63"/>
    <mergeCell ref="D63:E63"/>
    <mergeCell ref="F63:K63"/>
    <mergeCell ref="L63:N63"/>
    <mergeCell ref="P63:U63"/>
    <mergeCell ref="B64:C64"/>
    <mergeCell ref="D64:E64"/>
    <mergeCell ref="F64:K64"/>
    <mergeCell ref="L64:N64"/>
    <mergeCell ref="P64:U64"/>
    <mergeCell ref="A66:V66"/>
    <mergeCell ref="B67:C67"/>
    <mergeCell ref="H67:I67"/>
    <mergeCell ref="J67:U67"/>
    <mergeCell ref="B68:C68"/>
    <mergeCell ref="H68:I68"/>
    <mergeCell ref="J68:U68"/>
    <mergeCell ref="A70:V70"/>
    <mergeCell ref="A71:V71"/>
    <mergeCell ref="A72:V72"/>
    <mergeCell ref="A73:V73"/>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1" min="3" style="0" width="11"/>
    <col collapsed="false" customWidth="true" hidden="false" outlineLevel="0" max="22" min="22" style="0" width="36"/>
  </cols>
  <sheetData>
    <row r="1" customFormat="false" ht="18.55" hidden="false" customHeight="false" outlineLevel="0" collapsed="false">
      <c r="A1" s="1" t="s">
        <v>1762</v>
      </c>
    </row>
    <row r="2" customFormat="false" ht="15" hidden="false" customHeight="false" outlineLevel="0" collapsed="false">
      <c r="A2" s="2" t="s">
        <v>1763</v>
      </c>
    </row>
    <row r="3" customFormat="false" ht="15" hidden="false" customHeight="true" outlineLevel="0" collapsed="false">
      <c r="A3" s="23" t="s">
        <v>1764</v>
      </c>
      <c r="B3" s="23"/>
      <c r="C3" s="23"/>
      <c r="D3" s="23"/>
      <c r="E3" s="23"/>
      <c r="F3" s="23"/>
      <c r="G3" s="23"/>
      <c r="H3" s="23"/>
      <c r="I3" s="23"/>
      <c r="J3" s="23"/>
      <c r="K3" s="23"/>
      <c r="L3" s="23"/>
      <c r="M3" s="23"/>
      <c r="N3" s="23"/>
      <c r="O3" s="23"/>
      <c r="P3" s="23"/>
      <c r="Q3" s="23"/>
      <c r="R3" s="23"/>
      <c r="S3" s="23"/>
      <c r="T3" s="23"/>
      <c r="U3" s="23"/>
      <c r="V3" s="23"/>
    </row>
    <row r="4" customFormat="false" ht="18" hidden="false" customHeight="true" outlineLevel="0" collapsed="false">
      <c r="A4" s="6" t="s">
        <v>151</v>
      </c>
      <c r="B4" s="6"/>
      <c r="C4" s="6"/>
      <c r="D4" s="6"/>
      <c r="E4" s="6"/>
      <c r="F4" s="6"/>
      <c r="G4" s="6"/>
      <c r="H4" s="6"/>
      <c r="I4" s="6"/>
      <c r="J4" s="6"/>
      <c r="K4" s="6"/>
      <c r="L4" s="6"/>
      <c r="M4" s="6"/>
      <c r="N4" s="6"/>
      <c r="O4" s="6"/>
      <c r="P4" s="6"/>
      <c r="Q4" s="6"/>
      <c r="R4" s="6"/>
      <c r="S4" s="6"/>
      <c r="T4" s="6"/>
      <c r="U4" s="6"/>
      <c r="V4" s="6"/>
    </row>
    <row r="5" customFormat="false" ht="15" hidden="false" customHeight="true" outlineLevel="0" collapsed="false">
      <c r="A5" s="4" t="s">
        <v>152</v>
      </c>
      <c r="B5" s="4"/>
      <c r="C5" s="24" t="n">
        <v>11600000</v>
      </c>
      <c r="D5" s="24"/>
      <c r="E5" s="24"/>
      <c r="F5" s="25" t="s">
        <v>1765</v>
      </c>
      <c r="G5" s="25"/>
      <c r="H5" s="25"/>
      <c r="I5" s="25"/>
      <c r="J5" s="25"/>
      <c r="K5" s="25"/>
      <c r="L5" s="25"/>
      <c r="M5" s="25"/>
      <c r="N5" s="25"/>
      <c r="O5" s="25"/>
      <c r="P5" s="25"/>
      <c r="Q5" s="25"/>
      <c r="R5" s="25"/>
      <c r="S5" s="25"/>
      <c r="T5" s="25"/>
      <c r="U5" s="25"/>
      <c r="V5" s="25"/>
    </row>
    <row r="6" customFormat="false" ht="27.75" hidden="false" customHeight="true" outlineLevel="0" collapsed="false">
      <c r="A6" s="4" t="s">
        <v>110</v>
      </c>
      <c r="B6" s="4"/>
      <c r="C6" s="5" t="s">
        <v>1766</v>
      </c>
      <c r="D6" s="5"/>
      <c r="E6" s="5"/>
      <c r="F6" s="25"/>
      <c r="G6" s="25"/>
      <c r="H6" s="25"/>
      <c r="I6" s="25"/>
      <c r="J6" s="25"/>
      <c r="K6" s="25"/>
      <c r="L6" s="25"/>
      <c r="M6" s="25"/>
      <c r="N6" s="25"/>
      <c r="O6" s="25"/>
      <c r="P6" s="25"/>
      <c r="Q6" s="25"/>
      <c r="R6" s="25"/>
      <c r="S6" s="25"/>
      <c r="T6" s="25"/>
      <c r="U6" s="25"/>
      <c r="V6" s="25"/>
    </row>
    <row r="7" customFormat="false" ht="40.5" hidden="false" customHeight="true" outlineLevel="0" collapsed="false">
      <c r="A7" s="4" t="s">
        <v>155</v>
      </c>
      <c r="B7" s="4"/>
      <c r="C7" s="5" t="s">
        <v>1767</v>
      </c>
      <c r="D7" s="5"/>
      <c r="E7" s="5"/>
      <c r="F7" s="25"/>
      <c r="G7" s="25"/>
      <c r="H7" s="25"/>
      <c r="I7" s="25"/>
      <c r="J7" s="25"/>
      <c r="K7" s="25"/>
      <c r="L7" s="25"/>
      <c r="M7" s="25"/>
      <c r="N7" s="25"/>
      <c r="O7" s="25"/>
      <c r="P7" s="25"/>
      <c r="Q7" s="25"/>
      <c r="R7" s="25"/>
      <c r="S7" s="25"/>
      <c r="T7" s="25"/>
      <c r="U7" s="25"/>
      <c r="V7" s="25"/>
    </row>
    <row r="8" customFormat="false" ht="27.75" hidden="false" customHeight="true" outlineLevel="0" collapsed="false">
      <c r="A8" s="4" t="s">
        <v>111</v>
      </c>
      <c r="B8" s="4"/>
      <c r="C8" s="5" t="s">
        <v>1768</v>
      </c>
      <c r="D8" s="5"/>
      <c r="E8" s="5"/>
      <c r="F8" s="25"/>
      <c r="G8" s="25"/>
      <c r="H8" s="25"/>
      <c r="I8" s="25"/>
      <c r="J8" s="25"/>
      <c r="K8" s="25"/>
      <c r="L8" s="25"/>
      <c r="M8" s="25"/>
      <c r="N8" s="25"/>
      <c r="O8" s="25"/>
      <c r="P8" s="25"/>
      <c r="Q8" s="25"/>
      <c r="R8" s="25"/>
      <c r="S8" s="25"/>
      <c r="T8" s="25"/>
      <c r="U8" s="25"/>
      <c r="V8" s="25"/>
    </row>
    <row r="9" customFormat="false" ht="15" hidden="false" customHeight="true" outlineLevel="0" collapsed="false">
      <c r="A9" s="4" t="s">
        <v>158</v>
      </c>
      <c r="B9" s="4"/>
      <c r="C9" s="26" t="n">
        <f aca="false">IF(ISNUMBER(S22),S22,"n.d.")</f>
        <v>6468834</v>
      </c>
      <c r="D9" s="26"/>
      <c r="E9" s="26"/>
      <c r="F9" s="25" t="s">
        <v>1769</v>
      </c>
      <c r="G9" s="25"/>
      <c r="H9" s="25"/>
      <c r="I9" s="25"/>
      <c r="J9" s="25"/>
      <c r="K9" s="25"/>
      <c r="L9" s="25"/>
      <c r="M9" s="25"/>
      <c r="N9" s="25"/>
      <c r="O9" s="25"/>
      <c r="P9" s="25"/>
      <c r="Q9" s="25"/>
      <c r="R9" s="25"/>
      <c r="S9" s="25"/>
      <c r="T9" s="25"/>
      <c r="U9" s="25"/>
      <c r="V9" s="25"/>
    </row>
    <row r="10" customFormat="false" ht="27.75" hidden="false" customHeight="true" outlineLevel="0" collapsed="false">
      <c r="A10" s="4" t="s">
        <v>160</v>
      </c>
      <c r="B10" s="4"/>
      <c r="C10" s="5" t="s">
        <v>1769</v>
      </c>
      <c r="D10" s="5"/>
      <c r="E10" s="5"/>
      <c r="F10" s="25"/>
      <c r="G10" s="25"/>
      <c r="H10" s="25"/>
      <c r="I10" s="25"/>
      <c r="J10" s="25"/>
      <c r="K10" s="25"/>
      <c r="L10" s="25"/>
      <c r="M10" s="25"/>
      <c r="N10" s="25"/>
      <c r="O10" s="25"/>
      <c r="P10" s="25"/>
      <c r="Q10" s="25"/>
      <c r="R10" s="25"/>
      <c r="S10" s="25"/>
      <c r="T10" s="25"/>
      <c r="U10" s="25"/>
      <c r="V10" s="25"/>
    </row>
    <row r="11" customFormat="false" ht="15" hidden="false" customHeight="true" outlineLevel="0" collapsed="false">
      <c r="A11" s="4" t="s">
        <v>114</v>
      </c>
      <c r="B11" s="4"/>
      <c r="C11" s="27" t="n">
        <f aca="false">IFERROR(C9/C5,"n.d.")</f>
        <v>0.557658103448276</v>
      </c>
      <c r="D11" s="27"/>
      <c r="E11" s="27"/>
      <c r="F11" s="25" t="s">
        <v>1770</v>
      </c>
      <c r="G11" s="25"/>
      <c r="H11" s="25"/>
      <c r="I11" s="25"/>
      <c r="J11" s="25"/>
      <c r="K11" s="25"/>
      <c r="L11" s="25"/>
      <c r="M11" s="25"/>
      <c r="N11" s="25"/>
      <c r="O11" s="25"/>
      <c r="P11" s="25"/>
      <c r="Q11" s="25"/>
      <c r="R11" s="25"/>
      <c r="S11" s="25"/>
      <c r="T11" s="25"/>
      <c r="U11" s="25"/>
      <c r="V11" s="25"/>
    </row>
    <row r="12" customFormat="false" ht="15" hidden="false" customHeight="true" outlineLevel="0" collapsed="false">
      <c r="A12" s="4" t="s">
        <v>162</v>
      </c>
      <c r="B12" s="4"/>
      <c r="C12" s="5" t="s">
        <v>121</v>
      </c>
      <c r="D12" s="5"/>
      <c r="E12" s="5"/>
      <c r="F12" s="25" t="s">
        <v>1110</v>
      </c>
      <c r="G12" s="25"/>
      <c r="H12" s="25"/>
      <c r="I12" s="25"/>
      <c r="J12" s="25"/>
      <c r="K12" s="25"/>
      <c r="L12" s="25"/>
      <c r="M12" s="25"/>
      <c r="N12" s="25"/>
      <c r="O12" s="25"/>
      <c r="P12" s="25"/>
      <c r="Q12" s="25"/>
      <c r="R12" s="25"/>
      <c r="S12" s="25"/>
      <c r="T12" s="25"/>
      <c r="U12" s="25"/>
      <c r="V12" s="25"/>
    </row>
    <row r="13" customFormat="false" ht="15" hidden="false" customHeight="true" outlineLevel="0" collapsed="false">
      <c r="A13" s="4" t="s">
        <v>164</v>
      </c>
      <c r="B13" s="4"/>
      <c r="C13" s="5" t="s">
        <v>121</v>
      </c>
      <c r="D13" s="5"/>
      <c r="E13" s="5"/>
      <c r="F13" s="25" t="s">
        <v>1111</v>
      </c>
      <c r="G13" s="25"/>
      <c r="H13" s="25"/>
      <c r="I13" s="25"/>
      <c r="J13" s="25"/>
      <c r="K13" s="25"/>
      <c r="L13" s="25"/>
      <c r="M13" s="25"/>
      <c r="N13" s="25"/>
      <c r="O13" s="25"/>
      <c r="P13" s="25"/>
      <c r="Q13" s="25"/>
      <c r="R13" s="25"/>
      <c r="S13" s="25"/>
      <c r="T13" s="25"/>
      <c r="U13" s="25"/>
      <c r="V13" s="25"/>
    </row>
    <row r="14" customFormat="false" ht="15" hidden="false" customHeight="true" outlineLevel="0" collapsed="false">
      <c r="A14" s="4" t="s">
        <v>130</v>
      </c>
      <c r="B14" s="4"/>
      <c r="C14" s="5" t="s">
        <v>312</v>
      </c>
      <c r="D14" s="5"/>
      <c r="E14" s="5"/>
      <c r="F14" s="25"/>
      <c r="G14" s="25"/>
      <c r="H14" s="25"/>
      <c r="I14" s="25"/>
      <c r="J14" s="25"/>
      <c r="K14" s="25"/>
      <c r="L14" s="25"/>
      <c r="M14" s="25"/>
      <c r="N14" s="25"/>
      <c r="O14" s="25"/>
      <c r="P14" s="25"/>
      <c r="Q14" s="25"/>
      <c r="R14" s="25"/>
      <c r="S14" s="25"/>
      <c r="T14" s="25"/>
      <c r="U14" s="25"/>
      <c r="V14" s="25"/>
    </row>
    <row r="15" customFormat="false" ht="20.25" hidden="false" customHeight="true" outlineLevel="0" collapsed="false">
      <c r="A15" s="4" t="s">
        <v>120</v>
      </c>
      <c r="B15" s="4"/>
      <c r="C15" s="28" t="s">
        <v>1771</v>
      </c>
      <c r="D15" s="28"/>
      <c r="E15" s="28"/>
      <c r="F15" s="28"/>
      <c r="G15" s="28"/>
      <c r="H15" s="28"/>
      <c r="I15" s="28"/>
      <c r="J15" s="28"/>
      <c r="K15" s="28"/>
      <c r="L15" s="28"/>
      <c r="M15" s="28"/>
      <c r="N15" s="28"/>
      <c r="O15" s="28"/>
      <c r="P15" s="28"/>
      <c r="Q15" s="28"/>
      <c r="R15" s="28"/>
      <c r="S15" s="28"/>
      <c r="T15" s="28"/>
      <c r="U15" s="28"/>
      <c r="V15" s="28"/>
    </row>
    <row r="17" customFormat="false" ht="18" hidden="false" customHeight="true" outlineLevel="0" collapsed="false">
      <c r="A17" s="6" t="s">
        <v>168</v>
      </c>
      <c r="B17" s="6"/>
      <c r="C17" s="6"/>
      <c r="D17" s="6"/>
      <c r="E17" s="6"/>
      <c r="F17" s="6"/>
      <c r="G17" s="6"/>
      <c r="H17" s="6"/>
      <c r="I17" s="6"/>
      <c r="J17" s="6"/>
      <c r="K17" s="6"/>
      <c r="L17" s="6"/>
      <c r="M17" s="6"/>
      <c r="N17" s="6"/>
      <c r="O17" s="6"/>
      <c r="P17" s="6"/>
      <c r="Q17" s="6"/>
      <c r="R17" s="6"/>
      <c r="S17" s="6"/>
      <c r="T17" s="6"/>
      <c r="U17" s="6"/>
      <c r="V17" s="6"/>
    </row>
    <row r="18" customFormat="false" ht="15" hidden="false" customHeight="true" outlineLevel="0" collapsed="false">
      <c r="A18" s="8" t="s">
        <v>169</v>
      </c>
      <c r="B18" s="9" t="s">
        <v>170</v>
      </c>
      <c r="C18" s="9" t="s">
        <v>71</v>
      </c>
      <c r="D18" s="9" t="s">
        <v>72</v>
      </c>
      <c r="E18" s="9" t="s">
        <v>73</v>
      </c>
      <c r="F18" s="9" t="s">
        <v>74</v>
      </c>
      <c r="G18" s="9" t="s">
        <v>75</v>
      </c>
      <c r="H18" s="9" t="s">
        <v>76</v>
      </c>
      <c r="I18" s="9" t="s">
        <v>77</v>
      </c>
      <c r="J18" s="9" t="s">
        <v>78</v>
      </c>
      <c r="K18" s="9" t="s">
        <v>79</v>
      </c>
      <c r="L18" s="9" t="s">
        <v>80</v>
      </c>
      <c r="M18" s="9" t="s">
        <v>81</v>
      </c>
      <c r="N18" s="9" t="s">
        <v>82</v>
      </c>
      <c r="O18" s="9" t="s">
        <v>83</v>
      </c>
      <c r="P18" s="9" t="s">
        <v>84</v>
      </c>
      <c r="Q18" s="9" t="s">
        <v>85</v>
      </c>
      <c r="R18" s="9" t="s">
        <v>86</v>
      </c>
      <c r="S18" s="9" t="s">
        <v>87</v>
      </c>
      <c r="T18" s="8" t="s">
        <v>171</v>
      </c>
      <c r="U18" s="8"/>
      <c r="V18" s="8"/>
    </row>
    <row r="19" customFormat="false" ht="36" hidden="false" customHeight="true" outlineLevel="0" collapsed="false">
      <c r="A19" s="10" t="s">
        <v>172</v>
      </c>
      <c r="B19" s="29" t="s">
        <v>173</v>
      </c>
      <c r="C19" s="5"/>
      <c r="D19" s="5"/>
      <c r="E19" s="5"/>
      <c r="F19" s="5"/>
      <c r="G19" s="5"/>
      <c r="H19" s="30" t="n">
        <v>7650000</v>
      </c>
      <c r="I19" s="5"/>
      <c r="J19" s="5"/>
      <c r="K19" s="5"/>
      <c r="L19" s="5"/>
      <c r="M19" s="34" t="n">
        <v>9100000</v>
      </c>
      <c r="N19" s="5"/>
      <c r="O19" s="5"/>
      <c r="P19" s="5"/>
      <c r="Q19" s="5"/>
      <c r="R19" s="5"/>
      <c r="S19" s="5"/>
      <c r="T19" s="25" t="s">
        <v>1772</v>
      </c>
      <c r="U19" s="25"/>
      <c r="V19" s="25"/>
    </row>
    <row r="20" customFormat="false" ht="24.75" hidden="false" customHeight="true" outlineLevel="0" collapsed="false">
      <c r="A20" s="10" t="s">
        <v>175</v>
      </c>
      <c r="B20" s="29" t="s">
        <v>176</v>
      </c>
      <c r="C20" s="5"/>
      <c r="D20" s="5"/>
      <c r="E20" s="5"/>
      <c r="F20" s="5"/>
      <c r="G20" s="5"/>
      <c r="H20" s="29" t="s">
        <v>520</v>
      </c>
      <c r="I20" s="5"/>
      <c r="J20" s="5"/>
      <c r="K20" s="5"/>
      <c r="L20" s="5"/>
      <c r="M20" s="29" t="s">
        <v>177</v>
      </c>
      <c r="N20" s="5"/>
      <c r="O20" s="5"/>
      <c r="P20" s="5"/>
      <c r="Q20" s="5"/>
      <c r="R20" s="5"/>
      <c r="S20" s="5"/>
      <c r="T20" s="25" t="s">
        <v>179</v>
      </c>
      <c r="U20" s="25"/>
      <c r="V20" s="25"/>
    </row>
    <row r="21" customFormat="false" ht="15" hidden="false" customHeight="true" outlineLevel="0" collapsed="false">
      <c r="A21" s="10" t="s">
        <v>180</v>
      </c>
      <c r="B21" s="29" t="s">
        <v>181</v>
      </c>
      <c r="C21" s="5"/>
      <c r="D21" s="5"/>
      <c r="E21" s="5"/>
      <c r="F21" s="5"/>
      <c r="G21" s="5"/>
      <c r="H21" s="5"/>
      <c r="I21" s="5"/>
      <c r="J21" s="5"/>
      <c r="K21" s="5"/>
      <c r="L21" s="5"/>
      <c r="M21" s="5"/>
      <c r="N21" s="5"/>
      <c r="O21" s="5"/>
      <c r="P21" s="5"/>
      <c r="Q21" s="5"/>
      <c r="R21" s="5"/>
      <c r="S21" s="5"/>
      <c r="T21" s="25" t="s">
        <v>1560</v>
      </c>
      <c r="U21" s="25"/>
      <c r="V21" s="25"/>
    </row>
    <row r="22" customFormat="false" ht="15" hidden="false" customHeight="true" outlineLevel="0" collapsed="false">
      <c r="A22" s="10" t="s">
        <v>183</v>
      </c>
      <c r="B22" s="29" t="s">
        <v>181</v>
      </c>
      <c r="C22" s="5"/>
      <c r="D22" s="5"/>
      <c r="E22" s="5"/>
      <c r="F22" s="5"/>
      <c r="G22" s="5"/>
      <c r="H22" s="5"/>
      <c r="I22" s="5"/>
      <c r="J22" s="5"/>
      <c r="K22" s="5"/>
      <c r="L22" s="5"/>
      <c r="M22" s="5"/>
      <c r="N22" s="5"/>
      <c r="O22" s="5"/>
      <c r="P22" s="5"/>
      <c r="Q22" s="5"/>
      <c r="R22" s="30" t="n">
        <v>5899187</v>
      </c>
      <c r="S22" s="30" t="n">
        <v>6468834</v>
      </c>
      <c r="T22" s="25"/>
      <c r="U22" s="25"/>
      <c r="V22" s="25"/>
    </row>
    <row r="23" customFormat="false" ht="15" hidden="false" customHeight="true" outlineLevel="0" collapsed="false">
      <c r="A23" s="10" t="s">
        <v>185</v>
      </c>
      <c r="B23" s="29" t="s">
        <v>181</v>
      </c>
      <c r="C23" s="5"/>
      <c r="D23" s="5"/>
      <c r="E23" s="5"/>
      <c r="F23" s="5"/>
      <c r="G23" s="5"/>
      <c r="H23" s="5"/>
      <c r="I23" s="5"/>
      <c r="J23" s="5"/>
      <c r="K23" s="5"/>
      <c r="L23" s="5"/>
      <c r="M23" s="5"/>
      <c r="N23" s="5"/>
      <c r="O23" s="5"/>
      <c r="P23" s="5"/>
      <c r="Q23" s="5"/>
      <c r="R23" s="30" t="n">
        <v>5611758</v>
      </c>
      <c r="S23" s="30" t="n">
        <v>6066048</v>
      </c>
      <c r="T23" s="25"/>
      <c r="U23" s="25"/>
      <c r="V23" s="25"/>
    </row>
    <row r="24" customFormat="false" ht="15" hidden="false" customHeight="true" outlineLevel="0" collapsed="false">
      <c r="A24" s="10" t="s">
        <v>187</v>
      </c>
      <c r="B24" s="29" t="s">
        <v>181</v>
      </c>
      <c r="C24" s="5"/>
      <c r="D24" s="5"/>
      <c r="E24" s="5"/>
      <c r="F24" s="5"/>
      <c r="G24" s="5"/>
      <c r="H24" s="5"/>
      <c r="I24" s="5"/>
      <c r="J24" s="5"/>
      <c r="K24" s="5"/>
      <c r="L24" s="5"/>
      <c r="M24" s="5"/>
      <c r="N24" s="5"/>
      <c r="O24" s="5"/>
      <c r="P24" s="5"/>
      <c r="Q24" s="5"/>
      <c r="R24" s="30" t="n">
        <v>287429</v>
      </c>
      <c r="S24" s="30" t="n">
        <v>402786</v>
      </c>
      <c r="T24" s="25" t="s">
        <v>1773</v>
      </c>
      <c r="U24" s="25"/>
      <c r="V24" s="25"/>
    </row>
    <row r="25" customFormat="false" ht="24.75" hidden="false" customHeight="true" outlineLevel="0" collapsed="false">
      <c r="A25" s="10" t="s">
        <v>188</v>
      </c>
      <c r="B25" s="29" t="s">
        <v>189</v>
      </c>
      <c r="C25" s="17" t="str">
        <f aca="false">IF(AND(ISNUMBER(C21),ISNUMBER(C19)),C21/C19,"")</f>
        <v/>
      </c>
      <c r="D25" s="17" t="str">
        <f aca="false">IF(AND(ISNUMBER(D21),ISNUMBER(D19)),D21/D19,"")</f>
        <v/>
      </c>
      <c r="E25" s="17" t="str">
        <f aca="false">IF(AND(ISNUMBER(E21),ISNUMBER(E19)),E21/E19,"")</f>
        <v/>
      </c>
      <c r="F25" s="17" t="str">
        <f aca="false">IF(AND(ISNUMBER(F21),ISNUMBER(F19)),F21/F19,"")</f>
        <v/>
      </c>
      <c r="G25" s="17" t="str">
        <f aca="false">IF(AND(ISNUMBER(G21),ISNUMBER(G19)),G21/G19,"")</f>
        <v/>
      </c>
      <c r="H25" s="17" t="str">
        <f aca="false">IF(AND(ISNUMBER(H21),ISNUMBER(H19)),H21/H19,"")</f>
        <v/>
      </c>
      <c r="I25" s="17" t="str">
        <f aca="false">IF(AND(ISNUMBER(I21),ISNUMBER(I19)),I21/I19,"")</f>
        <v/>
      </c>
      <c r="J25" s="17" t="str">
        <f aca="false">IF(AND(ISNUMBER(J21),ISNUMBER(J19)),J21/J19,"")</f>
        <v/>
      </c>
      <c r="K25" s="17" t="str">
        <f aca="false">IF(AND(ISNUMBER(K21),ISNUMBER(K19)),K21/K19,"")</f>
        <v/>
      </c>
      <c r="L25" s="17" t="str">
        <f aca="false">IF(AND(ISNUMBER(L21),ISNUMBER(L19)),L21/L19,"")</f>
        <v/>
      </c>
      <c r="M25" s="17" t="str">
        <f aca="false">IF(AND(ISNUMBER(M21),ISNUMBER(M19)),M21/M19,"")</f>
        <v/>
      </c>
      <c r="N25" s="17" t="str">
        <f aca="false">IF(AND(ISNUMBER(N21),ISNUMBER(N19)),N21/N19,"")</f>
        <v/>
      </c>
      <c r="O25" s="17" t="str">
        <f aca="false">IF(AND(ISNUMBER(O21),ISNUMBER(O19)),O21/O19,"")</f>
        <v/>
      </c>
      <c r="P25" s="17" t="str">
        <f aca="false">IF(AND(ISNUMBER(P21),ISNUMBER(P19)),P21/P19,"")</f>
        <v/>
      </c>
      <c r="Q25" s="17" t="str">
        <f aca="false">IF(AND(ISNUMBER(Q21),ISNUMBER(Q19)),Q21/Q19,"")</f>
        <v/>
      </c>
      <c r="R25" s="17" t="str">
        <f aca="false">IF(AND(ISNUMBER(R21),ISNUMBER(R19)),R21/R19,"")</f>
        <v/>
      </c>
      <c r="S25" s="17" t="str">
        <f aca="false">IF(AND(ISNUMBER(S21),ISNUMBER(S19)),S21/S19,"")</f>
        <v/>
      </c>
      <c r="T25" s="25" t="s">
        <v>190</v>
      </c>
      <c r="U25" s="25"/>
      <c r="V25" s="25"/>
    </row>
    <row r="26" customFormat="false" ht="15" hidden="false" customHeight="true" outlineLevel="0" collapsed="false">
      <c r="A26" s="10" t="s">
        <v>191</v>
      </c>
      <c r="B26" s="29" t="s">
        <v>189</v>
      </c>
      <c r="C26" s="17" t="str">
        <f aca="false">IF(AND(ISNUMBER(C21),ISNUMBER(C19)),C21/C19,"")</f>
        <v/>
      </c>
      <c r="D26" s="17" t="str">
        <f aca="false">IF(AND(ISNUMBER(D21),ISNUMBER(D19)),D21/IF(ISNUMBER(C19),AVERAGE(C19,D19),D19),"")</f>
        <v/>
      </c>
      <c r="E26" s="17" t="str">
        <f aca="false">IF(AND(ISNUMBER(E21),ISNUMBER(E19)),E21/IF(ISNUMBER(D19),AVERAGE(D19,E19),E19),"")</f>
        <v/>
      </c>
      <c r="F26" s="17" t="str">
        <f aca="false">IF(AND(ISNUMBER(F21),ISNUMBER(F19)),F21/IF(ISNUMBER(E19),AVERAGE(E19,F19),F19),"")</f>
        <v/>
      </c>
      <c r="G26" s="17" t="str">
        <f aca="false">IF(AND(ISNUMBER(G21),ISNUMBER(G19)),G21/IF(ISNUMBER(F19),AVERAGE(F19,G19),G19),"")</f>
        <v/>
      </c>
      <c r="H26" s="17" t="str">
        <f aca="false">IF(AND(ISNUMBER(H21),ISNUMBER(H19)),H21/IF(ISNUMBER(G19),AVERAGE(G19,H19),H19),"")</f>
        <v/>
      </c>
      <c r="I26" s="17" t="str">
        <f aca="false">IF(AND(ISNUMBER(I21),ISNUMBER(I19)),I21/IF(ISNUMBER(H19),AVERAGE(H19,I19),I19),"")</f>
        <v/>
      </c>
      <c r="J26" s="17" t="str">
        <f aca="false">IF(AND(ISNUMBER(J21),ISNUMBER(J19)),J21/IF(ISNUMBER(I19),AVERAGE(I19,J19),J19),"")</f>
        <v/>
      </c>
      <c r="K26" s="17" t="str">
        <f aca="false">IF(AND(ISNUMBER(K21),ISNUMBER(K19)),K21/IF(ISNUMBER(J19),AVERAGE(J19,K19),K19),"")</f>
        <v/>
      </c>
      <c r="L26" s="17" t="str">
        <f aca="false">IF(AND(ISNUMBER(L21),ISNUMBER(L19)),L21/IF(ISNUMBER(K19),AVERAGE(K19,L19),L19),"")</f>
        <v/>
      </c>
      <c r="M26" s="17" t="str">
        <f aca="false">IF(AND(ISNUMBER(M21),ISNUMBER(M19)),M21/IF(ISNUMBER(L19),AVERAGE(L19,M19),M19),"")</f>
        <v/>
      </c>
      <c r="N26" s="17" t="str">
        <f aca="false">IF(AND(ISNUMBER(N21),ISNUMBER(N19)),N21/IF(ISNUMBER(M19),AVERAGE(M19,N19),N19),"")</f>
        <v/>
      </c>
      <c r="O26" s="17" t="str">
        <f aca="false">IF(AND(ISNUMBER(O21),ISNUMBER(O19)),O21/IF(ISNUMBER(N19),AVERAGE(N19,O19),O19),"")</f>
        <v/>
      </c>
      <c r="P26" s="17" t="str">
        <f aca="false">IF(AND(ISNUMBER(P21),ISNUMBER(P19)),P21/IF(ISNUMBER(O19),AVERAGE(O19,P19),P19),"")</f>
        <v/>
      </c>
      <c r="Q26" s="17" t="str">
        <f aca="false">IF(AND(ISNUMBER(Q21),ISNUMBER(Q19)),Q21/IF(ISNUMBER(P19),AVERAGE(P19,Q19),Q19),"")</f>
        <v/>
      </c>
      <c r="R26" s="17" t="str">
        <f aca="false">IF(AND(ISNUMBER(R21),ISNUMBER(R19)),R21/IF(ISNUMBER(Q19),AVERAGE(Q19,R19),R19),"")</f>
        <v/>
      </c>
      <c r="S26" s="17" t="str">
        <f aca="false">IF(AND(ISNUMBER(S21),ISNUMBER(S19)),S21/IF(ISNUMBER(R19),AVERAGE(R19,S19),S19),"")</f>
        <v/>
      </c>
      <c r="T26" s="25" t="s">
        <v>192</v>
      </c>
      <c r="U26" s="25"/>
      <c r="V26" s="25"/>
    </row>
    <row r="27" customFormat="false" ht="24.75" hidden="false" customHeight="true" outlineLevel="0" collapsed="false">
      <c r="A27" s="10" t="s">
        <v>193</v>
      </c>
      <c r="B27" s="29" t="s">
        <v>189</v>
      </c>
      <c r="C27" s="17" t="str">
        <f aca="false">IF(ISNUMBER(C19),IF(ISNUMBER(C22),C22/C19,IF(ISNUMBER(C23),C23/C19,"")),"")</f>
        <v/>
      </c>
      <c r="D27" s="17" t="str">
        <f aca="false">IF(ISNUMBER(D19),IF(ISNUMBER(D22),D22/D19,IF(ISNUMBER(D23),D23/D19,"")),"")</f>
        <v/>
      </c>
      <c r="E27" s="17" t="str">
        <f aca="false">IF(ISNUMBER(E19),IF(ISNUMBER(E22),E22/E19,IF(ISNUMBER(E23),E23/E19,"")),"")</f>
        <v/>
      </c>
      <c r="F27" s="17" t="str">
        <f aca="false">IF(ISNUMBER(F19),IF(ISNUMBER(F22),F22/F19,IF(ISNUMBER(F23),F23/F19,"")),"")</f>
        <v/>
      </c>
      <c r="G27" s="17" t="str">
        <f aca="false">IF(ISNUMBER(G19),IF(ISNUMBER(G22),G22/G19,IF(ISNUMBER(G23),G23/G19,"")),"")</f>
        <v/>
      </c>
      <c r="H27" s="17" t="str">
        <f aca="false">IF(ISNUMBER(H19),IF(ISNUMBER(H22),H22/H19,IF(ISNUMBER(H23),H23/H19,"")),"")</f>
        <v/>
      </c>
      <c r="I27" s="17" t="str">
        <f aca="false">IF(ISNUMBER(I19),IF(ISNUMBER(I22),I22/I19,IF(ISNUMBER(I23),I23/I19,"")),"")</f>
        <v/>
      </c>
      <c r="J27" s="17" t="str">
        <f aca="false">IF(ISNUMBER(J19),IF(ISNUMBER(J22),J22/J19,IF(ISNUMBER(J23),J23/J19,"")),"")</f>
        <v/>
      </c>
      <c r="K27" s="17" t="str">
        <f aca="false">IF(ISNUMBER(K19),IF(ISNUMBER(K22),K22/K19,IF(ISNUMBER(K23),K23/K19,"")),"")</f>
        <v/>
      </c>
      <c r="L27" s="17" t="str">
        <f aca="false">IF(ISNUMBER(L19),IF(ISNUMBER(L22),L22/L19,IF(ISNUMBER(L23),L23/L19,"")),"")</f>
        <v/>
      </c>
      <c r="M27" s="17" t="str">
        <f aca="false">IF(ISNUMBER(M19),IF(ISNUMBER(M22),M22/M19,IF(ISNUMBER(M23),M23/M19,"")),"")</f>
        <v/>
      </c>
      <c r="N27" s="17" t="str">
        <f aca="false">IF(ISNUMBER(N19),IF(ISNUMBER(N22),N22/N19,IF(ISNUMBER(N23),N23/N19,"")),"")</f>
        <v/>
      </c>
      <c r="O27" s="17" t="str">
        <f aca="false">IF(ISNUMBER(O19),IF(ISNUMBER(O22),O22/O19,IF(ISNUMBER(O23),O23/O19,"")),"")</f>
        <v/>
      </c>
      <c r="P27" s="17" t="str">
        <f aca="false">IF(ISNUMBER(P19),IF(ISNUMBER(P22),P22/P19,IF(ISNUMBER(P23),P23/P19,"")),"")</f>
        <v/>
      </c>
      <c r="Q27" s="17" t="str">
        <f aca="false">IF(ISNUMBER(Q19),IF(ISNUMBER(Q22),Q22/Q19,IF(ISNUMBER(Q23),Q23/Q19,"")),"")</f>
        <v/>
      </c>
      <c r="R27" s="17" t="str">
        <f aca="false">IF(ISNUMBER(R19),IF(ISNUMBER(R22),R22/R19,IF(ISNUMBER(R23),R23/R19,"")),"")</f>
        <v/>
      </c>
      <c r="S27" s="17" t="str">
        <f aca="false">IF(ISNUMBER(S19),IF(ISNUMBER(S22),S22/S19,IF(ISNUMBER(S23),S23/S19,"")),"")</f>
        <v/>
      </c>
      <c r="T27" s="25" t="s">
        <v>194</v>
      </c>
      <c r="U27" s="25"/>
      <c r="V27" s="25"/>
    </row>
    <row r="28" customFormat="false" ht="15" hidden="false" customHeight="true" outlineLevel="0" collapsed="false">
      <c r="A28" s="10" t="s">
        <v>195</v>
      </c>
      <c r="B28" s="29" t="s">
        <v>173</v>
      </c>
      <c r="C28" s="5"/>
      <c r="D28" s="18" t="str">
        <f aca="false">IF(AND(ISNUMBER(D19),ISNUMBER(C19)),D19-C19,"")</f>
        <v/>
      </c>
      <c r="E28" s="18" t="str">
        <f aca="false">IF(AND(ISNUMBER(E19),ISNUMBER(D19)),E19-D19,"")</f>
        <v/>
      </c>
      <c r="F28" s="18" t="str">
        <f aca="false">IF(AND(ISNUMBER(F19),ISNUMBER(E19)),F19-E19,"")</f>
        <v/>
      </c>
      <c r="G28" s="18" t="str">
        <f aca="false">IF(AND(ISNUMBER(G19),ISNUMBER(F19)),G19-F19,"")</f>
        <v/>
      </c>
      <c r="H28" s="18" t="str">
        <f aca="false">IF(AND(ISNUMBER(H19),ISNUMBER(G19)),H19-G19,"")</f>
        <v/>
      </c>
      <c r="I28" s="18" t="str">
        <f aca="false">IF(AND(ISNUMBER(I19),ISNUMBER(H19)),I19-H19,"")</f>
        <v/>
      </c>
      <c r="J28" s="18" t="str">
        <f aca="false">IF(AND(ISNUMBER(J19),ISNUMBER(I19)),J19-I19,"")</f>
        <v/>
      </c>
      <c r="K28" s="18" t="str">
        <f aca="false">IF(AND(ISNUMBER(K19),ISNUMBER(J19)),K19-J19,"")</f>
        <v/>
      </c>
      <c r="L28" s="18" t="str">
        <f aca="false">IF(AND(ISNUMBER(L19),ISNUMBER(K19)),L19-K19,"")</f>
        <v/>
      </c>
      <c r="M28" s="18" t="str">
        <f aca="false">IF(AND(ISNUMBER(M19),ISNUMBER(L19)),M19-L19,"")</f>
        <v/>
      </c>
      <c r="N28" s="18" t="str">
        <f aca="false">IF(AND(ISNUMBER(N19),ISNUMBER(M19)),N19-M19,"")</f>
        <v/>
      </c>
      <c r="O28" s="18" t="str">
        <f aca="false">IF(AND(ISNUMBER(O19),ISNUMBER(N19)),O19-N19,"")</f>
        <v/>
      </c>
      <c r="P28" s="18" t="str">
        <f aca="false">IF(AND(ISNUMBER(P19),ISNUMBER(O19)),P19-O19,"")</f>
        <v/>
      </c>
      <c r="Q28" s="18" t="str">
        <f aca="false">IF(AND(ISNUMBER(Q19),ISNUMBER(P19)),Q19-P19,"")</f>
        <v/>
      </c>
      <c r="R28" s="18" t="str">
        <f aca="false">IF(AND(ISNUMBER(R19),ISNUMBER(Q19)),R19-Q19,"")</f>
        <v/>
      </c>
      <c r="S28" s="18" t="str">
        <f aca="false">IF(AND(ISNUMBER(S19),ISNUMBER(R19)),S19-R19,"")</f>
        <v/>
      </c>
      <c r="T28" s="25" t="s">
        <v>196</v>
      </c>
      <c r="U28" s="25"/>
      <c r="V28" s="25"/>
    </row>
    <row r="29" customFormat="false" ht="15" hidden="false" customHeight="true" outlineLevel="0" collapsed="false">
      <c r="A29" s="10" t="s">
        <v>197</v>
      </c>
      <c r="B29" s="29" t="s">
        <v>189</v>
      </c>
      <c r="C29" s="31"/>
      <c r="D29" s="31"/>
      <c r="E29" s="31"/>
      <c r="F29" s="31"/>
      <c r="G29" s="31"/>
      <c r="H29" s="31"/>
      <c r="I29" s="31"/>
      <c r="J29" s="31"/>
      <c r="K29" s="31"/>
      <c r="L29" s="31"/>
      <c r="M29" s="31"/>
      <c r="N29" s="31"/>
      <c r="O29" s="31"/>
      <c r="P29" s="31"/>
      <c r="Q29" s="31"/>
      <c r="R29" s="31"/>
      <c r="S29" s="31"/>
      <c r="T29" s="25"/>
      <c r="U29" s="25"/>
      <c r="V29" s="25"/>
    </row>
    <row r="30" customFormat="false" ht="15" hidden="false" customHeight="true" outlineLevel="0" collapsed="false">
      <c r="A30" s="10" t="s">
        <v>199</v>
      </c>
      <c r="B30" s="29"/>
      <c r="C30" s="29"/>
      <c r="D30" s="29"/>
      <c r="E30" s="29" t="s">
        <v>1774</v>
      </c>
      <c r="F30" s="29"/>
      <c r="G30" s="29"/>
      <c r="H30" s="29" t="s">
        <v>1775</v>
      </c>
      <c r="I30" s="29"/>
      <c r="J30" s="29"/>
      <c r="K30" s="29" t="s">
        <v>1776</v>
      </c>
      <c r="L30" s="29"/>
      <c r="M30" s="29" t="s">
        <v>1777</v>
      </c>
      <c r="N30" s="29"/>
      <c r="O30" s="29"/>
      <c r="P30" s="29"/>
      <c r="Q30" s="29"/>
      <c r="R30" s="29" t="s">
        <v>1778</v>
      </c>
      <c r="S30" s="29" t="s">
        <v>1779</v>
      </c>
      <c r="T30" s="25"/>
      <c r="U30" s="25"/>
      <c r="V30" s="25"/>
    </row>
    <row r="31" customFormat="false" ht="57.75" hidden="false" customHeight="true" outlineLevel="0" collapsed="false">
      <c r="A31" s="10" t="s">
        <v>216</v>
      </c>
      <c r="B31" s="29"/>
      <c r="C31" s="25"/>
      <c r="D31" s="25"/>
      <c r="E31" s="25" t="s">
        <v>1780</v>
      </c>
      <c r="F31" s="25"/>
      <c r="G31" s="25"/>
      <c r="H31" s="25" t="s">
        <v>1781</v>
      </c>
      <c r="I31" s="25"/>
      <c r="J31" s="25"/>
      <c r="K31" s="25" t="s">
        <v>1782</v>
      </c>
      <c r="L31" s="25"/>
      <c r="M31" s="25" t="s">
        <v>1783</v>
      </c>
      <c r="N31" s="25"/>
      <c r="O31" s="25"/>
      <c r="P31" s="25"/>
      <c r="Q31" s="25"/>
      <c r="R31" s="25"/>
      <c r="S31" s="25" t="s">
        <v>1784</v>
      </c>
      <c r="T31" s="25"/>
      <c r="U31" s="25"/>
      <c r="V31" s="25"/>
    </row>
    <row r="33" customFormat="false" ht="18" hidden="false" customHeight="true" outlineLevel="0" collapsed="false">
      <c r="A33" s="6" t="s">
        <v>233</v>
      </c>
      <c r="B33" s="6"/>
      <c r="C33" s="6"/>
      <c r="D33" s="6"/>
      <c r="E33" s="6"/>
      <c r="F33" s="6"/>
      <c r="G33" s="6"/>
      <c r="H33" s="6"/>
      <c r="I33" s="6"/>
      <c r="J33" s="6"/>
      <c r="K33" s="6"/>
      <c r="L33" s="6"/>
      <c r="M33" s="6"/>
      <c r="N33" s="6"/>
      <c r="O33" s="6"/>
      <c r="P33" s="6"/>
      <c r="Q33" s="6"/>
      <c r="R33" s="6"/>
      <c r="S33" s="6"/>
      <c r="T33" s="6"/>
      <c r="U33" s="6"/>
      <c r="V33" s="6"/>
    </row>
    <row r="34" customFormat="false" ht="15" hidden="false" customHeight="true" outlineLevel="0" collapsed="false">
      <c r="A34" s="8" t="s">
        <v>234</v>
      </c>
      <c r="B34" s="9" t="s">
        <v>170</v>
      </c>
      <c r="C34" s="9" t="s">
        <v>71</v>
      </c>
      <c r="D34" s="9" t="s">
        <v>72</v>
      </c>
      <c r="E34" s="9" t="s">
        <v>73</v>
      </c>
      <c r="F34" s="9" t="s">
        <v>74</v>
      </c>
      <c r="G34" s="9" t="s">
        <v>75</v>
      </c>
      <c r="H34" s="9" t="s">
        <v>76</v>
      </c>
      <c r="I34" s="9" t="s">
        <v>77</v>
      </c>
      <c r="J34" s="9" t="s">
        <v>78</v>
      </c>
      <c r="K34" s="9" t="s">
        <v>79</v>
      </c>
      <c r="L34" s="9" t="s">
        <v>80</v>
      </c>
      <c r="M34" s="9" t="s">
        <v>81</v>
      </c>
      <c r="N34" s="9" t="s">
        <v>82</v>
      </c>
      <c r="O34" s="9" t="s">
        <v>83</v>
      </c>
      <c r="P34" s="9" t="s">
        <v>84</v>
      </c>
      <c r="Q34" s="9" t="s">
        <v>85</v>
      </c>
      <c r="R34" s="9" t="s">
        <v>86</v>
      </c>
      <c r="S34" s="9" t="s">
        <v>87</v>
      </c>
      <c r="T34" s="8" t="s">
        <v>235</v>
      </c>
      <c r="U34" s="8"/>
      <c r="V34" s="8"/>
    </row>
    <row r="35" customFormat="false" ht="15" hidden="false" customHeight="true" outlineLevel="0" collapsed="false">
      <c r="A35" s="10" t="s">
        <v>741</v>
      </c>
      <c r="B35" s="29" t="s">
        <v>173</v>
      </c>
      <c r="C35" s="32"/>
      <c r="D35" s="32"/>
      <c r="E35" s="32"/>
      <c r="F35" s="32"/>
      <c r="G35" s="32"/>
      <c r="H35" s="32"/>
      <c r="I35" s="32"/>
      <c r="J35" s="32"/>
      <c r="K35" s="32"/>
      <c r="L35" s="32"/>
      <c r="M35" s="30" t="n">
        <v>2700000</v>
      </c>
      <c r="N35" s="32"/>
      <c r="O35" s="32"/>
      <c r="P35" s="32"/>
      <c r="Q35" s="32"/>
      <c r="R35" s="32"/>
      <c r="S35" s="32"/>
      <c r="T35" s="25" t="s">
        <v>1785</v>
      </c>
      <c r="U35" s="25"/>
      <c r="V35" s="25"/>
    </row>
    <row r="36" customFormat="false" ht="15" hidden="false" customHeight="true" outlineLevel="0" collapsed="false">
      <c r="A36" s="10" t="s">
        <v>1786</v>
      </c>
      <c r="B36" s="29" t="s">
        <v>173</v>
      </c>
      <c r="C36" s="32"/>
      <c r="D36" s="32"/>
      <c r="E36" s="32"/>
      <c r="F36" s="32"/>
      <c r="G36" s="32"/>
      <c r="H36" s="32"/>
      <c r="I36" s="32"/>
      <c r="J36" s="32"/>
      <c r="K36" s="32"/>
      <c r="L36" s="32"/>
      <c r="M36" s="30" t="n">
        <v>2100000</v>
      </c>
      <c r="N36" s="32"/>
      <c r="O36" s="32"/>
      <c r="P36" s="32"/>
      <c r="Q36" s="32"/>
      <c r="R36" s="32"/>
      <c r="S36" s="32"/>
      <c r="T36" s="25" t="s">
        <v>1787</v>
      </c>
      <c r="U36" s="25"/>
      <c r="V36" s="25"/>
    </row>
    <row r="37" customFormat="false" ht="15" hidden="false" customHeight="true" outlineLevel="0" collapsed="false">
      <c r="A37" s="10" t="s">
        <v>261</v>
      </c>
      <c r="B37" s="29" t="s">
        <v>173</v>
      </c>
      <c r="C37" s="32"/>
      <c r="D37" s="32"/>
      <c r="E37" s="32"/>
      <c r="F37" s="32"/>
      <c r="G37" s="32"/>
      <c r="H37" s="32"/>
      <c r="I37" s="32"/>
      <c r="J37" s="32"/>
      <c r="K37" s="32"/>
      <c r="L37" s="32"/>
      <c r="M37" s="30" t="n">
        <v>2100000</v>
      </c>
      <c r="N37" s="32"/>
      <c r="O37" s="32"/>
      <c r="P37" s="32"/>
      <c r="Q37" s="32"/>
      <c r="R37" s="32"/>
      <c r="S37" s="32"/>
      <c r="T37" s="25" t="s">
        <v>1787</v>
      </c>
      <c r="U37" s="25"/>
      <c r="V37" s="25"/>
    </row>
    <row r="38" customFormat="false" ht="15" hidden="false" customHeight="true" outlineLevel="0" collapsed="false">
      <c r="A38" s="10" t="s">
        <v>1788</v>
      </c>
      <c r="B38" s="29" t="s">
        <v>173</v>
      </c>
      <c r="C38" s="32"/>
      <c r="D38" s="32"/>
      <c r="E38" s="32"/>
      <c r="F38" s="32"/>
      <c r="G38" s="32"/>
      <c r="H38" s="30" t="n">
        <v>750000</v>
      </c>
      <c r="I38" s="32"/>
      <c r="J38" s="32"/>
      <c r="K38" s="32"/>
      <c r="L38" s="32"/>
      <c r="M38" s="30" t="n">
        <v>1100000</v>
      </c>
      <c r="N38" s="32"/>
      <c r="O38" s="32"/>
      <c r="P38" s="32"/>
      <c r="Q38" s="32"/>
      <c r="R38" s="32"/>
      <c r="S38" s="32"/>
      <c r="T38" s="25" t="s">
        <v>1789</v>
      </c>
      <c r="U38" s="25"/>
      <c r="V38" s="25"/>
    </row>
    <row r="39" customFormat="false" ht="15" hidden="false" customHeight="true" outlineLevel="0" collapsed="false">
      <c r="A39" s="10" t="s">
        <v>1790</v>
      </c>
      <c r="B39" s="29" t="s">
        <v>173</v>
      </c>
      <c r="C39" s="32"/>
      <c r="D39" s="32"/>
      <c r="E39" s="32"/>
      <c r="F39" s="32"/>
      <c r="G39" s="32"/>
      <c r="H39" s="32"/>
      <c r="I39" s="32"/>
      <c r="J39" s="32"/>
      <c r="K39" s="32"/>
      <c r="L39" s="32"/>
      <c r="M39" s="30" t="n">
        <v>1800000</v>
      </c>
      <c r="N39" s="32"/>
      <c r="O39" s="32"/>
      <c r="P39" s="32"/>
      <c r="Q39" s="32"/>
      <c r="R39" s="32"/>
      <c r="S39" s="32"/>
      <c r="T39" s="25" t="s">
        <v>1787</v>
      </c>
      <c r="U39" s="25"/>
      <c r="V39" s="25"/>
    </row>
    <row r="40" customFormat="false" ht="15" hidden="false" customHeight="true" outlineLevel="0" collapsed="false">
      <c r="A40" s="10" t="s">
        <v>1791</v>
      </c>
      <c r="B40" s="29" t="s">
        <v>173</v>
      </c>
      <c r="C40" s="32"/>
      <c r="D40" s="32"/>
      <c r="E40" s="32"/>
      <c r="F40" s="32"/>
      <c r="G40" s="32"/>
      <c r="H40" s="32"/>
      <c r="I40" s="32"/>
      <c r="J40" s="32"/>
      <c r="K40" s="32"/>
      <c r="L40" s="32"/>
      <c r="M40" s="30" t="n">
        <v>1800000</v>
      </c>
      <c r="N40" s="32"/>
      <c r="O40" s="32"/>
      <c r="P40" s="32"/>
      <c r="Q40" s="32"/>
      <c r="R40" s="32"/>
      <c r="S40" s="32"/>
      <c r="T40" s="25" t="s">
        <v>1792</v>
      </c>
      <c r="U40" s="25"/>
      <c r="V40" s="25"/>
    </row>
    <row r="41" customFormat="false" ht="15" hidden="false" customHeight="true" outlineLevel="0" collapsed="false">
      <c r="A41" s="10" t="s">
        <v>1793</v>
      </c>
      <c r="B41" s="29" t="s">
        <v>173</v>
      </c>
      <c r="C41" s="18" t="str">
        <f aca="false">IF(COUNT(C35,C36,C37,C38,C39,C40)=0,"",SUM(C35,C36,C37,C38,C39,C40))</f>
        <v/>
      </c>
      <c r="D41" s="18" t="str">
        <f aca="false">IF(COUNT(D35,D36,D37,D38,D39,D40)=0,"",SUM(D35,D36,D37,D38,D39,D40))</f>
        <v/>
      </c>
      <c r="E41" s="18" t="str">
        <f aca="false">IF(COUNT(E35,E36,E37,E38,E39,E40)=0,"",SUM(E35,E36,E37,E38,E39,E40))</f>
        <v/>
      </c>
      <c r="F41" s="18" t="str">
        <f aca="false">IF(COUNT(F35,F36,F37,F38,F39,F40)=0,"",SUM(F35,F36,F37,F38,F39,F40))</f>
        <v/>
      </c>
      <c r="G41" s="18" t="str">
        <f aca="false">IF(COUNT(G35,G36,G37,G38,G39,G40)=0,"",SUM(G35,G36,G37,G38,G39,G40))</f>
        <v/>
      </c>
      <c r="H41" s="18" t="n">
        <f aca="false">IF(COUNT(H35,H36,H37,H38,H39,H40)=0,"",SUM(H35,H36,H37,H38,H39,H40))</f>
        <v>750000</v>
      </c>
      <c r="I41" s="18" t="str">
        <f aca="false">IF(COUNT(I35,I36,I37,I38,I39,I40)=0,"",SUM(I35,I36,I37,I38,I39,I40))</f>
        <v/>
      </c>
      <c r="J41" s="18" t="str">
        <f aca="false">IF(COUNT(J35,J36,J37,J38,J39,J40)=0,"",SUM(J35,J36,J37,J38,J39,J40))</f>
        <v/>
      </c>
      <c r="K41" s="18" t="str">
        <f aca="false">IF(COUNT(K35,K36,K37,K38,K39,K40)=0,"",SUM(K35,K36,K37,K38,K39,K40))</f>
        <v/>
      </c>
      <c r="L41" s="18" t="str">
        <f aca="false">IF(COUNT(L35,L36,L37,L38,L39,L40)=0,"",SUM(L35,L36,L37,L38,L39,L40))</f>
        <v/>
      </c>
      <c r="M41" s="18" t="n">
        <f aca="false">IF(COUNT(M35,M36,M37,M38,M39,M40)=0,"",SUM(M35,M36,M37,M38,M39,M40))</f>
        <v>11600000</v>
      </c>
      <c r="N41" s="18" t="str">
        <f aca="false">IF(COUNT(N35,N36,N37,N38,N39,N40)=0,"",SUM(N35,N36,N37,N38,N39,N40))</f>
        <v/>
      </c>
      <c r="O41" s="18" t="str">
        <f aca="false">IF(COUNT(O35,O36,O37,O38,O39,O40)=0,"",SUM(O35,O36,O37,O38,O39,O40))</f>
        <v/>
      </c>
      <c r="P41" s="18" t="str">
        <f aca="false">IF(COUNT(P35,P36,P37,P38,P39,P40)=0,"",SUM(P35,P36,P37,P38,P39,P40))</f>
        <v/>
      </c>
      <c r="Q41" s="18" t="str">
        <f aca="false">IF(COUNT(Q35,Q36,Q37,Q38,Q39,Q40)=0,"",SUM(Q35,Q36,Q37,Q38,Q39,Q40))</f>
        <v/>
      </c>
      <c r="R41" s="18" t="str">
        <f aca="false">IF(COUNT(R35,R36,R37,R38,R39,R40)=0,"",SUM(R35,R36,R37,R38,R39,R40))</f>
        <v/>
      </c>
      <c r="S41" s="18" t="str">
        <f aca="false">IF(COUNT(S35,S36,S37,S38,S39,S40)=0,"",SUM(S35,S36,S37,S38,S39,S40))</f>
        <v/>
      </c>
      <c r="T41" s="25" t="s">
        <v>1794</v>
      </c>
      <c r="U41" s="25"/>
      <c r="V41" s="25"/>
    </row>
    <row r="43" customFormat="false" ht="18" hidden="false" customHeight="true" outlineLevel="0" collapsed="false">
      <c r="A43" s="6" t="s">
        <v>249</v>
      </c>
      <c r="B43" s="6"/>
      <c r="C43" s="6"/>
      <c r="D43" s="6"/>
      <c r="E43" s="6"/>
      <c r="F43" s="6"/>
      <c r="G43" s="6"/>
      <c r="H43" s="6"/>
      <c r="I43" s="6"/>
      <c r="J43" s="6"/>
      <c r="K43" s="6"/>
      <c r="L43" s="6"/>
      <c r="M43" s="6"/>
      <c r="N43" s="6"/>
      <c r="O43" s="6"/>
      <c r="P43" s="6"/>
      <c r="Q43" s="6"/>
      <c r="R43" s="6"/>
      <c r="S43" s="6"/>
      <c r="T43" s="6"/>
      <c r="U43" s="6"/>
      <c r="V43" s="6"/>
    </row>
    <row r="44" customFormat="false" ht="40.5" hidden="false" customHeight="true" outlineLevel="0" collapsed="false">
      <c r="A44" s="9" t="s">
        <v>250</v>
      </c>
      <c r="B44" s="9" t="s">
        <v>251</v>
      </c>
      <c r="C44" s="9"/>
      <c r="D44" s="9" t="s">
        <v>252</v>
      </c>
      <c r="E44" s="9"/>
      <c r="F44" s="9" t="s">
        <v>253</v>
      </c>
      <c r="G44" s="9" t="s">
        <v>254</v>
      </c>
      <c r="H44" s="9"/>
      <c r="I44" s="9" t="s">
        <v>255</v>
      </c>
      <c r="J44" s="9"/>
      <c r="K44" s="9"/>
      <c r="L44" s="9"/>
      <c r="M44" s="9" t="s">
        <v>256</v>
      </c>
      <c r="N44" s="9"/>
      <c r="O44" s="9" t="s">
        <v>257</v>
      </c>
      <c r="P44" s="9" t="s">
        <v>258</v>
      </c>
      <c r="Q44" s="9" t="s">
        <v>110</v>
      </c>
      <c r="R44" s="9" t="s">
        <v>259</v>
      </c>
      <c r="S44" s="9" t="s">
        <v>171</v>
      </c>
      <c r="T44" s="9"/>
      <c r="U44" s="9"/>
      <c r="V44" s="9" t="s">
        <v>260</v>
      </c>
    </row>
    <row r="45" customFormat="false" ht="15" hidden="false" customHeight="true" outlineLevel="0" collapsed="false">
      <c r="A45" s="10" t="s">
        <v>1786</v>
      </c>
      <c r="B45" s="5" t="s">
        <v>475</v>
      </c>
      <c r="C45" s="5"/>
      <c r="D45" s="5" t="s">
        <v>103</v>
      </c>
      <c r="E45" s="5"/>
      <c r="F45" s="5" t="s">
        <v>1795</v>
      </c>
      <c r="G45" s="5" t="s">
        <v>1796</v>
      </c>
      <c r="H45" s="5"/>
      <c r="I45" s="5" t="s">
        <v>121</v>
      </c>
      <c r="J45" s="5"/>
      <c r="K45" s="5"/>
      <c r="L45" s="5"/>
      <c r="M45" s="5" t="s">
        <v>301</v>
      </c>
      <c r="N45" s="5"/>
      <c r="O45" s="5"/>
      <c r="P45" s="30" t="n">
        <v>2100000</v>
      </c>
      <c r="Q45" s="5" t="s">
        <v>783</v>
      </c>
      <c r="R45" s="5" t="s">
        <v>277</v>
      </c>
      <c r="S45" s="5" t="s">
        <v>1797</v>
      </c>
      <c r="T45" s="5"/>
      <c r="U45" s="5"/>
      <c r="V45" s="5" t="s">
        <v>1798</v>
      </c>
    </row>
    <row r="46" customFormat="false" ht="15" hidden="false" customHeight="true" outlineLevel="0" collapsed="false">
      <c r="A46" s="10" t="s">
        <v>261</v>
      </c>
      <c r="B46" s="5" t="s">
        <v>475</v>
      </c>
      <c r="C46" s="5"/>
      <c r="D46" s="5" t="s">
        <v>103</v>
      </c>
      <c r="E46" s="5"/>
      <c r="F46" s="5" t="s">
        <v>121</v>
      </c>
      <c r="G46" s="5" t="s">
        <v>1796</v>
      </c>
      <c r="H46" s="5"/>
      <c r="I46" s="5" t="s">
        <v>121</v>
      </c>
      <c r="J46" s="5"/>
      <c r="K46" s="5"/>
      <c r="L46" s="5"/>
      <c r="M46" s="5" t="s">
        <v>301</v>
      </c>
      <c r="N46" s="5"/>
      <c r="O46" s="5"/>
      <c r="P46" s="30" t="n">
        <v>2100000</v>
      </c>
      <c r="Q46" s="5" t="s">
        <v>783</v>
      </c>
      <c r="R46" s="5" t="s">
        <v>277</v>
      </c>
      <c r="S46" s="5"/>
      <c r="T46" s="5"/>
      <c r="U46" s="5"/>
      <c r="V46" s="5" t="s">
        <v>1799</v>
      </c>
    </row>
    <row r="47" customFormat="false" ht="27.75" hidden="false" customHeight="true" outlineLevel="0" collapsed="false">
      <c r="A47" s="10" t="s">
        <v>741</v>
      </c>
      <c r="B47" s="5" t="s">
        <v>742</v>
      </c>
      <c r="C47" s="5"/>
      <c r="D47" s="5" t="s">
        <v>103</v>
      </c>
      <c r="E47" s="5"/>
      <c r="F47" s="5" t="s">
        <v>1800</v>
      </c>
      <c r="G47" s="5" t="s">
        <v>1456</v>
      </c>
      <c r="H47" s="5"/>
      <c r="I47" s="5" t="s">
        <v>1801</v>
      </c>
      <c r="J47" s="5"/>
      <c r="K47" s="5"/>
      <c r="L47" s="5"/>
      <c r="M47" s="5" t="s">
        <v>301</v>
      </c>
      <c r="N47" s="5"/>
      <c r="O47" s="5"/>
      <c r="P47" s="30" t="n">
        <v>2700000</v>
      </c>
      <c r="Q47" s="5" t="s">
        <v>783</v>
      </c>
      <c r="R47" s="5" t="s">
        <v>277</v>
      </c>
      <c r="S47" s="5" t="s">
        <v>1802</v>
      </c>
      <c r="T47" s="5"/>
      <c r="U47" s="5"/>
      <c r="V47" s="5" t="s">
        <v>1803</v>
      </c>
    </row>
    <row r="48" customFormat="false" ht="15" hidden="false" customHeight="true" outlineLevel="0" collapsed="false">
      <c r="A48" s="10" t="s">
        <v>1788</v>
      </c>
      <c r="B48" s="5" t="s">
        <v>1306</v>
      </c>
      <c r="C48" s="5"/>
      <c r="D48" s="5" t="s">
        <v>103</v>
      </c>
      <c r="E48" s="5"/>
      <c r="F48" s="5" t="s">
        <v>1719</v>
      </c>
      <c r="G48" s="5" t="s">
        <v>1447</v>
      </c>
      <c r="H48" s="5"/>
      <c r="I48" s="5" t="s">
        <v>1804</v>
      </c>
      <c r="J48" s="5"/>
      <c r="K48" s="5"/>
      <c r="L48" s="5"/>
      <c r="M48" s="5" t="s">
        <v>1805</v>
      </c>
      <c r="N48" s="5"/>
      <c r="O48" s="30" t="n">
        <v>750000</v>
      </c>
      <c r="P48" s="30" t="n">
        <v>1100000</v>
      </c>
      <c r="Q48" s="5" t="s">
        <v>783</v>
      </c>
      <c r="R48" s="5" t="s">
        <v>277</v>
      </c>
      <c r="S48" s="5" t="s">
        <v>1806</v>
      </c>
      <c r="T48" s="5"/>
      <c r="U48" s="5"/>
      <c r="V48" s="5" t="s">
        <v>1807</v>
      </c>
    </row>
    <row r="49" customFormat="false" ht="27.75" hidden="false" customHeight="true" outlineLevel="0" collapsed="false">
      <c r="A49" s="10" t="s">
        <v>1790</v>
      </c>
      <c r="B49" s="5" t="s">
        <v>479</v>
      </c>
      <c r="C49" s="5"/>
      <c r="D49" s="5" t="s">
        <v>103</v>
      </c>
      <c r="E49" s="5"/>
      <c r="F49" s="5" t="s">
        <v>1808</v>
      </c>
      <c r="G49" s="5" t="s">
        <v>1809</v>
      </c>
      <c r="H49" s="5"/>
      <c r="I49" s="5" t="s">
        <v>121</v>
      </c>
      <c r="J49" s="5"/>
      <c r="K49" s="5"/>
      <c r="L49" s="5"/>
      <c r="M49" s="5" t="s">
        <v>301</v>
      </c>
      <c r="N49" s="5"/>
      <c r="O49" s="5"/>
      <c r="P49" s="30" t="n">
        <v>1800000</v>
      </c>
      <c r="Q49" s="5" t="s">
        <v>783</v>
      </c>
      <c r="R49" s="5" t="s">
        <v>277</v>
      </c>
      <c r="S49" s="5"/>
      <c r="T49" s="5"/>
      <c r="U49" s="5"/>
      <c r="V49" s="5" t="s">
        <v>1799</v>
      </c>
    </row>
    <row r="50" customFormat="false" ht="40.5" hidden="false" customHeight="true" outlineLevel="0" collapsed="false">
      <c r="A50" s="10" t="s">
        <v>1810</v>
      </c>
      <c r="B50" s="5" t="s">
        <v>1324</v>
      </c>
      <c r="C50" s="5"/>
      <c r="D50" s="5" t="s">
        <v>103</v>
      </c>
      <c r="E50" s="5"/>
      <c r="F50" s="5" t="s">
        <v>1811</v>
      </c>
      <c r="G50" s="5" t="s">
        <v>1812</v>
      </c>
      <c r="H50" s="5"/>
      <c r="I50" s="5" t="s">
        <v>1813</v>
      </c>
      <c r="J50" s="5"/>
      <c r="K50" s="5"/>
      <c r="L50" s="5"/>
      <c r="M50" s="5" t="s">
        <v>1814</v>
      </c>
      <c r="N50" s="5"/>
      <c r="O50" s="5"/>
      <c r="P50" s="5" t="s">
        <v>1815</v>
      </c>
      <c r="Q50" s="5" t="s">
        <v>268</v>
      </c>
      <c r="R50" s="5" t="s">
        <v>1816</v>
      </c>
      <c r="S50" s="5" t="s">
        <v>1817</v>
      </c>
      <c r="T50" s="5"/>
      <c r="U50" s="5"/>
      <c r="V50" s="5" t="s">
        <v>1818</v>
      </c>
    </row>
    <row r="51" customFormat="false" ht="15" hidden="false" customHeight="true" outlineLevel="0" collapsed="false">
      <c r="A51" s="10" t="s">
        <v>1819</v>
      </c>
      <c r="B51" s="5" t="s">
        <v>1820</v>
      </c>
      <c r="C51" s="5"/>
      <c r="D51" s="5" t="s">
        <v>1821</v>
      </c>
      <c r="E51" s="5"/>
      <c r="F51" s="5" t="s">
        <v>121</v>
      </c>
      <c r="G51" s="5" t="s">
        <v>1822</v>
      </c>
      <c r="H51" s="5"/>
      <c r="I51" s="5" t="s">
        <v>301</v>
      </c>
      <c r="J51" s="5"/>
      <c r="K51" s="5"/>
      <c r="L51" s="5"/>
      <c r="M51" s="5" t="s">
        <v>301</v>
      </c>
      <c r="N51" s="5"/>
      <c r="O51" s="5"/>
      <c r="P51" s="5" t="s">
        <v>121</v>
      </c>
      <c r="Q51" s="5" t="s">
        <v>301</v>
      </c>
      <c r="R51" s="5" t="s">
        <v>277</v>
      </c>
      <c r="S51" s="5" t="s">
        <v>1476</v>
      </c>
      <c r="T51" s="5"/>
      <c r="U51" s="5"/>
      <c r="V51" s="5" t="s">
        <v>1799</v>
      </c>
    </row>
    <row r="53" customFormat="false" ht="18" hidden="false" customHeight="true" outlineLevel="0" collapsed="false">
      <c r="A53" s="6" t="s">
        <v>316</v>
      </c>
      <c r="B53" s="6"/>
      <c r="C53" s="6"/>
      <c r="D53" s="6"/>
      <c r="E53" s="6"/>
      <c r="F53" s="6"/>
      <c r="G53" s="6"/>
      <c r="H53" s="6"/>
      <c r="I53" s="6"/>
      <c r="J53" s="6"/>
      <c r="K53" s="6"/>
      <c r="L53" s="6"/>
      <c r="M53" s="6"/>
      <c r="N53" s="6"/>
      <c r="O53" s="6"/>
      <c r="P53" s="6"/>
      <c r="Q53" s="6"/>
      <c r="R53" s="6"/>
      <c r="S53" s="6"/>
      <c r="T53" s="6"/>
      <c r="U53" s="6"/>
      <c r="V53" s="6"/>
    </row>
    <row r="54" customFormat="false" ht="40.5" hidden="false" customHeight="true" outlineLevel="0" collapsed="false">
      <c r="A54" s="9" t="s">
        <v>317</v>
      </c>
      <c r="B54" s="9" t="s">
        <v>318</v>
      </c>
      <c r="C54" s="9" t="s">
        <v>319</v>
      </c>
      <c r="D54" s="9" t="s">
        <v>320</v>
      </c>
      <c r="E54" s="9"/>
      <c r="F54" s="9" t="s">
        <v>250</v>
      </c>
      <c r="G54" s="9"/>
      <c r="H54" s="9" t="s">
        <v>321</v>
      </c>
      <c r="I54" s="9" t="s">
        <v>322</v>
      </c>
      <c r="J54" s="9" t="s">
        <v>323</v>
      </c>
      <c r="K54" s="9" t="s">
        <v>324</v>
      </c>
      <c r="L54" s="9" t="s">
        <v>259</v>
      </c>
      <c r="M54" s="9"/>
      <c r="N54" s="9" t="s">
        <v>171</v>
      </c>
      <c r="O54" s="9"/>
      <c r="P54" s="9"/>
      <c r="Q54" s="9"/>
      <c r="R54" s="9"/>
      <c r="S54" s="9"/>
      <c r="T54" s="9"/>
      <c r="U54" s="9"/>
      <c r="V54" s="9" t="s">
        <v>325</v>
      </c>
    </row>
    <row r="55" customFormat="false" ht="27.75" hidden="false" customHeight="true" outlineLevel="0" collapsed="false">
      <c r="A55" s="10" t="s">
        <v>1823</v>
      </c>
      <c r="B55" s="5" t="s">
        <v>357</v>
      </c>
      <c r="C55" s="5" t="s">
        <v>73</v>
      </c>
      <c r="D55" s="5" t="s">
        <v>606</v>
      </c>
      <c r="E55" s="5"/>
      <c r="F55" s="5" t="s">
        <v>1824</v>
      </c>
      <c r="G55" s="5"/>
      <c r="H55" s="30" t="n">
        <v>850000</v>
      </c>
      <c r="I55" s="5"/>
      <c r="J55" s="30" t="n">
        <v>7000000</v>
      </c>
      <c r="K55" s="5"/>
      <c r="L55" s="5" t="s">
        <v>341</v>
      </c>
      <c r="M55" s="5"/>
      <c r="N55" s="5" t="s">
        <v>1825</v>
      </c>
      <c r="O55" s="5"/>
      <c r="P55" s="5"/>
      <c r="Q55" s="5"/>
      <c r="R55" s="5"/>
      <c r="S55" s="5"/>
      <c r="T55" s="5"/>
      <c r="U55" s="5"/>
      <c r="V55" s="5" t="s">
        <v>1774</v>
      </c>
    </row>
    <row r="56" customFormat="false" ht="15" hidden="false" customHeight="true" outlineLevel="0" collapsed="false">
      <c r="A56" s="10" t="s">
        <v>1826</v>
      </c>
      <c r="B56" s="5" t="s">
        <v>1719</v>
      </c>
      <c r="C56" s="5" t="s">
        <v>76</v>
      </c>
      <c r="D56" s="5" t="s">
        <v>328</v>
      </c>
      <c r="E56" s="5"/>
      <c r="F56" s="5" t="s">
        <v>1788</v>
      </c>
      <c r="G56" s="5"/>
      <c r="H56" s="30" t="n">
        <v>750000</v>
      </c>
      <c r="I56" s="30" t="n">
        <v>750000</v>
      </c>
      <c r="J56" s="30" t="n">
        <v>7650000</v>
      </c>
      <c r="K56" s="30" t="n">
        <v>1050</v>
      </c>
      <c r="L56" s="5" t="s">
        <v>329</v>
      </c>
      <c r="M56" s="5"/>
      <c r="N56" s="5"/>
      <c r="O56" s="5"/>
      <c r="P56" s="5"/>
      <c r="Q56" s="5"/>
      <c r="R56" s="5"/>
      <c r="S56" s="5"/>
      <c r="T56" s="5"/>
      <c r="U56" s="5"/>
      <c r="V56" s="5" t="s">
        <v>1775</v>
      </c>
    </row>
    <row r="57" customFormat="false" ht="27.75" hidden="false" customHeight="true" outlineLevel="0" collapsed="false">
      <c r="A57" s="10" t="s">
        <v>1827</v>
      </c>
      <c r="B57" s="5" t="s">
        <v>1808</v>
      </c>
      <c r="C57" s="5" t="s">
        <v>78</v>
      </c>
      <c r="D57" s="5" t="s">
        <v>328</v>
      </c>
      <c r="E57" s="5"/>
      <c r="F57" s="5" t="s">
        <v>1828</v>
      </c>
      <c r="G57" s="5"/>
      <c r="H57" s="5"/>
      <c r="I57" s="5"/>
      <c r="J57" s="5"/>
      <c r="K57" s="5"/>
      <c r="L57" s="5" t="s">
        <v>329</v>
      </c>
      <c r="M57" s="5"/>
      <c r="N57" s="5" t="s">
        <v>1829</v>
      </c>
      <c r="O57" s="5"/>
      <c r="P57" s="5"/>
      <c r="Q57" s="5"/>
      <c r="R57" s="5"/>
      <c r="S57" s="5"/>
      <c r="T57" s="5"/>
      <c r="U57" s="5"/>
      <c r="V57" s="5" t="s">
        <v>1830</v>
      </c>
    </row>
    <row r="58" customFormat="false" ht="15" hidden="false" customHeight="true" outlineLevel="0" collapsed="false">
      <c r="A58" s="10" t="s">
        <v>1831</v>
      </c>
      <c r="B58" s="5" t="s">
        <v>1811</v>
      </c>
      <c r="C58" s="5" t="s">
        <v>81</v>
      </c>
      <c r="D58" s="5" t="s">
        <v>328</v>
      </c>
      <c r="E58" s="5"/>
      <c r="F58" s="5" t="s">
        <v>1832</v>
      </c>
      <c r="G58" s="5"/>
      <c r="H58" s="30" t="n">
        <v>1800000</v>
      </c>
      <c r="I58" s="30" t="n">
        <v>1800000</v>
      </c>
      <c r="J58" s="30" t="n">
        <v>11600000</v>
      </c>
      <c r="K58" s="5"/>
      <c r="L58" s="5" t="s">
        <v>1833</v>
      </c>
      <c r="M58" s="5"/>
      <c r="N58" s="5" t="s">
        <v>1834</v>
      </c>
      <c r="O58" s="5"/>
      <c r="P58" s="5"/>
      <c r="Q58" s="5"/>
      <c r="R58" s="5"/>
      <c r="S58" s="5"/>
      <c r="T58" s="5"/>
      <c r="U58" s="5"/>
      <c r="V58" s="5" t="s">
        <v>1777</v>
      </c>
    </row>
    <row r="59" customFormat="false" ht="27.75" hidden="false" customHeight="true" outlineLevel="0" collapsed="false">
      <c r="A59" s="10" t="s">
        <v>1784</v>
      </c>
      <c r="B59" s="5" t="s">
        <v>268</v>
      </c>
      <c r="C59" s="5" t="s">
        <v>425</v>
      </c>
      <c r="D59" s="5" t="s">
        <v>1835</v>
      </c>
      <c r="E59" s="5"/>
      <c r="F59" s="5" t="s">
        <v>1836</v>
      </c>
      <c r="G59" s="5"/>
      <c r="H59" s="30" t="n">
        <v>120000</v>
      </c>
      <c r="I59" s="5"/>
      <c r="J59" s="5"/>
      <c r="K59" s="30" t="n">
        <v>1500</v>
      </c>
      <c r="L59" s="5" t="s">
        <v>1837</v>
      </c>
      <c r="M59" s="5"/>
      <c r="N59" s="5" t="s">
        <v>1838</v>
      </c>
      <c r="O59" s="5"/>
      <c r="P59" s="5"/>
      <c r="Q59" s="5"/>
      <c r="R59" s="5"/>
      <c r="S59" s="5"/>
      <c r="T59" s="5"/>
      <c r="U59" s="5"/>
      <c r="V59" s="5" t="s">
        <v>1839</v>
      </c>
    </row>
    <row r="61" customFormat="false" ht="18" hidden="false" customHeight="true" outlineLevel="0" collapsed="false">
      <c r="A61" s="6" t="s">
        <v>433</v>
      </c>
      <c r="B61" s="6"/>
      <c r="C61" s="6"/>
      <c r="D61" s="6"/>
      <c r="E61" s="6"/>
      <c r="F61" s="6"/>
      <c r="G61" s="6"/>
      <c r="H61" s="6"/>
      <c r="I61" s="6"/>
      <c r="J61" s="6"/>
      <c r="K61" s="6"/>
      <c r="L61" s="6"/>
      <c r="M61" s="6"/>
      <c r="N61" s="6"/>
      <c r="O61" s="6"/>
      <c r="P61" s="6"/>
      <c r="Q61" s="6"/>
      <c r="R61" s="6"/>
      <c r="S61" s="6"/>
      <c r="T61" s="6"/>
      <c r="U61" s="6"/>
      <c r="V61" s="6"/>
    </row>
    <row r="62" customFormat="false" ht="15" hidden="false" customHeight="true" outlineLevel="0" collapsed="false">
      <c r="A62" s="9" t="s">
        <v>434</v>
      </c>
      <c r="B62" s="9" t="s">
        <v>435</v>
      </c>
      <c r="C62" s="9"/>
      <c r="D62" s="9" t="s">
        <v>70</v>
      </c>
      <c r="E62" s="9"/>
      <c r="F62" s="9" t="s">
        <v>436</v>
      </c>
      <c r="G62" s="9"/>
      <c r="H62" s="9"/>
      <c r="I62" s="9"/>
      <c r="J62" s="9"/>
      <c r="K62" s="9"/>
      <c r="L62" s="9" t="s">
        <v>437</v>
      </c>
      <c r="M62" s="9"/>
      <c r="N62" s="9"/>
      <c r="O62" s="9" t="s">
        <v>438</v>
      </c>
      <c r="P62" s="9" t="s">
        <v>171</v>
      </c>
      <c r="Q62" s="9"/>
      <c r="R62" s="9"/>
      <c r="S62" s="9"/>
      <c r="T62" s="9"/>
      <c r="U62" s="9"/>
      <c r="V62" s="9" t="s">
        <v>260</v>
      </c>
    </row>
    <row r="63" customFormat="false" ht="15" hidden="false" customHeight="true" outlineLevel="0" collapsed="false">
      <c r="A63" s="10" t="s">
        <v>1840</v>
      </c>
      <c r="B63" s="5" t="s">
        <v>461</v>
      </c>
      <c r="C63" s="5"/>
      <c r="D63" s="5" t="s">
        <v>1841</v>
      </c>
      <c r="E63" s="5"/>
      <c r="F63" s="5" t="s">
        <v>1842</v>
      </c>
      <c r="G63" s="5"/>
      <c r="H63" s="5"/>
      <c r="I63" s="5"/>
      <c r="J63" s="5"/>
      <c r="K63" s="5"/>
      <c r="L63" s="5" t="s">
        <v>1843</v>
      </c>
      <c r="M63" s="5"/>
      <c r="N63" s="5"/>
      <c r="O63" s="5" t="s">
        <v>301</v>
      </c>
      <c r="P63" s="5"/>
      <c r="Q63" s="5"/>
      <c r="R63" s="5"/>
      <c r="S63" s="5"/>
      <c r="T63" s="5"/>
      <c r="U63" s="5"/>
      <c r="V63" s="5" t="s">
        <v>658</v>
      </c>
    </row>
    <row r="64" customFormat="false" ht="15" hidden="false" customHeight="true" outlineLevel="0" collapsed="false">
      <c r="A64" s="10" t="s">
        <v>1844</v>
      </c>
      <c r="B64" s="5" t="s">
        <v>461</v>
      </c>
      <c r="C64" s="5"/>
      <c r="D64" s="5" t="s">
        <v>1845</v>
      </c>
      <c r="E64" s="5"/>
      <c r="F64" s="5" t="s">
        <v>1846</v>
      </c>
      <c r="G64" s="5"/>
      <c r="H64" s="5"/>
      <c r="I64" s="5"/>
      <c r="J64" s="5"/>
      <c r="K64" s="5"/>
      <c r="L64" s="5" t="s">
        <v>121</v>
      </c>
      <c r="M64" s="5"/>
      <c r="N64" s="5"/>
      <c r="O64" s="5" t="s">
        <v>301</v>
      </c>
      <c r="P64" s="5"/>
      <c r="Q64" s="5"/>
      <c r="R64" s="5"/>
      <c r="S64" s="5"/>
      <c r="T64" s="5"/>
      <c r="U64" s="5"/>
      <c r="V64" s="5" t="s">
        <v>658</v>
      </c>
    </row>
    <row r="65" customFormat="false" ht="27.75" hidden="false" customHeight="true" outlineLevel="0" collapsed="false">
      <c r="A65" s="10" t="s">
        <v>1805</v>
      </c>
      <c r="B65" s="5" t="s">
        <v>461</v>
      </c>
      <c r="C65" s="5"/>
      <c r="D65" s="5" t="s">
        <v>1847</v>
      </c>
      <c r="E65" s="5"/>
      <c r="F65" s="5" t="s">
        <v>1848</v>
      </c>
      <c r="G65" s="5"/>
      <c r="H65" s="5"/>
      <c r="I65" s="5"/>
      <c r="J65" s="5"/>
      <c r="K65" s="5"/>
      <c r="L65" s="5" t="s">
        <v>1849</v>
      </c>
      <c r="M65" s="5"/>
      <c r="N65" s="5"/>
      <c r="O65" s="5" t="s">
        <v>465</v>
      </c>
      <c r="P65" s="5"/>
      <c r="Q65" s="5"/>
      <c r="R65" s="5"/>
      <c r="S65" s="5"/>
      <c r="T65" s="5"/>
      <c r="U65" s="5"/>
      <c r="V65" s="5" t="s">
        <v>658</v>
      </c>
    </row>
    <row r="66" customFormat="false" ht="15" hidden="false" customHeight="true" outlineLevel="0" collapsed="false">
      <c r="A66" s="10" t="s">
        <v>1623</v>
      </c>
      <c r="B66" s="5" t="s">
        <v>461</v>
      </c>
      <c r="C66" s="5"/>
      <c r="D66" s="5" t="s">
        <v>1850</v>
      </c>
      <c r="E66" s="5"/>
      <c r="F66" s="5" t="s">
        <v>1851</v>
      </c>
      <c r="G66" s="5"/>
      <c r="H66" s="5"/>
      <c r="I66" s="5"/>
      <c r="J66" s="5"/>
      <c r="K66" s="5"/>
      <c r="L66" s="5" t="s">
        <v>1852</v>
      </c>
      <c r="M66" s="5"/>
      <c r="N66" s="5"/>
      <c r="O66" s="5" t="s">
        <v>301</v>
      </c>
      <c r="P66" s="5"/>
      <c r="Q66" s="5"/>
      <c r="R66" s="5"/>
      <c r="S66" s="5"/>
      <c r="T66" s="5"/>
      <c r="U66" s="5"/>
      <c r="V66" s="5" t="s">
        <v>467</v>
      </c>
    </row>
    <row r="67" customFormat="false" ht="15" hidden="false" customHeight="true" outlineLevel="0" collapsed="false">
      <c r="A67" s="10" t="s">
        <v>1814</v>
      </c>
      <c r="B67" s="5" t="s">
        <v>447</v>
      </c>
      <c r="C67" s="5"/>
      <c r="D67" s="5" t="s">
        <v>1464</v>
      </c>
      <c r="E67" s="5"/>
      <c r="F67" s="5" t="s">
        <v>1853</v>
      </c>
      <c r="G67" s="5"/>
      <c r="H67" s="5"/>
      <c r="I67" s="5"/>
      <c r="J67" s="5"/>
      <c r="K67" s="5"/>
      <c r="L67" s="5" t="s">
        <v>1854</v>
      </c>
      <c r="M67" s="5"/>
      <c r="N67" s="5"/>
      <c r="O67" s="5" t="s">
        <v>820</v>
      </c>
      <c r="P67" s="5" t="s">
        <v>1855</v>
      </c>
      <c r="Q67" s="5"/>
      <c r="R67" s="5"/>
      <c r="S67" s="5"/>
      <c r="T67" s="5"/>
      <c r="U67" s="5"/>
      <c r="V67" s="5" t="s">
        <v>1856</v>
      </c>
    </row>
    <row r="69" customFormat="false" ht="18" hidden="false" customHeight="true" outlineLevel="0" collapsed="false">
      <c r="A69" s="6" t="s">
        <v>468</v>
      </c>
      <c r="B69" s="6"/>
      <c r="C69" s="6"/>
      <c r="D69" s="6"/>
      <c r="E69" s="6"/>
      <c r="F69" s="6"/>
      <c r="G69" s="6"/>
      <c r="H69" s="6"/>
      <c r="I69" s="6"/>
      <c r="J69" s="6"/>
      <c r="K69" s="6"/>
      <c r="L69" s="6"/>
      <c r="M69" s="6"/>
      <c r="N69" s="6"/>
      <c r="O69" s="6"/>
      <c r="P69" s="6"/>
      <c r="Q69" s="6"/>
      <c r="R69" s="6"/>
      <c r="S69" s="6"/>
      <c r="T69" s="6"/>
      <c r="U69" s="6"/>
      <c r="V69" s="6"/>
    </row>
    <row r="70" customFormat="false" ht="40.5" hidden="false" customHeight="true" outlineLevel="0" collapsed="false">
      <c r="A70" s="9" t="s">
        <v>469</v>
      </c>
      <c r="B70" s="9" t="s">
        <v>251</v>
      </c>
      <c r="C70" s="9"/>
      <c r="D70" s="9" t="s">
        <v>470</v>
      </c>
      <c r="E70" s="9" t="s">
        <v>471</v>
      </c>
      <c r="F70" s="9" t="s">
        <v>324</v>
      </c>
      <c r="G70" s="9" t="s">
        <v>472</v>
      </c>
      <c r="H70" s="9" t="s">
        <v>473</v>
      </c>
      <c r="I70" s="9"/>
      <c r="J70" s="9" t="s">
        <v>171</v>
      </c>
      <c r="K70" s="9"/>
      <c r="L70" s="9"/>
      <c r="M70" s="9"/>
      <c r="N70" s="9"/>
      <c r="O70" s="9"/>
      <c r="P70" s="9"/>
      <c r="Q70" s="9"/>
      <c r="R70" s="9"/>
      <c r="S70" s="9"/>
      <c r="T70" s="9"/>
      <c r="U70" s="9"/>
      <c r="V70" s="9" t="s">
        <v>325</v>
      </c>
    </row>
    <row r="71" customFormat="false" ht="15" hidden="false" customHeight="true" outlineLevel="0" collapsed="false">
      <c r="A71" s="10" t="s">
        <v>1857</v>
      </c>
      <c r="B71" s="5" t="s">
        <v>1836</v>
      </c>
      <c r="C71" s="5"/>
      <c r="D71" s="30" t="n">
        <f aca="false">25000*12</f>
        <v>300000</v>
      </c>
      <c r="E71" s="5" t="s">
        <v>425</v>
      </c>
      <c r="F71" s="30" t="n">
        <v>1500</v>
      </c>
      <c r="G71" s="5" t="s">
        <v>477</v>
      </c>
      <c r="H71" s="5" t="s">
        <v>1858</v>
      </c>
      <c r="I71" s="5"/>
      <c r="J71" s="5" t="s">
        <v>1859</v>
      </c>
      <c r="K71" s="5"/>
      <c r="L71" s="5"/>
      <c r="M71" s="5"/>
      <c r="N71" s="5"/>
      <c r="O71" s="5"/>
      <c r="P71" s="5"/>
      <c r="Q71" s="5"/>
      <c r="R71" s="5"/>
      <c r="S71" s="5"/>
      <c r="T71" s="5"/>
      <c r="U71" s="5"/>
      <c r="V71" s="5" t="s">
        <v>1839</v>
      </c>
    </row>
    <row r="73" customFormat="false" ht="18" hidden="false" customHeight="true" outlineLevel="0" collapsed="false">
      <c r="A73" s="6" t="s">
        <v>502</v>
      </c>
      <c r="B73" s="6"/>
      <c r="C73" s="6"/>
      <c r="D73" s="6"/>
      <c r="E73" s="6"/>
      <c r="F73" s="6"/>
      <c r="G73" s="6"/>
      <c r="H73" s="6"/>
      <c r="I73" s="6"/>
      <c r="J73" s="6"/>
      <c r="K73" s="6"/>
      <c r="L73" s="6"/>
      <c r="M73" s="6"/>
      <c r="N73" s="6"/>
      <c r="O73" s="6"/>
      <c r="P73" s="6"/>
      <c r="Q73" s="6"/>
      <c r="R73" s="6"/>
      <c r="S73" s="6"/>
      <c r="T73" s="6"/>
      <c r="U73" s="6"/>
      <c r="V73" s="6"/>
    </row>
    <row r="74" customFormat="false" ht="15" hidden="false" customHeight="true" outlineLevel="0" collapsed="false">
      <c r="A74" s="10" t="s">
        <v>1860</v>
      </c>
      <c r="B74" s="10"/>
      <c r="C74" s="10"/>
      <c r="D74" s="10"/>
      <c r="E74" s="10"/>
      <c r="F74" s="10"/>
      <c r="G74" s="10"/>
      <c r="H74" s="10"/>
      <c r="I74" s="10"/>
      <c r="J74" s="10"/>
      <c r="K74" s="10"/>
      <c r="L74" s="10"/>
      <c r="M74" s="10"/>
      <c r="N74" s="10"/>
      <c r="O74" s="10"/>
      <c r="P74" s="10"/>
      <c r="Q74" s="10"/>
      <c r="R74" s="10"/>
      <c r="S74" s="10"/>
      <c r="T74" s="10"/>
      <c r="U74" s="10"/>
      <c r="V74" s="10"/>
    </row>
    <row r="75" customFormat="false" ht="15" hidden="false" customHeight="true" outlineLevel="0" collapsed="false">
      <c r="A75" s="10" t="s">
        <v>1861</v>
      </c>
      <c r="B75" s="10"/>
      <c r="C75" s="10"/>
      <c r="D75" s="10"/>
      <c r="E75" s="10"/>
      <c r="F75" s="10"/>
      <c r="G75" s="10"/>
      <c r="H75" s="10"/>
      <c r="I75" s="10"/>
      <c r="J75" s="10"/>
      <c r="K75" s="10"/>
      <c r="L75" s="10"/>
      <c r="M75" s="10"/>
      <c r="N75" s="10"/>
      <c r="O75" s="10"/>
      <c r="P75" s="10"/>
      <c r="Q75" s="10"/>
      <c r="R75" s="10"/>
      <c r="S75" s="10"/>
      <c r="T75" s="10"/>
      <c r="U75" s="10"/>
      <c r="V75" s="10"/>
    </row>
    <row r="76" customFormat="false" ht="15" hidden="false" customHeight="true" outlineLevel="0" collapsed="false">
      <c r="A76" s="10" t="s">
        <v>1862</v>
      </c>
      <c r="B76" s="10"/>
      <c r="C76" s="10"/>
      <c r="D76" s="10"/>
      <c r="E76" s="10"/>
      <c r="F76" s="10"/>
      <c r="G76" s="10"/>
      <c r="H76" s="10"/>
      <c r="I76" s="10"/>
      <c r="J76" s="10"/>
      <c r="K76" s="10"/>
      <c r="L76" s="10"/>
      <c r="M76" s="10"/>
      <c r="N76" s="10"/>
      <c r="O76" s="10"/>
      <c r="P76" s="10"/>
      <c r="Q76" s="10"/>
      <c r="R76" s="10"/>
      <c r="S76" s="10"/>
      <c r="T76" s="10"/>
      <c r="U76" s="10"/>
      <c r="V76" s="10"/>
    </row>
  </sheetData>
  <mergeCells count="174">
    <mergeCell ref="A3:V3"/>
    <mergeCell ref="A4:V4"/>
    <mergeCell ref="A5:B5"/>
    <mergeCell ref="C5:E5"/>
    <mergeCell ref="F5:V5"/>
    <mergeCell ref="A6:B6"/>
    <mergeCell ref="C6:E6"/>
    <mergeCell ref="F6:V6"/>
    <mergeCell ref="A7:B7"/>
    <mergeCell ref="C7:E7"/>
    <mergeCell ref="F7:V7"/>
    <mergeCell ref="A8:B8"/>
    <mergeCell ref="C8:E8"/>
    <mergeCell ref="F8:V8"/>
    <mergeCell ref="A9:B9"/>
    <mergeCell ref="C9:E9"/>
    <mergeCell ref="F9:V9"/>
    <mergeCell ref="A10:B10"/>
    <mergeCell ref="C10:E10"/>
    <mergeCell ref="F10:V10"/>
    <mergeCell ref="A11:B11"/>
    <mergeCell ref="C11:E11"/>
    <mergeCell ref="F11:V11"/>
    <mergeCell ref="A12:B12"/>
    <mergeCell ref="C12:E12"/>
    <mergeCell ref="F12:V12"/>
    <mergeCell ref="A13:B13"/>
    <mergeCell ref="C13:E13"/>
    <mergeCell ref="F13:V13"/>
    <mergeCell ref="A14:B14"/>
    <mergeCell ref="C14:E14"/>
    <mergeCell ref="F14:V14"/>
    <mergeCell ref="A15:B15"/>
    <mergeCell ref="C15:V15"/>
    <mergeCell ref="A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A33:V33"/>
    <mergeCell ref="T34:V34"/>
    <mergeCell ref="T35:V35"/>
    <mergeCell ref="T36:V36"/>
    <mergeCell ref="T37:V37"/>
    <mergeCell ref="T38:V38"/>
    <mergeCell ref="T39:V39"/>
    <mergeCell ref="T40:V40"/>
    <mergeCell ref="T41:V41"/>
    <mergeCell ref="A43:V43"/>
    <mergeCell ref="B44:C44"/>
    <mergeCell ref="D44:E44"/>
    <mergeCell ref="G44:H44"/>
    <mergeCell ref="I44:L44"/>
    <mergeCell ref="M44:N44"/>
    <mergeCell ref="S44:U44"/>
    <mergeCell ref="B45:C45"/>
    <mergeCell ref="D45:E45"/>
    <mergeCell ref="G45:H45"/>
    <mergeCell ref="I45:L45"/>
    <mergeCell ref="M45:N45"/>
    <mergeCell ref="S45:U45"/>
    <mergeCell ref="B46:C46"/>
    <mergeCell ref="D46:E46"/>
    <mergeCell ref="G46:H46"/>
    <mergeCell ref="I46:L46"/>
    <mergeCell ref="M46:N46"/>
    <mergeCell ref="S46:U46"/>
    <mergeCell ref="B47:C47"/>
    <mergeCell ref="D47:E47"/>
    <mergeCell ref="G47:H47"/>
    <mergeCell ref="I47:L47"/>
    <mergeCell ref="M47:N47"/>
    <mergeCell ref="S47:U47"/>
    <mergeCell ref="B48:C48"/>
    <mergeCell ref="D48:E48"/>
    <mergeCell ref="G48:H48"/>
    <mergeCell ref="I48:L48"/>
    <mergeCell ref="M48:N48"/>
    <mergeCell ref="S48:U48"/>
    <mergeCell ref="B49:C49"/>
    <mergeCell ref="D49:E49"/>
    <mergeCell ref="G49:H49"/>
    <mergeCell ref="I49:L49"/>
    <mergeCell ref="M49:N49"/>
    <mergeCell ref="S49:U49"/>
    <mergeCell ref="B50:C50"/>
    <mergeCell ref="D50:E50"/>
    <mergeCell ref="G50:H50"/>
    <mergeCell ref="I50:L50"/>
    <mergeCell ref="M50:N50"/>
    <mergeCell ref="S50:U50"/>
    <mergeCell ref="B51:C51"/>
    <mergeCell ref="D51:E51"/>
    <mergeCell ref="G51:H51"/>
    <mergeCell ref="I51:L51"/>
    <mergeCell ref="M51:N51"/>
    <mergeCell ref="S51:U51"/>
    <mergeCell ref="A53:V53"/>
    <mergeCell ref="D54:E54"/>
    <mergeCell ref="F54:G54"/>
    <mergeCell ref="L54:M54"/>
    <mergeCell ref="N54:U54"/>
    <mergeCell ref="D55:E55"/>
    <mergeCell ref="F55:G55"/>
    <mergeCell ref="L55:M55"/>
    <mergeCell ref="N55:U55"/>
    <mergeCell ref="D56:E56"/>
    <mergeCell ref="F56:G56"/>
    <mergeCell ref="L56:M56"/>
    <mergeCell ref="N56:U56"/>
    <mergeCell ref="D57:E57"/>
    <mergeCell ref="F57:G57"/>
    <mergeCell ref="L57:M57"/>
    <mergeCell ref="N57:U57"/>
    <mergeCell ref="D58:E58"/>
    <mergeCell ref="F58:G58"/>
    <mergeCell ref="L58:M58"/>
    <mergeCell ref="N58:U58"/>
    <mergeCell ref="D59:E59"/>
    <mergeCell ref="F59:G59"/>
    <mergeCell ref="L59:M59"/>
    <mergeCell ref="N59:U59"/>
    <mergeCell ref="A61:V61"/>
    <mergeCell ref="B62:C62"/>
    <mergeCell ref="D62:E62"/>
    <mergeCell ref="F62:K62"/>
    <mergeCell ref="L62:N62"/>
    <mergeCell ref="P62:U62"/>
    <mergeCell ref="B63:C63"/>
    <mergeCell ref="D63:E63"/>
    <mergeCell ref="F63:K63"/>
    <mergeCell ref="L63:N63"/>
    <mergeCell ref="P63:U63"/>
    <mergeCell ref="B64:C64"/>
    <mergeCell ref="D64:E64"/>
    <mergeCell ref="F64:K64"/>
    <mergeCell ref="L64:N64"/>
    <mergeCell ref="P64:U64"/>
    <mergeCell ref="B65:C65"/>
    <mergeCell ref="D65:E65"/>
    <mergeCell ref="F65:K65"/>
    <mergeCell ref="L65:N65"/>
    <mergeCell ref="P65:U65"/>
    <mergeCell ref="B66:C66"/>
    <mergeCell ref="D66:E66"/>
    <mergeCell ref="F66:K66"/>
    <mergeCell ref="L66:N66"/>
    <mergeCell ref="P66:U66"/>
    <mergeCell ref="B67:C67"/>
    <mergeCell ref="D67:E67"/>
    <mergeCell ref="F67:K67"/>
    <mergeCell ref="L67:N67"/>
    <mergeCell ref="P67:U67"/>
    <mergeCell ref="A69:V69"/>
    <mergeCell ref="B70:C70"/>
    <mergeCell ref="H70:I70"/>
    <mergeCell ref="J70:U70"/>
    <mergeCell ref="B71:C71"/>
    <mergeCell ref="H71:I71"/>
    <mergeCell ref="J71:U71"/>
    <mergeCell ref="A73:V73"/>
    <mergeCell ref="A74:V74"/>
    <mergeCell ref="A75:V75"/>
    <mergeCell ref="A76:V76"/>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1" min="3" style="0" width="11"/>
    <col collapsed="false" customWidth="true" hidden="false" outlineLevel="0" max="22" min="22" style="0" width="36"/>
  </cols>
  <sheetData>
    <row r="1" customFormat="false" ht="18.55" hidden="false" customHeight="false" outlineLevel="0" collapsed="false">
      <c r="A1" s="1" t="s">
        <v>1863</v>
      </c>
    </row>
    <row r="2" customFormat="false" ht="15" hidden="false" customHeight="false" outlineLevel="0" collapsed="false">
      <c r="A2" s="2" t="s">
        <v>1864</v>
      </c>
    </row>
    <row r="3" customFormat="false" ht="15" hidden="false" customHeight="true" outlineLevel="0" collapsed="false">
      <c r="A3" s="23" t="s">
        <v>1865</v>
      </c>
      <c r="B3" s="23"/>
      <c r="C3" s="23"/>
      <c r="D3" s="23"/>
      <c r="E3" s="23"/>
      <c r="F3" s="23"/>
      <c r="G3" s="23"/>
      <c r="H3" s="23"/>
      <c r="I3" s="23"/>
      <c r="J3" s="23"/>
      <c r="K3" s="23"/>
      <c r="L3" s="23"/>
      <c r="M3" s="23"/>
      <c r="N3" s="23"/>
      <c r="O3" s="23"/>
      <c r="P3" s="23"/>
      <c r="Q3" s="23"/>
      <c r="R3" s="23"/>
      <c r="S3" s="23"/>
      <c r="T3" s="23"/>
      <c r="U3" s="23"/>
      <c r="V3" s="23"/>
    </row>
    <row r="4" customFormat="false" ht="18" hidden="false" customHeight="true" outlineLevel="0" collapsed="false">
      <c r="A4" s="6" t="s">
        <v>151</v>
      </c>
      <c r="B4" s="6"/>
      <c r="C4" s="6"/>
      <c r="D4" s="6"/>
      <c r="E4" s="6"/>
      <c r="F4" s="6"/>
      <c r="G4" s="6"/>
      <c r="H4" s="6"/>
      <c r="I4" s="6"/>
      <c r="J4" s="6"/>
      <c r="K4" s="6"/>
      <c r="L4" s="6"/>
      <c r="M4" s="6"/>
      <c r="N4" s="6"/>
      <c r="O4" s="6"/>
      <c r="P4" s="6"/>
      <c r="Q4" s="6"/>
      <c r="R4" s="6"/>
      <c r="S4" s="6"/>
      <c r="T4" s="6"/>
      <c r="U4" s="6"/>
      <c r="V4" s="6"/>
    </row>
    <row r="5" customFormat="false" ht="15" hidden="false" customHeight="true" outlineLevel="0" collapsed="false">
      <c r="A5" s="4" t="s">
        <v>152</v>
      </c>
      <c r="B5" s="4"/>
      <c r="C5" s="24" t="n">
        <v>1000000</v>
      </c>
      <c r="D5" s="24"/>
      <c r="E5" s="24"/>
      <c r="F5" s="25" t="s">
        <v>1866</v>
      </c>
      <c r="G5" s="25"/>
      <c r="H5" s="25"/>
      <c r="I5" s="25"/>
      <c r="J5" s="25"/>
      <c r="K5" s="25"/>
      <c r="L5" s="25"/>
      <c r="M5" s="25"/>
      <c r="N5" s="25"/>
      <c r="O5" s="25"/>
      <c r="P5" s="25"/>
      <c r="Q5" s="25"/>
      <c r="R5" s="25"/>
      <c r="S5" s="25"/>
      <c r="T5" s="25"/>
      <c r="U5" s="25"/>
      <c r="V5" s="25"/>
    </row>
    <row r="6" customFormat="false" ht="15" hidden="false" customHeight="true" outlineLevel="0" collapsed="false">
      <c r="A6" s="4" t="s">
        <v>110</v>
      </c>
      <c r="B6" s="4"/>
      <c r="C6" s="5" t="s">
        <v>1867</v>
      </c>
      <c r="D6" s="5"/>
      <c r="E6" s="5"/>
      <c r="F6" s="25"/>
      <c r="G6" s="25"/>
      <c r="H6" s="25"/>
      <c r="I6" s="25"/>
      <c r="J6" s="25"/>
      <c r="K6" s="25"/>
      <c r="L6" s="25"/>
      <c r="M6" s="25"/>
      <c r="N6" s="25"/>
      <c r="O6" s="25"/>
      <c r="P6" s="25"/>
      <c r="Q6" s="25"/>
      <c r="R6" s="25"/>
      <c r="S6" s="25"/>
      <c r="T6" s="25"/>
      <c r="U6" s="25"/>
      <c r="V6" s="25"/>
    </row>
    <row r="7" customFormat="false" ht="40.5" hidden="false" customHeight="true" outlineLevel="0" collapsed="false">
      <c r="A7" s="4" t="s">
        <v>155</v>
      </c>
      <c r="B7" s="4"/>
      <c r="C7" s="5" t="s">
        <v>1868</v>
      </c>
      <c r="D7" s="5"/>
      <c r="E7" s="5"/>
      <c r="F7" s="25"/>
      <c r="G7" s="25"/>
      <c r="H7" s="25"/>
      <c r="I7" s="25"/>
      <c r="J7" s="25"/>
      <c r="K7" s="25"/>
      <c r="L7" s="25"/>
      <c r="M7" s="25"/>
      <c r="N7" s="25"/>
      <c r="O7" s="25"/>
      <c r="P7" s="25"/>
      <c r="Q7" s="25"/>
      <c r="R7" s="25"/>
      <c r="S7" s="25"/>
      <c r="T7" s="25"/>
      <c r="U7" s="25"/>
      <c r="V7" s="25"/>
    </row>
    <row r="8" customFormat="false" ht="27.75" hidden="false" customHeight="true" outlineLevel="0" collapsed="false">
      <c r="A8" s="4" t="s">
        <v>111</v>
      </c>
      <c r="B8" s="4"/>
      <c r="C8" s="5" t="s">
        <v>1869</v>
      </c>
      <c r="D8" s="5"/>
      <c r="E8" s="5"/>
      <c r="F8" s="25"/>
      <c r="G8" s="25"/>
      <c r="H8" s="25"/>
      <c r="I8" s="25"/>
      <c r="J8" s="25"/>
      <c r="K8" s="25"/>
      <c r="L8" s="25"/>
      <c r="M8" s="25"/>
      <c r="N8" s="25"/>
      <c r="O8" s="25"/>
      <c r="P8" s="25"/>
      <c r="Q8" s="25"/>
      <c r="R8" s="25"/>
      <c r="S8" s="25"/>
      <c r="T8" s="25"/>
      <c r="U8" s="25"/>
      <c r="V8" s="25"/>
    </row>
    <row r="9" customFormat="false" ht="15" hidden="false" customHeight="true" outlineLevel="0" collapsed="false">
      <c r="A9" s="4" t="s">
        <v>158</v>
      </c>
      <c r="B9" s="4"/>
      <c r="C9" s="26" t="n">
        <f aca="false">IF(ISNUMBER(S22),S22,"n.d.")</f>
        <v>164295</v>
      </c>
      <c r="D9" s="26"/>
      <c r="E9" s="26"/>
      <c r="F9" s="25" t="s">
        <v>1870</v>
      </c>
      <c r="G9" s="25"/>
      <c r="H9" s="25"/>
      <c r="I9" s="25"/>
      <c r="J9" s="25"/>
      <c r="K9" s="25"/>
      <c r="L9" s="25"/>
      <c r="M9" s="25"/>
      <c r="N9" s="25"/>
      <c r="O9" s="25"/>
      <c r="P9" s="25"/>
      <c r="Q9" s="25"/>
      <c r="R9" s="25"/>
      <c r="S9" s="25"/>
      <c r="T9" s="25"/>
      <c r="U9" s="25"/>
      <c r="V9" s="25"/>
    </row>
    <row r="10" customFormat="false" ht="27.75" hidden="false" customHeight="true" outlineLevel="0" collapsed="false">
      <c r="A10" s="4" t="s">
        <v>160</v>
      </c>
      <c r="B10" s="4"/>
      <c r="C10" s="5" t="s">
        <v>1870</v>
      </c>
      <c r="D10" s="5"/>
      <c r="E10" s="5"/>
      <c r="F10" s="25"/>
      <c r="G10" s="25"/>
      <c r="H10" s="25"/>
      <c r="I10" s="25"/>
      <c r="J10" s="25"/>
      <c r="K10" s="25"/>
      <c r="L10" s="25"/>
      <c r="M10" s="25"/>
      <c r="N10" s="25"/>
      <c r="O10" s="25"/>
      <c r="P10" s="25"/>
      <c r="Q10" s="25"/>
      <c r="R10" s="25"/>
      <c r="S10" s="25"/>
      <c r="T10" s="25"/>
      <c r="U10" s="25"/>
      <c r="V10" s="25"/>
    </row>
    <row r="11" customFormat="false" ht="15" hidden="false" customHeight="true" outlineLevel="0" collapsed="false">
      <c r="A11" s="4" t="s">
        <v>114</v>
      </c>
      <c r="B11" s="4"/>
      <c r="C11" s="27" t="n">
        <f aca="false">IFERROR(C9/C5,"n.d.")</f>
        <v>0.164295</v>
      </c>
      <c r="D11" s="27"/>
      <c r="E11" s="27"/>
      <c r="F11" s="25" t="s">
        <v>1871</v>
      </c>
      <c r="G11" s="25"/>
      <c r="H11" s="25"/>
      <c r="I11" s="25"/>
      <c r="J11" s="25"/>
      <c r="K11" s="25"/>
      <c r="L11" s="25"/>
      <c r="M11" s="25"/>
      <c r="N11" s="25"/>
      <c r="O11" s="25"/>
      <c r="P11" s="25"/>
      <c r="Q11" s="25"/>
      <c r="R11" s="25"/>
      <c r="S11" s="25"/>
      <c r="T11" s="25"/>
      <c r="U11" s="25"/>
      <c r="V11" s="25"/>
    </row>
    <row r="12" customFormat="false" ht="15" hidden="false" customHeight="true" outlineLevel="0" collapsed="false">
      <c r="A12" s="4" t="s">
        <v>162</v>
      </c>
      <c r="B12" s="4"/>
      <c r="C12" s="26" t="n">
        <f aca="false">Q19</f>
        <v>1000000</v>
      </c>
      <c r="D12" s="26"/>
      <c r="E12" s="26"/>
      <c r="F12" s="25" t="s">
        <v>1872</v>
      </c>
      <c r="G12" s="25"/>
      <c r="H12" s="25"/>
      <c r="I12" s="25"/>
      <c r="J12" s="25"/>
      <c r="K12" s="25"/>
      <c r="L12" s="25"/>
      <c r="M12" s="25"/>
      <c r="N12" s="25"/>
      <c r="O12" s="25"/>
      <c r="P12" s="25"/>
      <c r="Q12" s="25"/>
      <c r="R12" s="25"/>
      <c r="S12" s="25"/>
      <c r="T12" s="25"/>
      <c r="U12" s="25"/>
      <c r="V12" s="25"/>
    </row>
    <row r="13" customFormat="false" ht="15" hidden="false" customHeight="true" outlineLevel="0" collapsed="false">
      <c r="A13" s="4" t="s">
        <v>164</v>
      </c>
      <c r="B13" s="4"/>
      <c r="C13" s="5" t="s">
        <v>121</v>
      </c>
      <c r="D13" s="5"/>
      <c r="E13" s="5"/>
      <c r="F13" s="25" t="s">
        <v>1873</v>
      </c>
      <c r="G13" s="25"/>
      <c r="H13" s="25"/>
      <c r="I13" s="25"/>
      <c r="J13" s="25"/>
      <c r="K13" s="25"/>
      <c r="L13" s="25"/>
      <c r="M13" s="25"/>
      <c r="N13" s="25"/>
      <c r="O13" s="25"/>
      <c r="P13" s="25"/>
      <c r="Q13" s="25"/>
      <c r="R13" s="25"/>
      <c r="S13" s="25"/>
      <c r="T13" s="25"/>
      <c r="U13" s="25"/>
      <c r="V13" s="25"/>
    </row>
    <row r="14" customFormat="false" ht="27.75" hidden="false" customHeight="true" outlineLevel="0" collapsed="false">
      <c r="A14" s="4" t="s">
        <v>130</v>
      </c>
      <c r="B14" s="4"/>
      <c r="C14" s="5" t="s">
        <v>1874</v>
      </c>
      <c r="D14" s="5"/>
      <c r="E14" s="5"/>
      <c r="F14" s="25"/>
      <c r="G14" s="25"/>
      <c r="H14" s="25"/>
      <c r="I14" s="25"/>
      <c r="J14" s="25"/>
      <c r="K14" s="25"/>
      <c r="L14" s="25"/>
      <c r="M14" s="25"/>
      <c r="N14" s="25"/>
      <c r="O14" s="25"/>
      <c r="P14" s="25"/>
      <c r="Q14" s="25"/>
      <c r="R14" s="25"/>
      <c r="S14" s="25"/>
      <c r="T14" s="25"/>
      <c r="U14" s="25"/>
      <c r="V14" s="25"/>
    </row>
    <row r="15" customFormat="false" ht="20.25" hidden="false" customHeight="true" outlineLevel="0" collapsed="false">
      <c r="A15" s="4" t="s">
        <v>120</v>
      </c>
      <c r="B15" s="4"/>
      <c r="C15" s="28" t="s">
        <v>1875</v>
      </c>
      <c r="D15" s="28"/>
      <c r="E15" s="28"/>
      <c r="F15" s="28"/>
      <c r="G15" s="28"/>
      <c r="H15" s="28"/>
      <c r="I15" s="28"/>
      <c r="J15" s="28"/>
      <c r="K15" s="28"/>
      <c r="L15" s="28"/>
      <c r="M15" s="28"/>
      <c r="N15" s="28"/>
      <c r="O15" s="28"/>
      <c r="P15" s="28"/>
      <c r="Q15" s="28"/>
      <c r="R15" s="28"/>
      <c r="S15" s="28"/>
      <c r="T15" s="28"/>
      <c r="U15" s="28"/>
      <c r="V15" s="28"/>
    </row>
    <row r="17" customFormat="false" ht="18" hidden="false" customHeight="true" outlineLevel="0" collapsed="false">
      <c r="A17" s="6" t="s">
        <v>168</v>
      </c>
      <c r="B17" s="6"/>
      <c r="C17" s="6"/>
      <c r="D17" s="6"/>
      <c r="E17" s="6"/>
      <c r="F17" s="6"/>
      <c r="G17" s="6"/>
      <c r="H17" s="6"/>
      <c r="I17" s="6"/>
      <c r="J17" s="6"/>
      <c r="K17" s="6"/>
      <c r="L17" s="6"/>
      <c r="M17" s="6"/>
      <c r="N17" s="6"/>
      <c r="O17" s="6"/>
      <c r="P17" s="6"/>
      <c r="Q17" s="6"/>
      <c r="R17" s="6"/>
      <c r="S17" s="6"/>
      <c r="T17" s="6"/>
      <c r="U17" s="6"/>
      <c r="V17" s="6"/>
    </row>
    <row r="18" customFormat="false" ht="15" hidden="false" customHeight="true" outlineLevel="0" collapsed="false">
      <c r="A18" s="8" t="s">
        <v>169</v>
      </c>
      <c r="B18" s="9" t="s">
        <v>170</v>
      </c>
      <c r="C18" s="9" t="s">
        <v>71</v>
      </c>
      <c r="D18" s="9" t="s">
        <v>72</v>
      </c>
      <c r="E18" s="9" t="s">
        <v>73</v>
      </c>
      <c r="F18" s="9" t="s">
        <v>74</v>
      </c>
      <c r="G18" s="9" t="s">
        <v>75</v>
      </c>
      <c r="H18" s="9" t="s">
        <v>76</v>
      </c>
      <c r="I18" s="9" t="s">
        <v>77</v>
      </c>
      <c r="J18" s="9" t="s">
        <v>78</v>
      </c>
      <c r="K18" s="9" t="s">
        <v>79</v>
      </c>
      <c r="L18" s="9" t="s">
        <v>80</v>
      </c>
      <c r="M18" s="9" t="s">
        <v>81</v>
      </c>
      <c r="N18" s="9" t="s">
        <v>82</v>
      </c>
      <c r="O18" s="9" t="s">
        <v>83</v>
      </c>
      <c r="P18" s="9" t="s">
        <v>84</v>
      </c>
      <c r="Q18" s="9" t="s">
        <v>85</v>
      </c>
      <c r="R18" s="9" t="s">
        <v>86</v>
      </c>
      <c r="S18" s="9" t="s">
        <v>87</v>
      </c>
      <c r="T18" s="8" t="s">
        <v>171</v>
      </c>
      <c r="U18" s="8"/>
      <c r="V18" s="8"/>
    </row>
    <row r="19" customFormat="false" ht="24.75" hidden="false" customHeight="true" outlineLevel="0" collapsed="false">
      <c r="A19" s="10" t="s">
        <v>172</v>
      </c>
      <c r="B19" s="29" t="s">
        <v>173</v>
      </c>
      <c r="C19" s="5"/>
      <c r="D19" s="5"/>
      <c r="E19" s="5"/>
      <c r="F19" s="5"/>
      <c r="G19" s="5"/>
      <c r="H19" s="5"/>
      <c r="I19" s="5"/>
      <c r="J19" s="5"/>
      <c r="K19" s="5"/>
      <c r="L19" s="5"/>
      <c r="M19" s="5"/>
      <c r="N19" s="5"/>
      <c r="O19" s="30" t="n">
        <v>500000</v>
      </c>
      <c r="P19" s="5"/>
      <c r="Q19" s="30" t="n">
        <v>1000000</v>
      </c>
      <c r="R19" s="5"/>
      <c r="S19" s="5"/>
      <c r="T19" s="25" t="s">
        <v>1876</v>
      </c>
      <c r="U19" s="25"/>
      <c r="V19" s="25"/>
    </row>
    <row r="20" customFormat="false" ht="24.75" hidden="false" customHeight="true" outlineLevel="0" collapsed="false">
      <c r="A20" s="10" t="s">
        <v>175</v>
      </c>
      <c r="B20" s="29" t="s">
        <v>176</v>
      </c>
      <c r="C20" s="5"/>
      <c r="D20" s="5"/>
      <c r="E20" s="5"/>
      <c r="F20" s="5"/>
      <c r="G20" s="5"/>
      <c r="H20" s="5"/>
      <c r="I20" s="5"/>
      <c r="J20" s="5"/>
      <c r="K20" s="5"/>
      <c r="L20" s="5"/>
      <c r="M20" s="5"/>
      <c r="N20" s="5"/>
      <c r="O20" s="29" t="s">
        <v>520</v>
      </c>
      <c r="P20" s="5"/>
      <c r="Q20" s="29" t="s">
        <v>51</v>
      </c>
      <c r="R20" s="5"/>
      <c r="S20" s="5"/>
      <c r="T20" s="25" t="s">
        <v>179</v>
      </c>
      <c r="U20" s="25"/>
      <c r="V20" s="25"/>
    </row>
    <row r="21" customFormat="false" ht="15" hidden="false" customHeight="true" outlineLevel="0" collapsed="false">
      <c r="A21" s="10" t="s">
        <v>180</v>
      </c>
      <c r="B21" s="29" t="s">
        <v>181</v>
      </c>
      <c r="C21" s="5"/>
      <c r="D21" s="5"/>
      <c r="E21" s="5"/>
      <c r="F21" s="5"/>
      <c r="G21" s="5"/>
      <c r="H21" s="5"/>
      <c r="I21" s="5"/>
      <c r="J21" s="5"/>
      <c r="K21" s="5"/>
      <c r="L21" s="5"/>
      <c r="M21" s="5"/>
      <c r="N21" s="5"/>
      <c r="O21" s="5"/>
      <c r="P21" s="5"/>
      <c r="Q21" s="5"/>
      <c r="R21" s="5"/>
      <c r="S21" s="5"/>
      <c r="T21" s="25" t="s">
        <v>688</v>
      </c>
      <c r="U21" s="25"/>
      <c r="V21" s="25"/>
    </row>
    <row r="22" customFormat="false" ht="24.75" hidden="false" customHeight="true" outlineLevel="0" collapsed="false">
      <c r="A22" s="10" t="s">
        <v>183</v>
      </c>
      <c r="B22" s="29" t="s">
        <v>181</v>
      </c>
      <c r="C22" s="5"/>
      <c r="D22" s="5"/>
      <c r="E22" s="5"/>
      <c r="F22" s="5"/>
      <c r="G22" s="5"/>
      <c r="H22" s="5"/>
      <c r="I22" s="5"/>
      <c r="J22" s="5"/>
      <c r="K22" s="5"/>
      <c r="L22" s="5"/>
      <c r="M22" s="5"/>
      <c r="N22" s="5"/>
      <c r="O22" s="5"/>
      <c r="P22" s="5"/>
      <c r="Q22" s="5"/>
      <c r="R22" s="30" t="n">
        <v>344300</v>
      </c>
      <c r="S22" s="30" t="n">
        <v>164295</v>
      </c>
      <c r="T22" s="25" t="s">
        <v>1877</v>
      </c>
      <c r="U22" s="25"/>
      <c r="V22" s="25"/>
    </row>
    <row r="23" customFormat="false" ht="15" hidden="false" customHeight="true" outlineLevel="0" collapsed="false">
      <c r="A23" s="10" t="s">
        <v>185</v>
      </c>
      <c r="B23" s="29" t="s">
        <v>181</v>
      </c>
      <c r="C23" s="5"/>
      <c r="D23" s="5"/>
      <c r="E23" s="5"/>
      <c r="F23" s="5"/>
      <c r="G23" s="5"/>
      <c r="H23" s="5"/>
      <c r="I23" s="5"/>
      <c r="J23" s="5"/>
      <c r="K23" s="5"/>
      <c r="L23" s="5"/>
      <c r="M23" s="5"/>
      <c r="N23" s="5"/>
      <c r="O23" s="5"/>
      <c r="P23" s="5"/>
      <c r="Q23" s="5"/>
      <c r="R23" s="5"/>
      <c r="S23" s="5"/>
      <c r="T23" s="25"/>
      <c r="U23" s="25"/>
      <c r="V23" s="25"/>
    </row>
    <row r="24" customFormat="false" ht="15" hidden="false" customHeight="true" outlineLevel="0" collapsed="false">
      <c r="A24" s="10" t="s">
        <v>187</v>
      </c>
      <c r="B24" s="29" t="s">
        <v>181</v>
      </c>
      <c r="C24" s="5"/>
      <c r="D24" s="5"/>
      <c r="E24" s="5"/>
      <c r="F24" s="5"/>
      <c r="G24" s="5"/>
      <c r="H24" s="5"/>
      <c r="I24" s="5"/>
      <c r="J24" s="5"/>
      <c r="K24" s="5"/>
      <c r="L24" s="5"/>
      <c r="M24" s="5"/>
      <c r="N24" s="5"/>
      <c r="O24" s="5"/>
      <c r="P24" s="5"/>
      <c r="Q24" s="5"/>
      <c r="R24" s="5"/>
      <c r="S24" s="5"/>
      <c r="T24" s="25"/>
      <c r="U24" s="25"/>
      <c r="V24" s="25"/>
    </row>
    <row r="25" customFormat="false" ht="24.75" hidden="false" customHeight="true" outlineLevel="0" collapsed="false">
      <c r="A25" s="10" t="s">
        <v>188</v>
      </c>
      <c r="B25" s="29" t="s">
        <v>189</v>
      </c>
      <c r="C25" s="17" t="str">
        <f aca="false">IF(AND(ISNUMBER(C21),ISNUMBER(C19)),C21/C19,"")</f>
        <v/>
      </c>
      <c r="D25" s="17" t="str">
        <f aca="false">IF(AND(ISNUMBER(D21),ISNUMBER(D19)),D21/D19,"")</f>
        <v/>
      </c>
      <c r="E25" s="17" t="str">
        <f aca="false">IF(AND(ISNUMBER(E21),ISNUMBER(E19)),E21/E19,"")</f>
        <v/>
      </c>
      <c r="F25" s="17" t="str">
        <f aca="false">IF(AND(ISNUMBER(F21),ISNUMBER(F19)),F21/F19,"")</f>
        <v/>
      </c>
      <c r="G25" s="17" t="str">
        <f aca="false">IF(AND(ISNUMBER(G21),ISNUMBER(G19)),G21/G19,"")</f>
        <v/>
      </c>
      <c r="H25" s="17" t="str">
        <f aca="false">IF(AND(ISNUMBER(H21),ISNUMBER(H19)),H21/H19,"")</f>
        <v/>
      </c>
      <c r="I25" s="17" t="str">
        <f aca="false">IF(AND(ISNUMBER(I21),ISNUMBER(I19)),I21/I19,"")</f>
        <v/>
      </c>
      <c r="J25" s="17" t="str">
        <f aca="false">IF(AND(ISNUMBER(J21),ISNUMBER(J19)),J21/J19,"")</f>
        <v/>
      </c>
      <c r="K25" s="17" t="str">
        <f aca="false">IF(AND(ISNUMBER(K21),ISNUMBER(K19)),K21/K19,"")</f>
        <v/>
      </c>
      <c r="L25" s="17" t="str">
        <f aca="false">IF(AND(ISNUMBER(L21),ISNUMBER(L19)),L21/L19,"")</f>
        <v/>
      </c>
      <c r="M25" s="17" t="str">
        <f aca="false">IF(AND(ISNUMBER(M21),ISNUMBER(M19)),M21/M19,"")</f>
        <v/>
      </c>
      <c r="N25" s="17" t="str">
        <f aca="false">IF(AND(ISNUMBER(N21),ISNUMBER(N19)),N21/N19,"")</f>
        <v/>
      </c>
      <c r="O25" s="17" t="str">
        <f aca="false">IF(AND(ISNUMBER(O21),ISNUMBER(O19)),O21/O19,"")</f>
        <v/>
      </c>
      <c r="P25" s="17" t="str">
        <f aca="false">IF(AND(ISNUMBER(P21),ISNUMBER(P19)),P21/P19,"")</f>
        <v/>
      </c>
      <c r="Q25" s="17" t="str">
        <f aca="false">IF(AND(ISNUMBER(Q21),ISNUMBER(Q19)),Q21/Q19,"")</f>
        <v/>
      </c>
      <c r="R25" s="17" t="str">
        <f aca="false">IF(AND(ISNUMBER(R21),ISNUMBER(R19)),R21/R19,"")</f>
        <v/>
      </c>
      <c r="S25" s="17" t="str">
        <f aca="false">IF(AND(ISNUMBER(S21),ISNUMBER(S19)),S21/S19,"")</f>
        <v/>
      </c>
      <c r="T25" s="25" t="s">
        <v>190</v>
      </c>
      <c r="U25" s="25"/>
      <c r="V25" s="25"/>
    </row>
    <row r="26" customFormat="false" ht="15" hidden="false" customHeight="true" outlineLevel="0" collapsed="false">
      <c r="A26" s="10" t="s">
        <v>191</v>
      </c>
      <c r="B26" s="29" t="s">
        <v>189</v>
      </c>
      <c r="C26" s="17" t="str">
        <f aca="false">IF(AND(ISNUMBER(C21),ISNUMBER(C19)),C21/C19,"")</f>
        <v/>
      </c>
      <c r="D26" s="17" t="str">
        <f aca="false">IF(AND(ISNUMBER(D21),ISNUMBER(D19)),D21/IF(ISNUMBER(C19),AVERAGE(C19,D19),D19),"")</f>
        <v/>
      </c>
      <c r="E26" s="17" t="str">
        <f aca="false">IF(AND(ISNUMBER(E21),ISNUMBER(E19)),E21/IF(ISNUMBER(D19),AVERAGE(D19,E19),E19),"")</f>
        <v/>
      </c>
      <c r="F26" s="17" t="str">
        <f aca="false">IF(AND(ISNUMBER(F21),ISNUMBER(F19)),F21/IF(ISNUMBER(E19),AVERAGE(E19,F19),F19),"")</f>
        <v/>
      </c>
      <c r="G26" s="17" t="str">
        <f aca="false">IF(AND(ISNUMBER(G21),ISNUMBER(G19)),G21/IF(ISNUMBER(F19),AVERAGE(F19,G19),G19),"")</f>
        <v/>
      </c>
      <c r="H26" s="17" t="str">
        <f aca="false">IF(AND(ISNUMBER(H21),ISNUMBER(H19)),H21/IF(ISNUMBER(G19),AVERAGE(G19,H19),H19),"")</f>
        <v/>
      </c>
      <c r="I26" s="17" t="str">
        <f aca="false">IF(AND(ISNUMBER(I21),ISNUMBER(I19)),I21/IF(ISNUMBER(H19),AVERAGE(H19,I19),I19),"")</f>
        <v/>
      </c>
      <c r="J26" s="17" t="str">
        <f aca="false">IF(AND(ISNUMBER(J21),ISNUMBER(J19)),J21/IF(ISNUMBER(I19),AVERAGE(I19,J19),J19),"")</f>
        <v/>
      </c>
      <c r="K26" s="17" t="str">
        <f aca="false">IF(AND(ISNUMBER(K21),ISNUMBER(K19)),K21/IF(ISNUMBER(J19),AVERAGE(J19,K19),K19),"")</f>
        <v/>
      </c>
      <c r="L26" s="17" t="str">
        <f aca="false">IF(AND(ISNUMBER(L21),ISNUMBER(L19)),L21/IF(ISNUMBER(K19),AVERAGE(K19,L19),L19),"")</f>
        <v/>
      </c>
      <c r="M26" s="17" t="str">
        <f aca="false">IF(AND(ISNUMBER(M21),ISNUMBER(M19)),M21/IF(ISNUMBER(L19),AVERAGE(L19,M19),M19),"")</f>
        <v/>
      </c>
      <c r="N26" s="17" t="str">
        <f aca="false">IF(AND(ISNUMBER(N21),ISNUMBER(N19)),N21/IF(ISNUMBER(M19),AVERAGE(M19,N19),N19),"")</f>
        <v/>
      </c>
      <c r="O26" s="17" t="str">
        <f aca="false">IF(AND(ISNUMBER(O21),ISNUMBER(O19)),O21/IF(ISNUMBER(N19),AVERAGE(N19,O19),O19),"")</f>
        <v/>
      </c>
      <c r="P26" s="17" t="str">
        <f aca="false">IF(AND(ISNUMBER(P21),ISNUMBER(P19)),P21/IF(ISNUMBER(O19),AVERAGE(O19,P19),P19),"")</f>
        <v/>
      </c>
      <c r="Q26" s="17" t="str">
        <f aca="false">IF(AND(ISNUMBER(Q21),ISNUMBER(Q19)),Q21/IF(ISNUMBER(P19),AVERAGE(P19,Q19),Q19),"")</f>
        <v/>
      </c>
      <c r="R26" s="17" t="str">
        <f aca="false">IF(AND(ISNUMBER(R21),ISNUMBER(R19)),R21/IF(ISNUMBER(Q19),AVERAGE(Q19,R19),R19),"")</f>
        <v/>
      </c>
      <c r="S26" s="17" t="str">
        <f aca="false">IF(AND(ISNUMBER(S21),ISNUMBER(S19)),S21/IF(ISNUMBER(R19),AVERAGE(R19,S19),S19),"")</f>
        <v/>
      </c>
      <c r="T26" s="25" t="s">
        <v>192</v>
      </c>
      <c r="U26" s="25"/>
      <c r="V26" s="25"/>
    </row>
    <row r="27" customFormat="false" ht="24.75" hidden="false" customHeight="true" outlineLevel="0" collapsed="false">
      <c r="A27" s="10" t="s">
        <v>193</v>
      </c>
      <c r="B27" s="29" t="s">
        <v>189</v>
      </c>
      <c r="C27" s="17" t="str">
        <f aca="false">IF(ISNUMBER(C19),IF(ISNUMBER(C22),C22/C19,IF(ISNUMBER(C23),C23/C19,"")),"")</f>
        <v/>
      </c>
      <c r="D27" s="17" t="str">
        <f aca="false">IF(ISNUMBER(D19),IF(ISNUMBER(D22),D22/D19,IF(ISNUMBER(D23),D23/D19,"")),"")</f>
        <v/>
      </c>
      <c r="E27" s="17" t="str">
        <f aca="false">IF(ISNUMBER(E19),IF(ISNUMBER(E22),E22/E19,IF(ISNUMBER(E23),E23/E19,"")),"")</f>
        <v/>
      </c>
      <c r="F27" s="17" t="str">
        <f aca="false">IF(ISNUMBER(F19),IF(ISNUMBER(F22),F22/F19,IF(ISNUMBER(F23),F23/F19,"")),"")</f>
        <v/>
      </c>
      <c r="G27" s="17" t="str">
        <f aca="false">IF(ISNUMBER(G19),IF(ISNUMBER(G22),G22/G19,IF(ISNUMBER(G23),G23/G19,"")),"")</f>
        <v/>
      </c>
      <c r="H27" s="17" t="str">
        <f aca="false">IF(ISNUMBER(H19),IF(ISNUMBER(H22),H22/H19,IF(ISNUMBER(H23),H23/H19,"")),"")</f>
        <v/>
      </c>
      <c r="I27" s="17" t="str">
        <f aca="false">IF(ISNUMBER(I19),IF(ISNUMBER(I22),I22/I19,IF(ISNUMBER(I23),I23/I19,"")),"")</f>
        <v/>
      </c>
      <c r="J27" s="17" t="str">
        <f aca="false">IF(ISNUMBER(J19),IF(ISNUMBER(J22),J22/J19,IF(ISNUMBER(J23),J23/J19,"")),"")</f>
        <v/>
      </c>
      <c r="K27" s="17" t="str">
        <f aca="false">IF(ISNUMBER(K19),IF(ISNUMBER(K22),K22/K19,IF(ISNUMBER(K23),K23/K19,"")),"")</f>
        <v/>
      </c>
      <c r="L27" s="17" t="str">
        <f aca="false">IF(ISNUMBER(L19),IF(ISNUMBER(L22),L22/L19,IF(ISNUMBER(L23),L23/L19,"")),"")</f>
        <v/>
      </c>
      <c r="M27" s="17" t="str">
        <f aca="false">IF(ISNUMBER(M19),IF(ISNUMBER(M22),M22/M19,IF(ISNUMBER(M23),M23/M19,"")),"")</f>
        <v/>
      </c>
      <c r="N27" s="17" t="str">
        <f aca="false">IF(ISNUMBER(N19),IF(ISNUMBER(N22),N22/N19,IF(ISNUMBER(N23),N23/N19,"")),"")</f>
        <v/>
      </c>
      <c r="O27" s="17" t="str">
        <f aca="false">IF(ISNUMBER(O19),IF(ISNUMBER(O22),O22/O19,IF(ISNUMBER(O23),O23/O19,"")),"")</f>
        <v/>
      </c>
      <c r="P27" s="17" t="str">
        <f aca="false">IF(ISNUMBER(P19),IF(ISNUMBER(P22),P22/P19,IF(ISNUMBER(P23),P23/P19,"")),"")</f>
        <v/>
      </c>
      <c r="Q27" s="17" t="str">
        <f aca="false">IF(ISNUMBER(Q19),IF(ISNUMBER(Q22),Q22/Q19,IF(ISNUMBER(Q23),Q23/Q19,"")),"")</f>
        <v/>
      </c>
      <c r="R27" s="17" t="str">
        <f aca="false">IF(ISNUMBER(R19),IF(ISNUMBER(R22),R22/R19,IF(ISNUMBER(R23),R23/R19,"")),"")</f>
        <v/>
      </c>
      <c r="S27" s="17" t="str">
        <f aca="false">IF(ISNUMBER(S19),IF(ISNUMBER(S22),S22/S19,IF(ISNUMBER(S23),S23/S19,"")),"")</f>
        <v/>
      </c>
      <c r="T27" s="25" t="s">
        <v>194</v>
      </c>
      <c r="U27" s="25"/>
      <c r="V27" s="25"/>
    </row>
    <row r="28" customFormat="false" ht="15" hidden="false" customHeight="true" outlineLevel="0" collapsed="false">
      <c r="A28" s="10" t="s">
        <v>195</v>
      </c>
      <c r="B28" s="29" t="s">
        <v>173</v>
      </c>
      <c r="C28" s="5"/>
      <c r="D28" s="18" t="str">
        <f aca="false">IF(AND(ISNUMBER(D19),ISNUMBER(C19)),D19-C19,"")</f>
        <v/>
      </c>
      <c r="E28" s="18" t="str">
        <f aca="false">IF(AND(ISNUMBER(E19),ISNUMBER(D19)),E19-D19,"")</f>
        <v/>
      </c>
      <c r="F28" s="18" t="str">
        <f aca="false">IF(AND(ISNUMBER(F19),ISNUMBER(E19)),F19-E19,"")</f>
        <v/>
      </c>
      <c r="G28" s="18" t="str">
        <f aca="false">IF(AND(ISNUMBER(G19),ISNUMBER(F19)),G19-F19,"")</f>
        <v/>
      </c>
      <c r="H28" s="18" t="str">
        <f aca="false">IF(AND(ISNUMBER(H19),ISNUMBER(G19)),H19-G19,"")</f>
        <v/>
      </c>
      <c r="I28" s="18" t="str">
        <f aca="false">IF(AND(ISNUMBER(I19),ISNUMBER(H19)),I19-H19,"")</f>
        <v/>
      </c>
      <c r="J28" s="18" t="str">
        <f aca="false">IF(AND(ISNUMBER(J19),ISNUMBER(I19)),J19-I19,"")</f>
        <v/>
      </c>
      <c r="K28" s="18" t="str">
        <f aca="false">IF(AND(ISNUMBER(K19),ISNUMBER(J19)),K19-J19,"")</f>
        <v/>
      </c>
      <c r="L28" s="18" t="str">
        <f aca="false">IF(AND(ISNUMBER(L19),ISNUMBER(K19)),L19-K19,"")</f>
        <v/>
      </c>
      <c r="M28" s="18" t="str">
        <f aca="false">IF(AND(ISNUMBER(M19),ISNUMBER(L19)),M19-L19,"")</f>
        <v/>
      </c>
      <c r="N28" s="18" t="str">
        <f aca="false">IF(AND(ISNUMBER(N19),ISNUMBER(M19)),N19-M19,"")</f>
        <v/>
      </c>
      <c r="O28" s="18" t="str">
        <f aca="false">IF(AND(ISNUMBER(O19),ISNUMBER(N19)),O19-N19,"")</f>
        <v/>
      </c>
      <c r="P28" s="18" t="str">
        <f aca="false">IF(AND(ISNUMBER(P19),ISNUMBER(O19)),P19-O19,"")</f>
        <v/>
      </c>
      <c r="Q28" s="18" t="str">
        <f aca="false">IF(AND(ISNUMBER(Q19),ISNUMBER(P19)),Q19-P19,"")</f>
        <v/>
      </c>
      <c r="R28" s="18" t="str">
        <f aca="false">IF(AND(ISNUMBER(R19),ISNUMBER(Q19)),R19-Q19,"")</f>
        <v/>
      </c>
      <c r="S28" s="18" t="str">
        <f aca="false">IF(AND(ISNUMBER(S19),ISNUMBER(R19)),S19-R19,"")</f>
        <v/>
      </c>
      <c r="T28" s="25" t="s">
        <v>196</v>
      </c>
      <c r="U28" s="25"/>
      <c r="V28" s="25"/>
    </row>
    <row r="29" customFormat="false" ht="15" hidden="false" customHeight="true" outlineLevel="0" collapsed="false">
      <c r="A29" s="10" t="s">
        <v>197</v>
      </c>
      <c r="B29" s="29" t="s">
        <v>189</v>
      </c>
      <c r="C29" s="31"/>
      <c r="D29" s="31"/>
      <c r="E29" s="31"/>
      <c r="F29" s="31"/>
      <c r="G29" s="31"/>
      <c r="H29" s="31"/>
      <c r="I29" s="31"/>
      <c r="J29" s="31"/>
      <c r="K29" s="31"/>
      <c r="L29" s="31"/>
      <c r="M29" s="31"/>
      <c r="N29" s="31"/>
      <c r="O29" s="31"/>
      <c r="P29" s="31"/>
      <c r="Q29" s="31"/>
      <c r="R29" s="31"/>
      <c r="S29" s="31"/>
      <c r="T29" s="25"/>
      <c r="U29" s="25"/>
      <c r="V29" s="25"/>
    </row>
    <row r="30" customFormat="false" ht="24.75" hidden="false" customHeight="true" outlineLevel="0" collapsed="false">
      <c r="A30" s="10" t="s">
        <v>199</v>
      </c>
      <c r="B30" s="29"/>
      <c r="C30" s="29"/>
      <c r="D30" s="29"/>
      <c r="E30" s="29"/>
      <c r="F30" s="29"/>
      <c r="G30" s="29"/>
      <c r="H30" s="29"/>
      <c r="I30" s="29"/>
      <c r="J30" s="29"/>
      <c r="K30" s="29"/>
      <c r="L30" s="29"/>
      <c r="M30" s="29"/>
      <c r="N30" s="29" t="s">
        <v>1878</v>
      </c>
      <c r="O30" s="29" t="s">
        <v>1879</v>
      </c>
      <c r="P30" s="29"/>
      <c r="Q30" s="29" t="s">
        <v>1880</v>
      </c>
      <c r="R30" s="29" t="s">
        <v>1881</v>
      </c>
      <c r="S30" s="29" t="s">
        <v>1882</v>
      </c>
      <c r="T30" s="25"/>
      <c r="U30" s="25"/>
      <c r="V30" s="25"/>
    </row>
    <row r="31" customFormat="false" ht="46.5" hidden="false" customHeight="true" outlineLevel="0" collapsed="false">
      <c r="A31" s="10" t="s">
        <v>216</v>
      </c>
      <c r="B31" s="29"/>
      <c r="C31" s="25"/>
      <c r="D31" s="25"/>
      <c r="E31" s="25"/>
      <c r="F31" s="25"/>
      <c r="G31" s="25"/>
      <c r="H31" s="25"/>
      <c r="I31" s="25"/>
      <c r="J31" s="25"/>
      <c r="K31" s="25"/>
      <c r="L31" s="25"/>
      <c r="M31" s="25"/>
      <c r="N31" s="25" t="s">
        <v>1883</v>
      </c>
      <c r="O31" s="25" t="s">
        <v>1884</v>
      </c>
      <c r="P31" s="25"/>
      <c r="Q31" s="25" t="s">
        <v>1885</v>
      </c>
      <c r="R31" s="25"/>
      <c r="S31" s="25" t="s">
        <v>1886</v>
      </c>
      <c r="T31" s="25"/>
      <c r="U31" s="25"/>
      <c r="V31" s="25"/>
    </row>
    <row r="33" customFormat="false" ht="18" hidden="false" customHeight="true" outlineLevel="0" collapsed="false">
      <c r="A33" s="6" t="s">
        <v>233</v>
      </c>
      <c r="B33" s="6"/>
      <c r="C33" s="6"/>
      <c r="D33" s="6"/>
      <c r="E33" s="6"/>
      <c r="F33" s="6"/>
      <c r="G33" s="6"/>
      <c r="H33" s="6"/>
      <c r="I33" s="6"/>
      <c r="J33" s="6"/>
      <c r="K33" s="6"/>
      <c r="L33" s="6"/>
      <c r="M33" s="6"/>
      <c r="N33" s="6"/>
      <c r="O33" s="6"/>
      <c r="P33" s="6"/>
      <c r="Q33" s="6"/>
      <c r="R33" s="6"/>
      <c r="S33" s="6"/>
      <c r="T33" s="6"/>
      <c r="U33" s="6"/>
      <c r="V33" s="6"/>
    </row>
    <row r="34" customFormat="false" ht="15" hidden="false" customHeight="true" outlineLevel="0" collapsed="false">
      <c r="A34" s="8" t="s">
        <v>234</v>
      </c>
      <c r="B34" s="9" t="s">
        <v>170</v>
      </c>
      <c r="C34" s="9" t="s">
        <v>71</v>
      </c>
      <c r="D34" s="9" t="s">
        <v>72</v>
      </c>
      <c r="E34" s="9" t="s">
        <v>73</v>
      </c>
      <c r="F34" s="9" t="s">
        <v>74</v>
      </c>
      <c r="G34" s="9" t="s">
        <v>75</v>
      </c>
      <c r="H34" s="9" t="s">
        <v>76</v>
      </c>
      <c r="I34" s="9" t="s">
        <v>77</v>
      </c>
      <c r="J34" s="9" t="s">
        <v>78</v>
      </c>
      <c r="K34" s="9" t="s">
        <v>79</v>
      </c>
      <c r="L34" s="9" t="s">
        <v>80</v>
      </c>
      <c r="M34" s="9" t="s">
        <v>81</v>
      </c>
      <c r="N34" s="9" t="s">
        <v>82</v>
      </c>
      <c r="O34" s="9" t="s">
        <v>83</v>
      </c>
      <c r="P34" s="9" t="s">
        <v>84</v>
      </c>
      <c r="Q34" s="9" t="s">
        <v>85</v>
      </c>
      <c r="R34" s="9" t="s">
        <v>86</v>
      </c>
      <c r="S34" s="9" t="s">
        <v>87</v>
      </c>
      <c r="T34" s="8" t="s">
        <v>235</v>
      </c>
      <c r="U34" s="8"/>
      <c r="V34" s="8"/>
    </row>
    <row r="35" customFormat="false" ht="15" hidden="false" customHeight="true" outlineLevel="0" collapsed="false">
      <c r="A35" s="10" t="s">
        <v>1887</v>
      </c>
      <c r="B35" s="29" t="s">
        <v>173</v>
      </c>
      <c r="C35" s="32"/>
      <c r="D35" s="32"/>
      <c r="E35" s="32"/>
      <c r="F35" s="32"/>
      <c r="G35" s="32"/>
      <c r="H35" s="32"/>
      <c r="I35" s="32"/>
      <c r="J35" s="32"/>
      <c r="K35" s="32"/>
      <c r="L35" s="32"/>
      <c r="M35" s="32"/>
      <c r="N35" s="32"/>
      <c r="O35" s="30" t="n">
        <v>500000</v>
      </c>
      <c r="P35" s="32"/>
      <c r="Q35" s="30" t="n">
        <v>1000000</v>
      </c>
      <c r="R35" s="32"/>
      <c r="S35" s="32"/>
      <c r="T35" s="25" t="s">
        <v>1888</v>
      </c>
      <c r="U35" s="25"/>
      <c r="V35" s="25"/>
    </row>
    <row r="36" customFormat="false" ht="15" hidden="false" customHeight="true" outlineLevel="0" collapsed="false">
      <c r="A36" s="10" t="s">
        <v>1889</v>
      </c>
      <c r="B36" s="29" t="s">
        <v>1890</v>
      </c>
      <c r="C36" s="35"/>
      <c r="D36" s="35"/>
      <c r="E36" s="35"/>
      <c r="F36" s="35"/>
      <c r="G36" s="35"/>
      <c r="H36" s="35"/>
      <c r="I36" s="35"/>
      <c r="J36" s="35"/>
      <c r="K36" s="35"/>
      <c r="L36" s="35"/>
      <c r="M36" s="35"/>
      <c r="N36" s="35"/>
      <c r="O36" s="35"/>
      <c r="P36" s="35"/>
      <c r="Q36" s="36" t="n">
        <v>1.5</v>
      </c>
      <c r="R36" s="35"/>
      <c r="S36" s="36" t="n">
        <v>2.5</v>
      </c>
      <c r="T36" s="25" t="s">
        <v>1891</v>
      </c>
      <c r="U36" s="25"/>
      <c r="V36" s="25"/>
    </row>
    <row r="38" customFormat="false" ht="18" hidden="false" customHeight="true" outlineLevel="0" collapsed="false">
      <c r="A38" s="6" t="s">
        <v>249</v>
      </c>
      <c r="B38" s="6"/>
      <c r="C38" s="6"/>
      <c r="D38" s="6"/>
      <c r="E38" s="6"/>
      <c r="F38" s="6"/>
      <c r="G38" s="6"/>
      <c r="H38" s="6"/>
      <c r="I38" s="6"/>
      <c r="J38" s="6"/>
      <c r="K38" s="6"/>
      <c r="L38" s="6"/>
      <c r="M38" s="6"/>
      <c r="N38" s="6"/>
      <c r="O38" s="6"/>
      <c r="P38" s="6"/>
      <c r="Q38" s="6"/>
      <c r="R38" s="6"/>
      <c r="S38" s="6"/>
      <c r="T38" s="6"/>
      <c r="U38" s="6"/>
      <c r="V38" s="6"/>
    </row>
    <row r="39" customFormat="false" ht="40.5" hidden="false" customHeight="true" outlineLevel="0" collapsed="false">
      <c r="A39" s="9" t="s">
        <v>250</v>
      </c>
      <c r="B39" s="9" t="s">
        <v>251</v>
      </c>
      <c r="C39" s="9"/>
      <c r="D39" s="9" t="s">
        <v>252</v>
      </c>
      <c r="E39" s="9"/>
      <c r="F39" s="9" t="s">
        <v>253</v>
      </c>
      <c r="G39" s="9" t="s">
        <v>254</v>
      </c>
      <c r="H39" s="9"/>
      <c r="I39" s="9" t="s">
        <v>255</v>
      </c>
      <c r="J39" s="9"/>
      <c r="K39" s="9"/>
      <c r="L39" s="9"/>
      <c r="M39" s="9" t="s">
        <v>256</v>
      </c>
      <c r="N39" s="9"/>
      <c r="O39" s="9" t="s">
        <v>257</v>
      </c>
      <c r="P39" s="9" t="s">
        <v>258</v>
      </c>
      <c r="Q39" s="9" t="s">
        <v>110</v>
      </c>
      <c r="R39" s="9" t="s">
        <v>259</v>
      </c>
      <c r="S39" s="9" t="s">
        <v>171</v>
      </c>
      <c r="T39" s="9"/>
      <c r="U39" s="9"/>
      <c r="V39" s="9" t="s">
        <v>260</v>
      </c>
    </row>
    <row r="40" customFormat="false" ht="40.5" hidden="false" customHeight="true" outlineLevel="0" collapsed="false">
      <c r="A40" s="10" t="s">
        <v>1892</v>
      </c>
      <c r="B40" s="5" t="s">
        <v>1893</v>
      </c>
      <c r="C40" s="5"/>
      <c r="D40" s="5" t="s">
        <v>1894</v>
      </c>
      <c r="E40" s="5"/>
      <c r="F40" s="5" t="s">
        <v>825</v>
      </c>
      <c r="G40" s="5" t="s">
        <v>1895</v>
      </c>
      <c r="H40" s="5"/>
      <c r="I40" s="5" t="s">
        <v>1896</v>
      </c>
      <c r="J40" s="5"/>
      <c r="K40" s="5"/>
      <c r="L40" s="5"/>
      <c r="M40" s="5" t="s">
        <v>1897</v>
      </c>
      <c r="N40" s="5"/>
      <c r="O40" s="30" t="n">
        <v>500000</v>
      </c>
      <c r="P40" s="30" t="n">
        <v>1000000</v>
      </c>
      <c r="Q40" s="5" t="s">
        <v>1898</v>
      </c>
      <c r="R40" s="5" t="s">
        <v>1899</v>
      </c>
      <c r="S40" s="5" t="s">
        <v>1900</v>
      </c>
      <c r="T40" s="5"/>
      <c r="U40" s="5"/>
      <c r="V40" s="5" t="s">
        <v>1901</v>
      </c>
    </row>
    <row r="41" customFormat="false" ht="52.5" hidden="false" customHeight="true" outlineLevel="0" collapsed="false">
      <c r="A41" s="10" t="s">
        <v>1902</v>
      </c>
      <c r="B41" s="5" t="s">
        <v>1903</v>
      </c>
      <c r="C41" s="5"/>
      <c r="D41" s="5" t="s">
        <v>1904</v>
      </c>
      <c r="E41" s="5"/>
      <c r="F41" s="5" t="s">
        <v>1905</v>
      </c>
      <c r="G41" s="5" t="s">
        <v>1906</v>
      </c>
      <c r="H41" s="5"/>
      <c r="I41" s="5" t="s">
        <v>301</v>
      </c>
      <c r="J41" s="5"/>
      <c r="K41" s="5"/>
      <c r="L41" s="5"/>
      <c r="M41" s="5" t="s">
        <v>1907</v>
      </c>
      <c r="N41" s="5"/>
      <c r="O41" s="5" t="s">
        <v>1908</v>
      </c>
      <c r="P41" s="5" t="s">
        <v>1909</v>
      </c>
      <c r="Q41" s="5" t="s">
        <v>766</v>
      </c>
      <c r="R41" s="5" t="s">
        <v>587</v>
      </c>
      <c r="S41" s="5" t="s">
        <v>1910</v>
      </c>
      <c r="T41" s="5"/>
      <c r="U41" s="5"/>
      <c r="V41" s="5" t="s">
        <v>1911</v>
      </c>
    </row>
    <row r="43" customFormat="false" ht="18" hidden="false" customHeight="true" outlineLevel="0" collapsed="false">
      <c r="A43" s="6" t="s">
        <v>316</v>
      </c>
      <c r="B43" s="6"/>
      <c r="C43" s="6"/>
      <c r="D43" s="6"/>
      <c r="E43" s="6"/>
      <c r="F43" s="6"/>
      <c r="G43" s="6"/>
      <c r="H43" s="6"/>
      <c r="I43" s="6"/>
      <c r="J43" s="6"/>
      <c r="K43" s="6"/>
      <c r="L43" s="6"/>
      <c r="M43" s="6"/>
      <c r="N43" s="6"/>
      <c r="O43" s="6"/>
      <c r="P43" s="6"/>
      <c r="Q43" s="6"/>
      <c r="R43" s="6"/>
      <c r="S43" s="6"/>
      <c r="T43" s="6"/>
      <c r="U43" s="6"/>
      <c r="V43" s="6"/>
    </row>
    <row r="44" customFormat="false" ht="40.5" hidden="false" customHeight="true" outlineLevel="0" collapsed="false">
      <c r="A44" s="9" t="s">
        <v>317</v>
      </c>
      <c r="B44" s="9" t="s">
        <v>318</v>
      </c>
      <c r="C44" s="9" t="s">
        <v>319</v>
      </c>
      <c r="D44" s="9" t="s">
        <v>320</v>
      </c>
      <c r="E44" s="9"/>
      <c r="F44" s="9" t="s">
        <v>250</v>
      </c>
      <c r="G44" s="9"/>
      <c r="H44" s="9" t="s">
        <v>321</v>
      </c>
      <c r="I44" s="9" t="s">
        <v>322</v>
      </c>
      <c r="J44" s="9" t="s">
        <v>323</v>
      </c>
      <c r="K44" s="9" t="s">
        <v>324</v>
      </c>
      <c r="L44" s="9" t="s">
        <v>259</v>
      </c>
      <c r="M44" s="9"/>
      <c r="N44" s="9" t="s">
        <v>171</v>
      </c>
      <c r="O44" s="9"/>
      <c r="P44" s="9"/>
      <c r="Q44" s="9"/>
      <c r="R44" s="9"/>
      <c r="S44" s="9"/>
      <c r="T44" s="9"/>
      <c r="U44" s="9"/>
      <c r="V44" s="9" t="s">
        <v>325</v>
      </c>
    </row>
    <row r="45" customFormat="false" ht="15" hidden="false" customHeight="true" outlineLevel="0" collapsed="false">
      <c r="A45" s="10" t="s">
        <v>1912</v>
      </c>
      <c r="B45" s="5" t="s">
        <v>1913</v>
      </c>
      <c r="C45" s="5" t="s">
        <v>82</v>
      </c>
      <c r="D45" s="5" t="s">
        <v>386</v>
      </c>
      <c r="E45" s="5"/>
      <c r="F45" s="5" t="s">
        <v>1892</v>
      </c>
      <c r="G45" s="5"/>
      <c r="H45" s="5"/>
      <c r="I45" s="5"/>
      <c r="J45" s="5"/>
      <c r="K45" s="30" t="n">
        <v>2400</v>
      </c>
      <c r="L45" s="5" t="s">
        <v>1914</v>
      </c>
      <c r="M45" s="5"/>
      <c r="N45" s="5"/>
      <c r="O45" s="5"/>
      <c r="P45" s="5"/>
      <c r="Q45" s="5"/>
      <c r="R45" s="5"/>
      <c r="S45" s="5"/>
      <c r="T45" s="5"/>
      <c r="U45" s="5"/>
      <c r="V45" s="5" t="s">
        <v>1915</v>
      </c>
    </row>
    <row r="46" customFormat="false" ht="15" hidden="false" customHeight="true" outlineLevel="0" collapsed="false">
      <c r="A46" s="10" t="s">
        <v>1916</v>
      </c>
      <c r="B46" s="5" t="s">
        <v>1917</v>
      </c>
      <c r="C46" s="5" t="s">
        <v>82</v>
      </c>
      <c r="D46" s="5" t="s">
        <v>1918</v>
      </c>
      <c r="E46" s="5"/>
      <c r="F46" s="5" t="s">
        <v>1892</v>
      </c>
      <c r="G46" s="5"/>
      <c r="H46" s="30" t="n">
        <v>2000000</v>
      </c>
      <c r="I46" s="5"/>
      <c r="J46" s="5"/>
      <c r="K46" s="5"/>
      <c r="L46" s="5" t="s">
        <v>300</v>
      </c>
      <c r="M46" s="5"/>
      <c r="N46" s="5" t="s">
        <v>1919</v>
      </c>
      <c r="O46" s="5"/>
      <c r="P46" s="5"/>
      <c r="Q46" s="5"/>
      <c r="R46" s="5"/>
      <c r="S46" s="5"/>
      <c r="T46" s="5"/>
      <c r="U46" s="5"/>
      <c r="V46" s="5" t="s">
        <v>1920</v>
      </c>
    </row>
    <row r="47" customFormat="false" ht="15" hidden="false" customHeight="true" outlineLevel="0" collapsed="false">
      <c r="A47" s="10" t="s">
        <v>1921</v>
      </c>
      <c r="B47" s="5" t="s">
        <v>1922</v>
      </c>
      <c r="C47" s="5" t="s">
        <v>1923</v>
      </c>
      <c r="D47" s="5" t="s">
        <v>784</v>
      </c>
      <c r="E47" s="5"/>
      <c r="F47" s="5" t="s">
        <v>1892</v>
      </c>
      <c r="G47" s="5"/>
      <c r="H47" s="5"/>
      <c r="I47" s="30" t="n">
        <v>500000</v>
      </c>
      <c r="J47" s="30" t="n">
        <v>500000</v>
      </c>
      <c r="K47" s="5"/>
      <c r="L47" s="5" t="s">
        <v>786</v>
      </c>
      <c r="M47" s="5"/>
      <c r="N47" s="5" t="s">
        <v>1924</v>
      </c>
      <c r="O47" s="5"/>
      <c r="P47" s="5"/>
      <c r="Q47" s="5"/>
      <c r="R47" s="5"/>
      <c r="S47" s="5"/>
      <c r="T47" s="5"/>
      <c r="U47" s="5"/>
      <c r="V47" s="5" t="s">
        <v>1879</v>
      </c>
    </row>
    <row r="48" customFormat="false" ht="15" hidden="false" customHeight="true" outlineLevel="0" collapsed="false">
      <c r="A48" s="10" t="s">
        <v>1925</v>
      </c>
      <c r="B48" s="5" t="s">
        <v>1898</v>
      </c>
      <c r="C48" s="5" t="s">
        <v>85</v>
      </c>
      <c r="D48" s="5" t="s">
        <v>1489</v>
      </c>
      <c r="E48" s="5"/>
      <c r="F48" s="5" t="s">
        <v>1892</v>
      </c>
      <c r="G48" s="5"/>
      <c r="H48" s="30" t="n">
        <v>500000</v>
      </c>
      <c r="I48" s="30" t="n">
        <v>1000000</v>
      </c>
      <c r="J48" s="30" t="n">
        <v>1000000</v>
      </c>
      <c r="K48" s="5"/>
      <c r="L48" s="5" t="s">
        <v>1926</v>
      </c>
      <c r="M48" s="5"/>
      <c r="N48" s="5"/>
      <c r="O48" s="5"/>
      <c r="P48" s="5"/>
      <c r="Q48" s="5"/>
      <c r="R48" s="5"/>
      <c r="S48" s="5"/>
      <c r="T48" s="5"/>
      <c r="U48" s="5"/>
      <c r="V48" s="5" t="s">
        <v>1880</v>
      </c>
    </row>
    <row r="49" customFormat="false" ht="15" hidden="false" customHeight="true" outlineLevel="0" collapsed="false">
      <c r="A49" s="10" t="s">
        <v>1927</v>
      </c>
      <c r="B49" s="5" t="s">
        <v>798</v>
      </c>
      <c r="C49" s="5" t="s">
        <v>85</v>
      </c>
      <c r="D49" s="5" t="s">
        <v>1928</v>
      </c>
      <c r="E49" s="5"/>
      <c r="F49" s="5" t="s">
        <v>1929</v>
      </c>
      <c r="G49" s="5"/>
      <c r="H49" s="5"/>
      <c r="I49" s="5" t="s">
        <v>1908</v>
      </c>
      <c r="J49" s="5"/>
      <c r="K49" s="5"/>
      <c r="L49" s="5" t="s">
        <v>329</v>
      </c>
      <c r="M49" s="5"/>
      <c r="N49" s="5" t="s">
        <v>1930</v>
      </c>
      <c r="O49" s="5"/>
      <c r="P49" s="5"/>
      <c r="Q49" s="5"/>
      <c r="R49" s="5"/>
      <c r="S49" s="5"/>
      <c r="T49" s="5"/>
      <c r="U49" s="5"/>
      <c r="V49" s="5" t="s">
        <v>1931</v>
      </c>
    </row>
    <row r="50" customFormat="false" ht="27.75" hidden="false" customHeight="true" outlineLevel="0" collapsed="false">
      <c r="A50" s="10" t="s">
        <v>1932</v>
      </c>
      <c r="B50" s="5" t="s">
        <v>1933</v>
      </c>
      <c r="C50" s="5" t="s">
        <v>87</v>
      </c>
      <c r="D50" s="5" t="s">
        <v>1934</v>
      </c>
      <c r="E50" s="5"/>
      <c r="F50" s="5" t="s">
        <v>1929</v>
      </c>
      <c r="G50" s="5"/>
      <c r="H50" s="5"/>
      <c r="I50" s="5"/>
      <c r="J50" s="5"/>
      <c r="K50" s="30" t="n">
        <v>2800</v>
      </c>
      <c r="L50" s="5" t="s">
        <v>1935</v>
      </c>
      <c r="M50" s="5"/>
      <c r="N50" s="5"/>
      <c r="O50" s="5"/>
      <c r="P50" s="5"/>
      <c r="Q50" s="5"/>
      <c r="R50" s="5"/>
      <c r="S50" s="5"/>
      <c r="T50" s="5"/>
      <c r="U50" s="5"/>
      <c r="V50" s="5" t="s">
        <v>1936</v>
      </c>
    </row>
    <row r="51" customFormat="false" ht="15" hidden="false" customHeight="true" outlineLevel="0" collapsed="false">
      <c r="A51" s="10" t="s">
        <v>1937</v>
      </c>
      <c r="B51" s="5" t="s">
        <v>1938</v>
      </c>
      <c r="C51" s="5" t="s">
        <v>87</v>
      </c>
      <c r="D51" s="5" t="s">
        <v>1939</v>
      </c>
      <c r="E51" s="5"/>
      <c r="F51" s="5" t="s">
        <v>1929</v>
      </c>
      <c r="G51" s="5"/>
      <c r="H51" s="5"/>
      <c r="I51" s="5" t="s">
        <v>1940</v>
      </c>
      <c r="J51" s="5"/>
      <c r="K51" s="5"/>
      <c r="L51" s="5" t="s">
        <v>786</v>
      </c>
      <c r="M51" s="5"/>
      <c r="N51" s="5" t="s">
        <v>1941</v>
      </c>
      <c r="O51" s="5"/>
      <c r="P51" s="5"/>
      <c r="Q51" s="5"/>
      <c r="R51" s="5"/>
      <c r="S51" s="5"/>
      <c r="T51" s="5"/>
      <c r="U51" s="5"/>
      <c r="V51" s="5" t="s">
        <v>1942</v>
      </c>
    </row>
    <row r="53" customFormat="false" ht="18" hidden="false" customHeight="true" outlineLevel="0" collapsed="false">
      <c r="A53" s="6" t="s">
        <v>433</v>
      </c>
      <c r="B53" s="6"/>
      <c r="C53" s="6"/>
      <c r="D53" s="6"/>
      <c r="E53" s="6"/>
      <c r="F53" s="6"/>
      <c r="G53" s="6"/>
      <c r="H53" s="6"/>
      <c r="I53" s="6"/>
      <c r="J53" s="6"/>
      <c r="K53" s="6"/>
      <c r="L53" s="6"/>
      <c r="M53" s="6"/>
      <c r="N53" s="6"/>
      <c r="O53" s="6"/>
      <c r="P53" s="6"/>
      <c r="Q53" s="6"/>
      <c r="R53" s="6"/>
      <c r="S53" s="6"/>
      <c r="T53" s="6"/>
      <c r="U53" s="6"/>
      <c r="V53" s="6"/>
    </row>
    <row r="54" customFormat="false" ht="15" hidden="false" customHeight="true" outlineLevel="0" collapsed="false">
      <c r="A54" s="9" t="s">
        <v>434</v>
      </c>
      <c r="B54" s="9" t="s">
        <v>435</v>
      </c>
      <c r="C54" s="9"/>
      <c r="D54" s="9" t="s">
        <v>70</v>
      </c>
      <c r="E54" s="9"/>
      <c r="F54" s="9" t="s">
        <v>436</v>
      </c>
      <c r="G54" s="9"/>
      <c r="H54" s="9"/>
      <c r="I54" s="9"/>
      <c r="J54" s="9"/>
      <c r="K54" s="9"/>
      <c r="L54" s="9" t="s">
        <v>437</v>
      </c>
      <c r="M54" s="9"/>
      <c r="N54" s="9"/>
      <c r="O54" s="9" t="s">
        <v>438</v>
      </c>
      <c r="P54" s="9" t="s">
        <v>171</v>
      </c>
      <c r="Q54" s="9"/>
      <c r="R54" s="9"/>
      <c r="S54" s="9"/>
      <c r="T54" s="9"/>
      <c r="U54" s="9"/>
      <c r="V54" s="9" t="s">
        <v>260</v>
      </c>
    </row>
    <row r="55" customFormat="false" ht="15" hidden="false" customHeight="true" outlineLevel="0" collapsed="false">
      <c r="A55" s="10" t="s">
        <v>1943</v>
      </c>
      <c r="B55" s="5" t="s">
        <v>447</v>
      </c>
      <c r="C55" s="5"/>
      <c r="D55" s="5" t="s">
        <v>1464</v>
      </c>
      <c r="E55" s="5"/>
      <c r="F55" s="5" t="s">
        <v>1944</v>
      </c>
      <c r="G55" s="5"/>
      <c r="H55" s="5"/>
      <c r="I55" s="5"/>
      <c r="J55" s="5"/>
      <c r="K55" s="5"/>
      <c r="L55" s="5" t="s">
        <v>1892</v>
      </c>
      <c r="M55" s="5"/>
      <c r="N55" s="5"/>
      <c r="O55" s="5" t="s">
        <v>825</v>
      </c>
      <c r="P55" s="5"/>
      <c r="Q55" s="5"/>
      <c r="R55" s="5"/>
      <c r="S55" s="5"/>
      <c r="T55" s="5"/>
      <c r="U55" s="5"/>
      <c r="V55" s="5" t="s">
        <v>1945</v>
      </c>
    </row>
    <row r="56" customFormat="false" ht="15" hidden="false" customHeight="true" outlineLevel="0" collapsed="false">
      <c r="A56" s="10" t="s">
        <v>1946</v>
      </c>
      <c r="B56" s="5" t="s">
        <v>447</v>
      </c>
      <c r="C56" s="5"/>
      <c r="D56" s="5" t="s">
        <v>1947</v>
      </c>
      <c r="E56" s="5"/>
      <c r="F56" s="5" t="s">
        <v>1948</v>
      </c>
      <c r="G56" s="5"/>
      <c r="H56" s="5"/>
      <c r="I56" s="5"/>
      <c r="J56" s="5"/>
      <c r="K56" s="5"/>
      <c r="L56" s="5" t="s">
        <v>1892</v>
      </c>
      <c r="M56" s="5"/>
      <c r="N56" s="5"/>
      <c r="O56" s="5" t="s">
        <v>641</v>
      </c>
      <c r="P56" s="5" t="s">
        <v>1949</v>
      </c>
      <c r="Q56" s="5"/>
      <c r="R56" s="5"/>
      <c r="S56" s="5"/>
      <c r="T56" s="5"/>
      <c r="U56" s="5"/>
      <c r="V56" s="5" t="s">
        <v>1950</v>
      </c>
    </row>
    <row r="57" customFormat="false" ht="15" hidden="false" customHeight="true" outlineLevel="0" collapsed="false">
      <c r="A57" s="10" t="s">
        <v>1951</v>
      </c>
      <c r="B57" s="5" t="s">
        <v>1952</v>
      </c>
      <c r="C57" s="5"/>
      <c r="D57" s="5" t="s">
        <v>1953</v>
      </c>
      <c r="E57" s="5"/>
      <c r="F57" s="5" t="s">
        <v>1954</v>
      </c>
      <c r="G57" s="5"/>
      <c r="H57" s="5"/>
      <c r="I57" s="5"/>
      <c r="J57" s="5"/>
      <c r="K57" s="5"/>
      <c r="L57" s="5" t="s">
        <v>1929</v>
      </c>
      <c r="M57" s="5"/>
      <c r="N57" s="5"/>
      <c r="O57" s="5" t="s">
        <v>641</v>
      </c>
      <c r="P57" s="5" t="s">
        <v>1955</v>
      </c>
      <c r="Q57" s="5"/>
      <c r="R57" s="5"/>
      <c r="S57" s="5"/>
      <c r="T57" s="5"/>
      <c r="U57" s="5"/>
      <c r="V57" s="5" t="s">
        <v>1956</v>
      </c>
    </row>
    <row r="59" customFormat="false" ht="18" hidden="false" customHeight="true" outlineLevel="0" collapsed="false">
      <c r="A59" s="6" t="s">
        <v>468</v>
      </c>
      <c r="B59" s="6"/>
      <c r="C59" s="6"/>
      <c r="D59" s="6"/>
      <c r="E59" s="6"/>
      <c r="F59" s="6"/>
      <c r="G59" s="6"/>
      <c r="H59" s="6"/>
      <c r="I59" s="6"/>
      <c r="J59" s="6"/>
      <c r="K59" s="6"/>
      <c r="L59" s="6"/>
      <c r="M59" s="6"/>
      <c r="N59" s="6"/>
      <c r="O59" s="6"/>
      <c r="P59" s="6"/>
      <c r="Q59" s="6"/>
      <c r="R59" s="6"/>
      <c r="S59" s="6"/>
      <c r="T59" s="6"/>
      <c r="U59" s="6"/>
      <c r="V59" s="6"/>
    </row>
    <row r="60" customFormat="false" ht="40.5" hidden="false" customHeight="true" outlineLevel="0" collapsed="false">
      <c r="A60" s="9" t="s">
        <v>469</v>
      </c>
      <c r="B60" s="9" t="s">
        <v>251</v>
      </c>
      <c r="C60" s="9"/>
      <c r="D60" s="9" t="s">
        <v>470</v>
      </c>
      <c r="E60" s="9" t="s">
        <v>471</v>
      </c>
      <c r="F60" s="9" t="s">
        <v>324</v>
      </c>
      <c r="G60" s="9" t="s">
        <v>472</v>
      </c>
      <c r="H60" s="9" t="s">
        <v>473</v>
      </c>
      <c r="I60" s="9"/>
      <c r="J60" s="9" t="s">
        <v>171</v>
      </c>
      <c r="K60" s="9"/>
      <c r="L60" s="9"/>
      <c r="M60" s="9"/>
      <c r="N60" s="9"/>
      <c r="O60" s="9"/>
      <c r="P60" s="9"/>
      <c r="Q60" s="9"/>
      <c r="R60" s="9"/>
      <c r="S60" s="9"/>
      <c r="T60" s="9"/>
      <c r="U60" s="9"/>
      <c r="V60" s="9" t="s">
        <v>325</v>
      </c>
    </row>
    <row r="61" customFormat="false" ht="15" hidden="false" customHeight="true" outlineLevel="0" collapsed="false">
      <c r="A61" s="10" t="s">
        <v>1957</v>
      </c>
      <c r="B61" s="5" t="s">
        <v>1929</v>
      </c>
      <c r="C61" s="5"/>
      <c r="D61" s="5"/>
      <c r="E61" s="5" t="s">
        <v>425</v>
      </c>
      <c r="F61" s="30" t="n">
        <v>2800</v>
      </c>
      <c r="G61" s="5" t="s">
        <v>498</v>
      </c>
      <c r="H61" s="5" t="s">
        <v>587</v>
      </c>
      <c r="I61" s="5"/>
      <c r="J61" s="5" t="s">
        <v>1958</v>
      </c>
      <c r="K61" s="5"/>
      <c r="L61" s="5"/>
      <c r="M61" s="5"/>
      <c r="N61" s="5"/>
      <c r="O61" s="5"/>
      <c r="P61" s="5"/>
      <c r="Q61" s="5"/>
      <c r="R61" s="5"/>
      <c r="S61" s="5"/>
      <c r="T61" s="5"/>
      <c r="U61" s="5"/>
      <c r="V61" s="5" t="s">
        <v>1959</v>
      </c>
    </row>
    <row r="62" customFormat="false" ht="15" hidden="false" customHeight="true" outlineLevel="0" collapsed="false">
      <c r="A62" s="10" t="s">
        <v>1960</v>
      </c>
      <c r="B62" s="5" t="s">
        <v>1929</v>
      </c>
      <c r="C62" s="5"/>
      <c r="D62" s="5"/>
      <c r="E62" s="5" t="s">
        <v>1961</v>
      </c>
      <c r="F62" s="5"/>
      <c r="G62" s="5" t="s">
        <v>498</v>
      </c>
      <c r="H62" s="5" t="s">
        <v>1962</v>
      </c>
      <c r="I62" s="5"/>
      <c r="J62" s="5"/>
      <c r="K62" s="5"/>
      <c r="L62" s="5"/>
      <c r="M62" s="5"/>
      <c r="N62" s="5"/>
      <c r="O62" s="5"/>
      <c r="P62" s="5"/>
      <c r="Q62" s="5"/>
      <c r="R62" s="5"/>
      <c r="S62" s="5"/>
      <c r="T62" s="5"/>
      <c r="U62" s="5"/>
      <c r="V62" s="5" t="s">
        <v>1963</v>
      </c>
    </row>
    <row r="63" customFormat="false" ht="15" hidden="false" customHeight="true" outlineLevel="0" collapsed="false">
      <c r="A63" s="10" t="s">
        <v>1964</v>
      </c>
      <c r="B63" s="5" t="s">
        <v>1892</v>
      </c>
      <c r="C63" s="5"/>
      <c r="D63" s="5"/>
      <c r="E63" s="5" t="s">
        <v>301</v>
      </c>
      <c r="F63" s="5"/>
      <c r="G63" s="5" t="s">
        <v>498</v>
      </c>
      <c r="H63" s="5" t="s">
        <v>1244</v>
      </c>
      <c r="I63" s="5"/>
      <c r="J63" s="5"/>
      <c r="K63" s="5"/>
      <c r="L63" s="5"/>
      <c r="M63" s="5"/>
      <c r="N63" s="5"/>
      <c r="O63" s="5"/>
      <c r="P63" s="5"/>
      <c r="Q63" s="5"/>
      <c r="R63" s="5"/>
      <c r="S63" s="5"/>
      <c r="T63" s="5"/>
      <c r="U63" s="5"/>
      <c r="V63" s="5" t="s">
        <v>1931</v>
      </c>
    </row>
    <row r="65" customFormat="false" ht="18" hidden="false" customHeight="true" outlineLevel="0" collapsed="false">
      <c r="A65" s="6" t="s">
        <v>502</v>
      </c>
      <c r="B65" s="6"/>
      <c r="C65" s="6"/>
      <c r="D65" s="6"/>
      <c r="E65" s="6"/>
      <c r="F65" s="6"/>
      <c r="G65" s="6"/>
      <c r="H65" s="6"/>
      <c r="I65" s="6"/>
      <c r="J65" s="6"/>
      <c r="K65" s="6"/>
      <c r="L65" s="6"/>
      <c r="M65" s="6"/>
      <c r="N65" s="6"/>
      <c r="O65" s="6"/>
      <c r="P65" s="6"/>
      <c r="Q65" s="6"/>
      <c r="R65" s="6"/>
      <c r="S65" s="6"/>
      <c r="T65" s="6"/>
      <c r="U65" s="6"/>
      <c r="V65" s="6"/>
    </row>
    <row r="66" customFormat="false" ht="15" hidden="false" customHeight="true" outlineLevel="0" collapsed="false">
      <c r="A66" s="10" t="s">
        <v>1965</v>
      </c>
      <c r="B66" s="10"/>
      <c r="C66" s="10"/>
      <c r="D66" s="10"/>
      <c r="E66" s="10"/>
      <c r="F66" s="10"/>
      <c r="G66" s="10"/>
      <c r="H66" s="10"/>
      <c r="I66" s="10"/>
      <c r="J66" s="10"/>
      <c r="K66" s="10"/>
      <c r="L66" s="10"/>
      <c r="M66" s="10"/>
      <c r="N66" s="10"/>
      <c r="O66" s="10"/>
      <c r="P66" s="10"/>
      <c r="Q66" s="10"/>
      <c r="R66" s="10"/>
      <c r="S66" s="10"/>
      <c r="T66" s="10"/>
      <c r="U66" s="10"/>
      <c r="V66" s="10"/>
    </row>
    <row r="67" customFormat="false" ht="15" hidden="false" customHeight="true" outlineLevel="0" collapsed="false">
      <c r="A67" s="10" t="s">
        <v>1966</v>
      </c>
      <c r="B67" s="10"/>
      <c r="C67" s="10"/>
      <c r="D67" s="10"/>
      <c r="E67" s="10"/>
      <c r="F67" s="10"/>
      <c r="G67" s="10"/>
      <c r="H67" s="10"/>
      <c r="I67" s="10"/>
      <c r="J67" s="10"/>
      <c r="K67" s="10"/>
      <c r="L67" s="10"/>
      <c r="M67" s="10"/>
      <c r="N67" s="10"/>
      <c r="O67" s="10"/>
      <c r="P67" s="10"/>
      <c r="Q67" s="10"/>
      <c r="R67" s="10"/>
      <c r="S67" s="10"/>
      <c r="T67" s="10"/>
      <c r="U67" s="10"/>
      <c r="V67" s="10"/>
    </row>
    <row r="68" customFormat="false" ht="15" hidden="false" customHeight="true" outlineLevel="0" collapsed="false">
      <c r="A68" s="10" t="s">
        <v>1967</v>
      </c>
      <c r="B68" s="10"/>
      <c r="C68" s="10"/>
      <c r="D68" s="10"/>
      <c r="E68" s="10"/>
      <c r="F68" s="10"/>
      <c r="G68" s="10"/>
      <c r="H68" s="10"/>
      <c r="I68" s="10"/>
      <c r="J68" s="10"/>
      <c r="K68" s="10"/>
      <c r="L68" s="10"/>
      <c r="M68" s="10"/>
      <c r="N68" s="10"/>
      <c r="O68" s="10"/>
      <c r="P68" s="10"/>
      <c r="Q68" s="10"/>
      <c r="R68" s="10"/>
      <c r="S68" s="10"/>
      <c r="T68" s="10"/>
      <c r="U68" s="10"/>
      <c r="V68" s="10"/>
    </row>
  </sheetData>
  <mergeCells count="143">
    <mergeCell ref="A3:V3"/>
    <mergeCell ref="A4:V4"/>
    <mergeCell ref="A5:B5"/>
    <mergeCell ref="C5:E5"/>
    <mergeCell ref="F5:V5"/>
    <mergeCell ref="A6:B6"/>
    <mergeCell ref="C6:E6"/>
    <mergeCell ref="F6:V6"/>
    <mergeCell ref="A7:B7"/>
    <mergeCell ref="C7:E7"/>
    <mergeCell ref="F7:V7"/>
    <mergeCell ref="A8:B8"/>
    <mergeCell ref="C8:E8"/>
    <mergeCell ref="F8:V8"/>
    <mergeCell ref="A9:B9"/>
    <mergeCell ref="C9:E9"/>
    <mergeCell ref="F9:V9"/>
    <mergeCell ref="A10:B10"/>
    <mergeCell ref="C10:E10"/>
    <mergeCell ref="F10:V10"/>
    <mergeCell ref="A11:B11"/>
    <mergeCell ref="C11:E11"/>
    <mergeCell ref="F11:V11"/>
    <mergeCell ref="A12:B12"/>
    <mergeCell ref="C12:E12"/>
    <mergeCell ref="F12:V12"/>
    <mergeCell ref="A13:B13"/>
    <mergeCell ref="C13:E13"/>
    <mergeCell ref="F13:V13"/>
    <mergeCell ref="A14:B14"/>
    <mergeCell ref="C14:E14"/>
    <mergeCell ref="F14:V14"/>
    <mergeCell ref="A15:B15"/>
    <mergeCell ref="C15:V15"/>
    <mergeCell ref="A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A33:V33"/>
    <mergeCell ref="T34:V34"/>
    <mergeCell ref="T35:V35"/>
    <mergeCell ref="T36:V36"/>
    <mergeCell ref="A38:V38"/>
    <mergeCell ref="B39:C39"/>
    <mergeCell ref="D39:E39"/>
    <mergeCell ref="G39:H39"/>
    <mergeCell ref="I39:L39"/>
    <mergeCell ref="M39:N39"/>
    <mergeCell ref="S39:U39"/>
    <mergeCell ref="B40:C40"/>
    <mergeCell ref="D40:E40"/>
    <mergeCell ref="G40:H40"/>
    <mergeCell ref="I40:L40"/>
    <mergeCell ref="M40:N40"/>
    <mergeCell ref="S40:U40"/>
    <mergeCell ref="B41:C41"/>
    <mergeCell ref="D41:E41"/>
    <mergeCell ref="G41:H41"/>
    <mergeCell ref="I41:L41"/>
    <mergeCell ref="M41:N41"/>
    <mergeCell ref="S41:U41"/>
    <mergeCell ref="A43:V43"/>
    <mergeCell ref="D44:E44"/>
    <mergeCell ref="F44:G44"/>
    <mergeCell ref="L44:M44"/>
    <mergeCell ref="N44:U44"/>
    <mergeCell ref="D45:E45"/>
    <mergeCell ref="F45:G45"/>
    <mergeCell ref="L45:M45"/>
    <mergeCell ref="N45:U45"/>
    <mergeCell ref="D46:E46"/>
    <mergeCell ref="F46:G46"/>
    <mergeCell ref="L46:M46"/>
    <mergeCell ref="N46:U46"/>
    <mergeCell ref="D47:E47"/>
    <mergeCell ref="F47:G47"/>
    <mergeCell ref="L47:M47"/>
    <mergeCell ref="N47:U47"/>
    <mergeCell ref="D48:E48"/>
    <mergeCell ref="F48:G48"/>
    <mergeCell ref="L48:M48"/>
    <mergeCell ref="N48:U48"/>
    <mergeCell ref="D49:E49"/>
    <mergeCell ref="F49:G49"/>
    <mergeCell ref="L49:M49"/>
    <mergeCell ref="N49:U49"/>
    <mergeCell ref="D50:E50"/>
    <mergeCell ref="F50:G50"/>
    <mergeCell ref="L50:M50"/>
    <mergeCell ref="N50:U50"/>
    <mergeCell ref="D51:E51"/>
    <mergeCell ref="F51:G51"/>
    <mergeCell ref="L51:M51"/>
    <mergeCell ref="N51:U51"/>
    <mergeCell ref="A53:V53"/>
    <mergeCell ref="B54:C54"/>
    <mergeCell ref="D54:E54"/>
    <mergeCell ref="F54:K54"/>
    <mergeCell ref="L54:N54"/>
    <mergeCell ref="P54:U54"/>
    <mergeCell ref="B55:C55"/>
    <mergeCell ref="D55:E55"/>
    <mergeCell ref="F55:K55"/>
    <mergeCell ref="L55:N55"/>
    <mergeCell ref="P55:U55"/>
    <mergeCell ref="B56:C56"/>
    <mergeCell ref="D56:E56"/>
    <mergeCell ref="F56:K56"/>
    <mergeCell ref="L56:N56"/>
    <mergeCell ref="P56:U56"/>
    <mergeCell ref="B57:C57"/>
    <mergeCell ref="D57:E57"/>
    <mergeCell ref="F57:K57"/>
    <mergeCell ref="L57:N57"/>
    <mergeCell ref="P57:U57"/>
    <mergeCell ref="A59:V59"/>
    <mergeCell ref="B60:C60"/>
    <mergeCell ref="H60:I60"/>
    <mergeCell ref="J60:U60"/>
    <mergeCell ref="B61:C61"/>
    <mergeCell ref="H61:I61"/>
    <mergeCell ref="J61:U61"/>
    <mergeCell ref="B62:C62"/>
    <mergeCell ref="H62:I62"/>
    <mergeCell ref="J62:U62"/>
    <mergeCell ref="B63:C63"/>
    <mergeCell ref="H63:I63"/>
    <mergeCell ref="J63:U63"/>
    <mergeCell ref="A65:V65"/>
    <mergeCell ref="A66:V66"/>
    <mergeCell ref="A67:V67"/>
    <mergeCell ref="A68:V68"/>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1" min="3" style="0" width="11"/>
    <col collapsed="false" customWidth="true" hidden="false" outlineLevel="0" max="22" min="22" style="0" width="36"/>
  </cols>
  <sheetData>
    <row r="1" customFormat="false" ht="18.55" hidden="false" customHeight="false" outlineLevel="0" collapsed="false">
      <c r="A1" s="1" t="s">
        <v>1968</v>
      </c>
    </row>
    <row r="2" customFormat="false" ht="15" hidden="false" customHeight="false" outlineLevel="0" collapsed="false">
      <c r="A2" s="2" t="s">
        <v>1969</v>
      </c>
    </row>
    <row r="3" customFormat="false" ht="15" hidden="false" customHeight="true" outlineLevel="0" collapsed="false">
      <c r="A3" s="23" t="s">
        <v>1970</v>
      </c>
      <c r="B3" s="23"/>
      <c r="C3" s="23"/>
      <c r="D3" s="23"/>
      <c r="E3" s="23"/>
      <c r="F3" s="23"/>
      <c r="G3" s="23"/>
      <c r="H3" s="23"/>
      <c r="I3" s="23"/>
      <c r="J3" s="23"/>
      <c r="K3" s="23"/>
      <c r="L3" s="23"/>
      <c r="M3" s="23"/>
      <c r="N3" s="23"/>
      <c r="O3" s="23"/>
      <c r="P3" s="23"/>
      <c r="Q3" s="23"/>
      <c r="R3" s="23"/>
      <c r="S3" s="23"/>
      <c r="T3" s="23"/>
      <c r="U3" s="23"/>
      <c r="V3" s="23"/>
    </row>
    <row r="4" customFormat="false" ht="18" hidden="false" customHeight="true" outlineLevel="0" collapsed="false">
      <c r="A4" s="6" t="s">
        <v>151</v>
      </c>
      <c r="B4" s="6"/>
      <c r="C4" s="6"/>
      <c r="D4" s="6"/>
      <c r="E4" s="6"/>
      <c r="F4" s="6"/>
      <c r="G4" s="6"/>
      <c r="H4" s="6"/>
      <c r="I4" s="6"/>
      <c r="J4" s="6"/>
      <c r="K4" s="6"/>
      <c r="L4" s="6"/>
      <c r="M4" s="6"/>
      <c r="N4" s="6"/>
      <c r="O4" s="6"/>
      <c r="P4" s="6"/>
      <c r="Q4" s="6"/>
      <c r="R4" s="6"/>
      <c r="S4" s="6"/>
      <c r="T4" s="6"/>
      <c r="U4" s="6"/>
      <c r="V4" s="6"/>
    </row>
    <row r="5" customFormat="false" ht="15" hidden="false" customHeight="true" outlineLevel="0" collapsed="false">
      <c r="A5" s="4" t="s">
        <v>152</v>
      </c>
      <c r="B5" s="4"/>
      <c r="C5" s="24" t="n">
        <v>420000</v>
      </c>
      <c r="D5" s="24"/>
      <c r="E5" s="24"/>
      <c r="F5" s="25" t="s">
        <v>1971</v>
      </c>
      <c r="G5" s="25"/>
      <c r="H5" s="25"/>
      <c r="I5" s="25"/>
      <c r="J5" s="25"/>
      <c r="K5" s="25"/>
      <c r="L5" s="25"/>
      <c r="M5" s="25"/>
      <c r="N5" s="25"/>
      <c r="O5" s="25"/>
      <c r="P5" s="25"/>
      <c r="Q5" s="25"/>
      <c r="R5" s="25"/>
      <c r="S5" s="25"/>
      <c r="T5" s="25"/>
      <c r="U5" s="25"/>
      <c r="V5" s="25"/>
    </row>
    <row r="6" customFormat="false" ht="15" hidden="false" customHeight="true" outlineLevel="0" collapsed="false">
      <c r="A6" s="4" t="s">
        <v>110</v>
      </c>
      <c r="B6" s="4"/>
      <c r="C6" s="5" t="s">
        <v>1972</v>
      </c>
      <c r="D6" s="5"/>
      <c r="E6" s="5"/>
      <c r="F6" s="25"/>
      <c r="G6" s="25"/>
      <c r="H6" s="25"/>
      <c r="I6" s="25"/>
      <c r="J6" s="25"/>
      <c r="K6" s="25"/>
      <c r="L6" s="25"/>
      <c r="M6" s="25"/>
      <c r="N6" s="25"/>
      <c r="O6" s="25"/>
      <c r="P6" s="25"/>
      <c r="Q6" s="25"/>
      <c r="R6" s="25"/>
      <c r="S6" s="25"/>
      <c r="T6" s="25"/>
      <c r="U6" s="25"/>
      <c r="V6" s="25"/>
    </row>
    <row r="7" customFormat="false" ht="27.75" hidden="false" customHeight="true" outlineLevel="0" collapsed="false">
      <c r="A7" s="4" t="s">
        <v>155</v>
      </c>
      <c r="B7" s="4"/>
      <c r="C7" s="5" t="s">
        <v>1973</v>
      </c>
      <c r="D7" s="5"/>
      <c r="E7" s="5"/>
      <c r="F7" s="25"/>
      <c r="G7" s="25"/>
      <c r="H7" s="25"/>
      <c r="I7" s="25"/>
      <c r="J7" s="25"/>
      <c r="K7" s="25"/>
      <c r="L7" s="25"/>
      <c r="M7" s="25"/>
      <c r="N7" s="25"/>
      <c r="O7" s="25"/>
      <c r="P7" s="25"/>
      <c r="Q7" s="25"/>
      <c r="R7" s="25"/>
      <c r="S7" s="25"/>
      <c r="T7" s="25"/>
      <c r="U7" s="25"/>
      <c r="V7" s="25"/>
    </row>
    <row r="8" customFormat="false" ht="27.75" hidden="false" customHeight="true" outlineLevel="0" collapsed="false">
      <c r="A8" s="4" t="s">
        <v>111</v>
      </c>
      <c r="B8" s="4"/>
      <c r="C8" s="5" t="s">
        <v>1974</v>
      </c>
      <c r="D8" s="5"/>
      <c r="E8" s="5"/>
      <c r="F8" s="25"/>
      <c r="G8" s="25"/>
      <c r="H8" s="25"/>
      <c r="I8" s="25"/>
      <c r="J8" s="25"/>
      <c r="K8" s="25"/>
      <c r="L8" s="25"/>
      <c r="M8" s="25"/>
      <c r="N8" s="25"/>
      <c r="O8" s="25"/>
      <c r="P8" s="25"/>
      <c r="Q8" s="25"/>
      <c r="R8" s="25"/>
      <c r="S8" s="25"/>
      <c r="T8" s="25"/>
      <c r="U8" s="25"/>
      <c r="V8" s="25"/>
    </row>
    <row r="9" customFormat="false" ht="15" hidden="false" customHeight="true" outlineLevel="0" collapsed="false">
      <c r="A9" s="4" t="s">
        <v>158</v>
      </c>
      <c r="B9" s="4"/>
      <c r="C9" s="26" t="n">
        <f aca="false">IF(ISNUMBER(S22),S22,"n.d.")</f>
        <v>239178</v>
      </c>
      <c r="D9" s="26"/>
      <c r="E9" s="26"/>
      <c r="F9" s="25" t="s">
        <v>1975</v>
      </c>
      <c r="G9" s="25"/>
      <c r="H9" s="25"/>
      <c r="I9" s="25"/>
      <c r="J9" s="25"/>
      <c r="K9" s="25"/>
      <c r="L9" s="25"/>
      <c r="M9" s="25"/>
      <c r="N9" s="25"/>
      <c r="O9" s="25"/>
      <c r="P9" s="25"/>
      <c r="Q9" s="25"/>
      <c r="R9" s="25"/>
      <c r="S9" s="25"/>
      <c r="T9" s="25"/>
      <c r="U9" s="25"/>
      <c r="V9" s="25"/>
    </row>
    <row r="10" customFormat="false" ht="15" hidden="false" customHeight="true" outlineLevel="0" collapsed="false">
      <c r="A10" s="4" t="s">
        <v>160</v>
      </c>
      <c r="B10" s="4"/>
      <c r="C10" s="5" t="s">
        <v>1975</v>
      </c>
      <c r="D10" s="5"/>
      <c r="E10" s="5"/>
      <c r="F10" s="25"/>
      <c r="G10" s="25"/>
      <c r="H10" s="25"/>
      <c r="I10" s="25"/>
      <c r="J10" s="25"/>
      <c r="K10" s="25"/>
      <c r="L10" s="25"/>
      <c r="M10" s="25"/>
      <c r="N10" s="25"/>
      <c r="O10" s="25"/>
      <c r="P10" s="25"/>
      <c r="Q10" s="25"/>
      <c r="R10" s="25"/>
      <c r="S10" s="25"/>
      <c r="T10" s="25"/>
      <c r="U10" s="25"/>
      <c r="V10" s="25"/>
    </row>
    <row r="11" customFormat="false" ht="15" hidden="false" customHeight="true" outlineLevel="0" collapsed="false">
      <c r="A11" s="4" t="s">
        <v>114</v>
      </c>
      <c r="B11" s="4"/>
      <c r="C11" s="27" t="n">
        <f aca="false">IFERROR(C9/S19,"n.d.")</f>
        <v>0.569471428571429</v>
      </c>
      <c r="D11" s="27"/>
      <c r="E11" s="27"/>
      <c r="F11" s="25" t="s">
        <v>161</v>
      </c>
      <c r="G11" s="25"/>
      <c r="H11" s="25"/>
      <c r="I11" s="25"/>
      <c r="J11" s="25"/>
      <c r="K11" s="25"/>
      <c r="L11" s="25"/>
      <c r="M11" s="25"/>
      <c r="N11" s="25"/>
      <c r="O11" s="25"/>
      <c r="P11" s="25"/>
      <c r="Q11" s="25"/>
      <c r="R11" s="25"/>
      <c r="S11" s="25"/>
      <c r="T11" s="25"/>
      <c r="U11" s="25"/>
      <c r="V11" s="25"/>
    </row>
    <row r="12" customFormat="false" ht="15" hidden="false" customHeight="true" outlineLevel="0" collapsed="false">
      <c r="A12" s="4" t="s">
        <v>162</v>
      </c>
      <c r="B12" s="4"/>
      <c r="C12" s="26" t="n">
        <f aca="false">S19</f>
        <v>420000</v>
      </c>
      <c r="D12" s="26"/>
      <c r="E12" s="26"/>
      <c r="F12" s="25" t="s">
        <v>163</v>
      </c>
      <c r="G12" s="25"/>
      <c r="H12" s="25"/>
      <c r="I12" s="25"/>
      <c r="J12" s="25"/>
      <c r="K12" s="25"/>
      <c r="L12" s="25"/>
      <c r="M12" s="25"/>
      <c r="N12" s="25"/>
      <c r="O12" s="25"/>
      <c r="P12" s="25"/>
      <c r="Q12" s="25"/>
      <c r="R12" s="25"/>
      <c r="S12" s="25"/>
      <c r="T12" s="25"/>
      <c r="U12" s="25"/>
      <c r="V12" s="25"/>
    </row>
    <row r="13" customFormat="false" ht="15" hidden="false" customHeight="true" outlineLevel="0" collapsed="false">
      <c r="A13" s="4" t="s">
        <v>164</v>
      </c>
      <c r="B13" s="4"/>
      <c r="C13" s="5" t="s">
        <v>121</v>
      </c>
      <c r="D13" s="5"/>
      <c r="E13" s="5"/>
      <c r="F13" s="25" t="s">
        <v>1976</v>
      </c>
      <c r="G13" s="25"/>
      <c r="H13" s="25"/>
      <c r="I13" s="25"/>
      <c r="J13" s="25"/>
      <c r="K13" s="25"/>
      <c r="L13" s="25"/>
      <c r="M13" s="25"/>
      <c r="N13" s="25"/>
      <c r="O13" s="25"/>
      <c r="P13" s="25"/>
      <c r="Q13" s="25"/>
      <c r="R13" s="25"/>
      <c r="S13" s="25"/>
      <c r="T13" s="25"/>
      <c r="U13" s="25"/>
      <c r="V13" s="25"/>
    </row>
    <row r="14" customFormat="false" ht="27.75" hidden="false" customHeight="true" outlineLevel="0" collapsed="false">
      <c r="A14" s="4" t="s">
        <v>130</v>
      </c>
      <c r="B14" s="4"/>
      <c r="C14" s="5" t="s">
        <v>1977</v>
      </c>
      <c r="D14" s="5"/>
      <c r="E14" s="5"/>
      <c r="F14" s="25"/>
      <c r="G14" s="25"/>
      <c r="H14" s="25"/>
      <c r="I14" s="25"/>
      <c r="J14" s="25"/>
      <c r="K14" s="25"/>
      <c r="L14" s="25"/>
      <c r="M14" s="25"/>
      <c r="N14" s="25"/>
      <c r="O14" s="25"/>
      <c r="P14" s="25"/>
      <c r="Q14" s="25"/>
      <c r="R14" s="25"/>
      <c r="S14" s="25"/>
      <c r="T14" s="25"/>
      <c r="U14" s="25"/>
      <c r="V14" s="25"/>
    </row>
    <row r="15" customFormat="false" ht="20.25" hidden="false" customHeight="true" outlineLevel="0" collapsed="false">
      <c r="A15" s="4" t="s">
        <v>120</v>
      </c>
      <c r="B15" s="4"/>
      <c r="C15" s="28" t="s">
        <v>1978</v>
      </c>
      <c r="D15" s="28"/>
      <c r="E15" s="28"/>
      <c r="F15" s="28"/>
      <c r="G15" s="28"/>
      <c r="H15" s="28"/>
      <c r="I15" s="28"/>
      <c r="J15" s="28"/>
      <c r="K15" s="28"/>
      <c r="L15" s="28"/>
      <c r="M15" s="28"/>
      <c r="N15" s="28"/>
      <c r="O15" s="28"/>
      <c r="P15" s="28"/>
      <c r="Q15" s="28"/>
      <c r="R15" s="28"/>
      <c r="S15" s="28"/>
      <c r="T15" s="28"/>
      <c r="U15" s="28"/>
      <c r="V15" s="28"/>
    </row>
    <row r="17" customFormat="false" ht="18" hidden="false" customHeight="true" outlineLevel="0" collapsed="false">
      <c r="A17" s="6" t="s">
        <v>168</v>
      </c>
      <c r="B17" s="6"/>
      <c r="C17" s="6"/>
      <c r="D17" s="6"/>
      <c r="E17" s="6"/>
      <c r="F17" s="6"/>
      <c r="G17" s="6"/>
      <c r="H17" s="6"/>
      <c r="I17" s="6"/>
      <c r="J17" s="6"/>
      <c r="K17" s="6"/>
      <c r="L17" s="6"/>
      <c r="M17" s="6"/>
      <c r="N17" s="6"/>
      <c r="O17" s="6"/>
      <c r="P17" s="6"/>
      <c r="Q17" s="6"/>
      <c r="R17" s="6"/>
      <c r="S17" s="6"/>
      <c r="T17" s="6"/>
      <c r="U17" s="6"/>
      <c r="V17" s="6"/>
    </row>
    <row r="18" customFormat="false" ht="15" hidden="false" customHeight="true" outlineLevel="0" collapsed="false">
      <c r="A18" s="8" t="s">
        <v>169</v>
      </c>
      <c r="B18" s="9" t="s">
        <v>170</v>
      </c>
      <c r="C18" s="9" t="s">
        <v>71</v>
      </c>
      <c r="D18" s="9" t="s">
        <v>72</v>
      </c>
      <c r="E18" s="9" t="s">
        <v>73</v>
      </c>
      <c r="F18" s="9" t="s">
        <v>74</v>
      </c>
      <c r="G18" s="9" t="s">
        <v>75</v>
      </c>
      <c r="H18" s="9" t="s">
        <v>76</v>
      </c>
      <c r="I18" s="9" t="s">
        <v>77</v>
      </c>
      <c r="J18" s="9" t="s">
        <v>78</v>
      </c>
      <c r="K18" s="9" t="s">
        <v>79</v>
      </c>
      <c r="L18" s="9" t="s">
        <v>80</v>
      </c>
      <c r="M18" s="9" t="s">
        <v>81</v>
      </c>
      <c r="N18" s="9" t="s">
        <v>82</v>
      </c>
      <c r="O18" s="9" t="s">
        <v>83</v>
      </c>
      <c r="P18" s="9" t="s">
        <v>84</v>
      </c>
      <c r="Q18" s="9" t="s">
        <v>85</v>
      </c>
      <c r="R18" s="9" t="s">
        <v>86</v>
      </c>
      <c r="S18" s="9" t="s">
        <v>87</v>
      </c>
      <c r="T18" s="8" t="s">
        <v>171</v>
      </c>
      <c r="U18" s="8"/>
      <c r="V18" s="8"/>
    </row>
    <row r="19" customFormat="false" ht="24.75" hidden="false" customHeight="true" outlineLevel="0" collapsed="false">
      <c r="A19" s="10" t="s">
        <v>172</v>
      </c>
      <c r="B19" s="29" t="s">
        <v>173</v>
      </c>
      <c r="C19" s="5"/>
      <c r="D19" s="5"/>
      <c r="E19" s="5"/>
      <c r="F19" s="5"/>
      <c r="G19" s="5"/>
      <c r="H19" s="5"/>
      <c r="I19" s="5"/>
      <c r="J19" s="5"/>
      <c r="K19" s="5"/>
      <c r="L19" s="5"/>
      <c r="M19" s="5"/>
      <c r="N19" s="5"/>
      <c r="O19" s="30" t="n">
        <v>120000</v>
      </c>
      <c r="P19" s="30" t="n">
        <v>420000</v>
      </c>
      <c r="Q19" s="33" t="n">
        <v>420000</v>
      </c>
      <c r="R19" s="33" t="n">
        <v>420000</v>
      </c>
      <c r="S19" s="30" t="n">
        <v>420000</v>
      </c>
      <c r="T19" s="25" t="s">
        <v>1979</v>
      </c>
      <c r="U19" s="25"/>
      <c r="V19" s="25"/>
    </row>
    <row r="20" customFormat="false" ht="24.75" hidden="false" customHeight="true" outlineLevel="0" collapsed="false">
      <c r="A20" s="10" t="s">
        <v>175</v>
      </c>
      <c r="B20" s="29" t="s">
        <v>176</v>
      </c>
      <c r="C20" s="5"/>
      <c r="D20" s="5"/>
      <c r="E20" s="5"/>
      <c r="F20" s="5"/>
      <c r="G20" s="5"/>
      <c r="H20" s="5"/>
      <c r="I20" s="5"/>
      <c r="J20" s="5"/>
      <c r="K20" s="5"/>
      <c r="L20" s="5"/>
      <c r="M20" s="5"/>
      <c r="N20" s="5"/>
      <c r="O20" s="29" t="s">
        <v>520</v>
      </c>
      <c r="P20" s="29" t="s">
        <v>520</v>
      </c>
      <c r="Q20" s="29" t="s">
        <v>521</v>
      </c>
      <c r="R20" s="29" t="s">
        <v>521</v>
      </c>
      <c r="S20" s="29" t="s">
        <v>520</v>
      </c>
      <c r="T20" s="25" t="s">
        <v>179</v>
      </c>
      <c r="U20" s="25"/>
      <c r="V20" s="25"/>
    </row>
    <row r="21" customFormat="false" ht="15" hidden="false" customHeight="true" outlineLevel="0" collapsed="false">
      <c r="A21" s="10" t="s">
        <v>180</v>
      </c>
      <c r="B21" s="29" t="s">
        <v>181</v>
      </c>
      <c r="C21" s="5"/>
      <c r="D21" s="5"/>
      <c r="E21" s="5"/>
      <c r="F21" s="5"/>
      <c r="G21" s="5"/>
      <c r="H21" s="5"/>
      <c r="I21" s="5"/>
      <c r="J21" s="5"/>
      <c r="K21" s="5"/>
      <c r="L21" s="5"/>
      <c r="M21" s="5"/>
      <c r="N21" s="5"/>
      <c r="O21" s="5"/>
      <c r="P21" s="5"/>
      <c r="Q21" s="5"/>
      <c r="R21" s="5"/>
      <c r="S21" s="5"/>
      <c r="T21" s="25" t="s">
        <v>688</v>
      </c>
      <c r="U21" s="25"/>
      <c r="V21" s="25"/>
    </row>
    <row r="22" customFormat="false" ht="15" hidden="false" customHeight="true" outlineLevel="0" collapsed="false">
      <c r="A22" s="10" t="s">
        <v>183</v>
      </c>
      <c r="B22" s="29" t="s">
        <v>181</v>
      </c>
      <c r="C22" s="5"/>
      <c r="D22" s="5"/>
      <c r="E22" s="5"/>
      <c r="F22" s="5"/>
      <c r="G22" s="5"/>
      <c r="H22" s="5"/>
      <c r="I22" s="5"/>
      <c r="J22" s="5"/>
      <c r="K22" s="5"/>
      <c r="L22" s="5"/>
      <c r="M22" s="5"/>
      <c r="N22" s="5"/>
      <c r="O22" s="5"/>
      <c r="P22" s="5"/>
      <c r="Q22" s="5"/>
      <c r="R22" s="30" t="n">
        <v>131172</v>
      </c>
      <c r="S22" s="30" t="n">
        <v>239178</v>
      </c>
      <c r="T22" s="25" t="s">
        <v>1980</v>
      </c>
      <c r="U22" s="25"/>
      <c r="V22" s="25"/>
    </row>
    <row r="23" customFormat="false" ht="15" hidden="false" customHeight="true" outlineLevel="0" collapsed="false">
      <c r="A23" s="10" t="s">
        <v>185</v>
      </c>
      <c r="B23" s="29" t="s">
        <v>181</v>
      </c>
      <c r="C23" s="5"/>
      <c r="D23" s="5"/>
      <c r="E23" s="5"/>
      <c r="F23" s="5"/>
      <c r="G23" s="5"/>
      <c r="H23" s="5"/>
      <c r="I23" s="5"/>
      <c r="J23" s="5"/>
      <c r="K23" s="5"/>
      <c r="L23" s="5"/>
      <c r="M23" s="5"/>
      <c r="N23" s="5"/>
      <c r="O23" s="5"/>
      <c r="P23" s="5"/>
      <c r="Q23" s="5"/>
      <c r="R23" s="5"/>
      <c r="S23" s="5"/>
      <c r="T23" s="25"/>
      <c r="U23" s="25"/>
      <c r="V23" s="25"/>
    </row>
    <row r="24" customFormat="false" ht="15" hidden="false" customHeight="true" outlineLevel="0" collapsed="false">
      <c r="A24" s="10" t="s">
        <v>187</v>
      </c>
      <c r="B24" s="29" t="s">
        <v>181</v>
      </c>
      <c r="C24" s="5"/>
      <c r="D24" s="5"/>
      <c r="E24" s="5"/>
      <c r="F24" s="5"/>
      <c r="G24" s="5"/>
      <c r="H24" s="5"/>
      <c r="I24" s="5"/>
      <c r="J24" s="5"/>
      <c r="K24" s="5"/>
      <c r="L24" s="5"/>
      <c r="M24" s="5"/>
      <c r="N24" s="5"/>
      <c r="O24" s="5"/>
      <c r="P24" s="5"/>
      <c r="Q24" s="5"/>
      <c r="R24" s="5"/>
      <c r="S24" s="5"/>
      <c r="T24" s="25"/>
      <c r="U24" s="25"/>
      <c r="V24" s="25"/>
    </row>
    <row r="25" customFormat="false" ht="24.75" hidden="false" customHeight="true" outlineLevel="0" collapsed="false">
      <c r="A25" s="10" t="s">
        <v>188</v>
      </c>
      <c r="B25" s="29" t="s">
        <v>189</v>
      </c>
      <c r="C25" s="17" t="str">
        <f aca="false">IF(AND(ISNUMBER(C21),ISNUMBER(C19)),C21/C19,"")</f>
        <v/>
      </c>
      <c r="D25" s="17" t="str">
        <f aca="false">IF(AND(ISNUMBER(D21),ISNUMBER(D19)),D21/D19,"")</f>
        <v/>
      </c>
      <c r="E25" s="17" t="str">
        <f aca="false">IF(AND(ISNUMBER(E21),ISNUMBER(E19)),E21/E19,"")</f>
        <v/>
      </c>
      <c r="F25" s="17" t="str">
        <f aca="false">IF(AND(ISNUMBER(F21),ISNUMBER(F19)),F21/F19,"")</f>
        <v/>
      </c>
      <c r="G25" s="17" t="str">
        <f aca="false">IF(AND(ISNUMBER(G21),ISNUMBER(G19)),G21/G19,"")</f>
        <v/>
      </c>
      <c r="H25" s="17" t="str">
        <f aca="false">IF(AND(ISNUMBER(H21),ISNUMBER(H19)),H21/H19,"")</f>
        <v/>
      </c>
      <c r="I25" s="17" t="str">
        <f aca="false">IF(AND(ISNUMBER(I21),ISNUMBER(I19)),I21/I19,"")</f>
        <v/>
      </c>
      <c r="J25" s="17" t="str">
        <f aca="false">IF(AND(ISNUMBER(J21),ISNUMBER(J19)),J21/J19,"")</f>
        <v/>
      </c>
      <c r="K25" s="17" t="str">
        <f aca="false">IF(AND(ISNUMBER(K21),ISNUMBER(K19)),K21/K19,"")</f>
        <v/>
      </c>
      <c r="L25" s="17" t="str">
        <f aca="false">IF(AND(ISNUMBER(L21),ISNUMBER(L19)),L21/L19,"")</f>
        <v/>
      </c>
      <c r="M25" s="17" t="str">
        <f aca="false">IF(AND(ISNUMBER(M21),ISNUMBER(M19)),M21/M19,"")</f>
        <v/>
      </c>
      <c r="N25" s="17" t="str">
        <f aca="false">IF(AND(ISNUMBER(N21),ISNUMBER(N19)),N21/N19,"")</f>
        <v/>
      </c>
      <c r="O25" s="17" t="str">
        <f aca="false">IF(AND(ISNUMBER(O21),ISNUMBER(O19)),O21/O19,"")</f>
        <v/>
      </c>
      <c r="P25" s="17" t="str">
        <f aca="false">IF(AND(ISNUMBER(P21),ISNUMBER(P19)),P21/P19,"")</f>
        <v/>
      </c>
      <c r="Q25" s="17" t="str">
        <f aca="false">IF(AND(ISNUMBER(Q21),ISNUMBER(Q19)),Q21/Q19,"")</f>
        <v/>
      </c>
      <c r="R25" s="17" t="str">
        <f aca="false">IF(AND(ISNUMBER(R21),ISNUMBER(R19)),R21/R19,"")</f>
        <v/>
      </c>
      <c r="S25" s="17" t="str">
        <f aca="false">IF(AND(ISNUMBER(S21),ISNUMBER(S19)),S21/S19,"")</f>
        <v/>
      </c>
      <c r="T25" s="25" t="s">
        <v>190</v>
      </c>
      <c r="U25" s="25"/>
      <c r="V25" s="25"/>
    </row>
    <row r="26" customFormat="false" ht="15" hidden="false" customHeight="true" outlineLevel="0" collapsed="false">
      <c r="A26" s="10" t="s">
        <v>191</v>
      </c>
      <c r="B26" s="29" t="s">
        <v>189</v>
      </c>
      <c r="C26" s="17" t="str">
        <f aca="false">IF(AND(ISNUMBER(C21),ISNUMBER(C19)),C21/C19,"")</f>
        <v/>
      </c>
      <c r="D26" s="17" t="str">
        <f aca="false">IF(AND(ISNUMBER(D21),ISNUMBER(D19)),D21/IF(ISNUMBER(C19),AVERAGE(C19,D19),D19),"")</f>
        <v/>
      </c>
      <c r="E26" s="17" t="str">
        <f aca="false">IF(AND(ISNUMBER(E21),ISNUMBER(E19)),E21/IF(ISNUMBER(D19),AVERAGE(D19,E19),E19),"")</f>
        <v/>
      </c>
      <c r="F26" s="17" t="str">
        <f aca="false">IF(AND(ISNUMBER(F21),ISNUMBER(F19)),F21/IF(ISNUMBER(E19),AVERAGE(E19,F19),F19),"")</f>
        <v/>
      </c>
      <c r="G26" s="17" t="str">
        <f aca="false">IF(AND(ISNUMBER(G21),ISNUMBER(G19)),G21/IF(ISNUMBER(F19),AVERAGE(F19,G19),G19),"")</f>
        <v/>
      </c>
      <c r="H26" s="17" t="str">
        <f aca="false">IF(AND(ISNUMBER(H21),ISNUMBER(H19)),H21/IF(ISNUMBER(G19),AVERAGE(G19,H19),H19),"")</f>
        <v/>
      </c>
      <c r="I26" s="17" t="str">
        <f aca="false">IF(AND(ISNUMBER(I21),ISNUMBER(I19)),I21/IF(ISNUMBER(H19),AVERAGE(H19,I19),I19),"")</f>
        <v/>
      </c>
      <c r="J26" s="17" t="str">
        <f aca="false">IF(AND(ISNUMBER(J21),ISNUMBER(J19)),J21/IF(ISNUMBER(I19),AVERAGE(I19,J19),J19),"")</f>
        <v/>
      </c>
      <c r="K26" s="17" t="str">
        <f aca="false">IF(AND(ISNUMBER(K21),ISNUMBER(K19)),K21/IF(ISNUMBER(J19),AVERAGE(J19,K19),K19),"")</f>
        <v/>
      </c>
      <c r="L26" s="17" t="str">
        <f aca="false">IF(AND(ISNUMBER(L21),ISNUMBER(L19)),L21/IF(ISNUMBER(K19),AVERAGE(K19,L19),L19),"")</f>
        <v/>
      </c>
      <c r="M26" s="17" t="str">
        <f aca="false">IF(AND(ISNUMBER(M21),ISNUMBER(M19)),M21/IF(ISNUMBER(L19),AVERAGE(L19,M19),M19),"")</f>
        <v/>
      </c>
      <c r="N26" s="17" t="str">
        <f aca="false">IF(AND(ISNUMBER(N21),ISNUMBER(N19)),N21/IF(ISNUMBER(M19),AVERAGE(M19,N19),N19),"")</f>
        <v/>
      </c>
      <c r="O26" s="17" t="str">
        <f aca="false">IF(AND(ISNUMBER(O21),ISNUMBER(O19)),O21/IF(ISNUMBER(N19),AVERAGE(N19,O19),O19),"")</f>
        <v/>
      </c>
      <c r="P26" s="17" t="str">
        <f aca="false">IF(AND(ISNUMBER(P21),ISNUMBER(P19)),P21/IF(ISNUMBER(O19),AVERAGE(O19,P19),P19),"")</f>
        <v/>
      </c>
      <c r="Q26" s="17" t="str">
        <f aca="false">IF(AND(ISNUMBER(Q21),ISNUMBER(Q19)),Q21/IF(ISNUMBER(P19),AVERAGE(P19,Q19),Q19),"")</f>
        <v/>
      </c>
      <c r="R26" s="17" t="str">
        <f aca="false">IF(AND(ISNUMBER(R21),ISNUMBER(R19)),R21/IF(ISNUMBER(Q19),AVERAGE(Q19,R19),R19),"")</f>
        <v/>
      </c>
      <c r="S26" s="17" t="str">
        <f aca="false">IF(AND(ISNUMBER(S21),ISNUMBER(S19)),S21/IF(ISNUMBER(R19),AVERAGE(R19,S19),S19),"")</f>
        <v/>
      </c>
      <c r="T26" s="25" t="s">
        <v>192</v>
      </c>
      <c r="U26" s="25"/>
      <c r="V26" s="25"/>
    </row>
    <row r="27" customFormat="false" ht="24.75" hidden="false" customHeight="true" outlineLevel="0" collapsed="false">
      <c r="A27" s="10" t="s">
        <v>193</v>
      </c>
      <c r="B27" s="29" t="s">
        <v>189</v>
      </c>
      <c r="C27" s="17" t="str">
        <f aca="false">IF(ISNUMBER(C19),IF(ISNUMBER(C22),C22/C19,IF(ISNUMBER(C23),C23/C19,"")),"")</f>
        <v/>
      </c>
      <c r="D27" s="17" t="str">
        <f aca="false">IF(ISNUMBER(D19),IF(ISNUMBER(D22),D22/D19,IF(ISNUMBER(D23),D23/D19,"")),"")</f>
        <v/>
      </c>
      <c r="E27" s="17" t="str">
        <f aca="false">IF(ISNUMBER(E19),IF(ISNUMBER(E22),E22/E19,IF(ISNUMBER(E23),E23/E19,"")),"")</f>
        <v/>
      </c>
      <c r="F27" s="17" t="str">
        <f aca="false">IF(ISNUMBER(F19),IF(ISNUMBER(F22),F22/F19,IF(ISNUMBER(F23),F23/F19,"")),"")</f>
        <v/>
      </c>
      <c r="G27" s="17" t="str">
        <f aca="false">IF(ISNUMBER(G19),IF(ISNUMBER(G22),G22/G19,IF(ISNUMBER(G23),G23/G19,"")),"")</f>
        <v/>
      </c>
      <c r="H27" s="17" t="str">
        <f aca="false">IF(ISNUMBER(H19),IF(ISNUMBER(H22),H22/H19,IF(ISNUMBER(H23),H23/H19,"")),"")</f>
        <v/>
      </c>
      <c r="I27" s="17" t="str">
        <f aca="false">IF(ISNUMBER(I19),IF(ISNUMBER(I22),I22/I19,IF(ISNUMBER(I23),I23/I19,"")),"")</f>
        <v/>
      </c>
      <c r="J27" s="17" t="str">
        <f aca="false">IF(ISNUMBER(J19),IF(ISNUMBER(J22),J22/J19,IF(ISNUMBER(J23),J23/J19,"")),"")</f>
        <v/>
      </c>
      <c r="K27" s="17" t="str">
        <f aca="false">IF(ISNUMBER(K19),IF(ISNUMBER(K22),K22/K19,IF(ISNUMBER(K23),K23/K19,"")),"")</f>
        <v/>
      </c>
      <c r="L27" s="17" t="str">
        <f aca="false">IF(ISNUMBER(L19),IF(ISNUMBER(L22),L22/L19,IF(ISNUMBER(L23),L23/L19,"")),"")</f>
        <v/>
      </c>
      <c r="M27" s="17" t="str">
        <f aca="false">IF(ISNUMBER(M19),IF(ISNUMBER(M22),M22/M19,IF(ISNUMBER(M23),M23/M19,"")),"")</f>
        <v/>
      </c>
      <c r="N27" s="17" t="str">
        <f aca="false">IF(ISNUMBER(N19),IF(ISNUMBER(N22),N22/N19,IF(ISNUMBER(N23),N23/N19,"")),"")</f>
        <v/>
      </c>
      <c r="O27" s="17" t="str">
        <f aca="false">IF(ISNUMBER(O19),IF(ISNUMBER(O22),O22/O19,IF(ISNUMBER(O23),O23/O19,"")),"")</f>
        <v/>
      </c>
      <c r="P27" s="17" t="str">
        <f aca="false">IF(ISNUMBER(P19),IF(ISNUMBER(P22),P22/P19,IF(ISNUMBER(P23),P23/P19,"")),"")</f>
        <v/>
      </c>
      <c r="Q27" s="17" t="str">
        <f aca="false">IF(ISNUMBER(Q19),IF(ISNUMBER(Q22),Q22/Q19,IF(ISNUMBER(Q23),Q23/Q19,"")),"")</f>
        <v/>
      </c>
      <c r="R27" s="17" t="n">
        <f aca="false">IF(ISNUMBER(R19),IF(ISNUMBER(R22),R22/R19,IF(ISNUMBER(R23),R23/R19,"")),"")</f>
        <v>0.312314285714286</v>
      </c>
      <c r="S27" s="17" t="n">
        <f aca="false">IF(ISNUMBER(S19),IF(ISNUMBER(S22),S22/S19,IF(ISNUMBER(S23),S23/S19,"")),"")</f>
        <v>0.569471428571429</v>
      </c>
      <c r="T27" s="25" t="s">
        <v>194</v>
      </c>
      <c r="U27" s="25"/>
      <c r="V27" s="25"/>
    </row>
    <row r="28" customFormat="false" ht="15" hidden="false" customHeight="true" outlineLevel="0" collapsed="false">
      <c r="A28" s="10" t="s">
        <v>195</v>
      </c>
      <c r="B28" s="29" t="s">
        <v>173</v>
      </c>
      <c r="C28" s="5"/>
      <c r="D28" s="18" t="str">
        <f aca="false">IF(AND(ISNUMBER(D19),ISNUMBER(C19)),D19-C19,"")</f>
        <v/>
      </c>
      <c r="E28" s="18" t="str">
        <f aca="false">IF(AND(ISNUMBER(E19),ISNUMBER(D19)),E19-D19,"")</f>
        <v/>
      </c>
      <c r="F28" s="18" t="str">
        <f aca="false">IF(AND(ISNUMBER(F19),ISNUMBER(E19)),F19-E19,"")</f>
        <v/>
      </c>
      <c r="G28" s="18" t="str">
        <f aca="false">IF(AND(ISNUMBER(G19),ISNUMBER(F19)),G19-F19,"")</f>
        <v/>
      </c>
      <c r="H28" s="18" t="str">
        <f aca="false">IF(AND(ISNUMBER(H19),ISNUMBER(G19)),H19-G19,"")</f>
        <v/>
      </c>
      <c r="I28" s="18" t="str">
        <f aca="false">IF(AND(ISNUMBER(I19),ISNUMBER(H19)),I19-H19,"")</f>
        <v/>
      </c>
      <c r="J28" s="18" t="str">
        <f aca="false">IF(AND(ISNUMBER(J19),ISNUMBER(I19)),J19-I19,"")</f>
        <v/>
      </c>
      <c r="K28" s="18" t="str">
        <f aca="false">IF(AND(ISNUMBER(K19),ISNUMBER(J19)),K19-J19,"")</f>
        <v/>
      </c>
      <c r="L28" s="18" t="str">
        <f aca="false">IF(AND(ISNUMBER(L19),ISNUMBER(K19)),L19-K19,"")</f>
        <v/>
      </c>
      <c r="M28" s="18" t="str">
        <f aca="false">IF(AND(ISNUMBER(M19),ISNUMBER(L19)),M19-L19,"")</f>
        <v/>
      </c>
      <c r="N28" s="18" t="str">
        <f aca="false">IF(AND(ISNUMBER(N19),ISNUMBER(M19)),N19-M19,"")</f>
        <v/>
      </c>
      <c r="O28" s="18" t="str">
        <f aca="false">IF(AND(ISNUMBER(O19),ISNUMBER(N19)),O19-N19,"")</f>
        <v/>
      </c>
      <c r="P28" s="18" t="n">
        <f aca="false">IF(AND(ISNUMBER(P19),ISNUMBER(O19)),P19-O19,"")</f>
        <v>300000</v>
      </c>
      <c r="Q28" s="18" t="n">
        <f aca="false">IF(AND(ISNUMBER(Q19),ISNUMBER(P19)),Q19-P19,"")</f>
        <v>0</v>
      </c>
      <c r="R28" s="18" t="n">
        <f aca="false">IF(AND(ISNUMBER(R19),ISNUMBER(Q19)),R19-Q19,"")</f>
        <v>0</v>
      </c>
      <c r="S28" s="18" t="n">
        <f aca="false">IF(AND(ISNUMBER(S19),ISNUMBER(R19)),S19-R19,"")</f>
        <v>0</v>
      </c>
      <c r="T28" s="25" t="s">
        <v>196</v>
      </c>
      <c r="U28" s="25"/>
      <c r="V28" s="25"/>
    </row>
    <row r="29" customFormat="false" ht="15" hidden="false" customHeight="true" outlineLevel="0" collapsed="false">
      <c r="A29" s="10" t="s">
        <v>197</v>
      </c>
      <c r="B29" s="29" t="s">
        <v>189</v>
      </c>
      <c r="C29" s="31"/>
      <c r="D29" s="31"/>
      <c r="E29" s="31"/>
      <c r="F29" s="31"/>
      <c r="G29" s="31"/>
      <c r="H29" s="31"/>
      <c r="I29" s="31"/>
      <c r="J29" s="31"/>
      <c r="K29" s="31"/>
      <c r="L29" s="31"/>
      <c r="M29" s="31"/>
      <c r="N29" s="31"/>
      <c r="O29" s="31"/>
      <c r="P29" s="31"/>
      <c r="Q29" s="31"/>
      <c r="R29" s="31"/>
      <c r="S29" s="31"/>
      <c r="T29" s="25"/>
      <c r="U29" s="25"/>
      <c r="V29" s="25"/>
    </row>
    <row r="30" customFormat="false" ht="24.75" hidden="false" customHeight="true" outlineLevel="0" collapsed="false">
      <c r="A30" s="10" t="s">
        <v>199</v>
      </c>
      <c r="B30" s="29"/>
      <c r="C30" s="29"/>
      <c r="D30" s="29"/>
      <c r="E30" s="29"/>
      <c r="F30" s="29"/>
      <c r="G30" s="29"/>
      <c r="H30" s="29"/>
      <c r="I30" s="29"/>
      <c r="J30" s="29"/>
      <c r="K30" s="29"/>
      <c r="L30" s="29"/>
      <c r="M30" s="29"/>
      <c r="N30" s="29"/>
      <c r="O30" s="29" t="s">
        <v>1981</v>
      </c>
      <c r="P30" s="29" t="s">
        <v>1982</v>
      </c>
      <c r="Q30" s="29" t="s">
        <v>1983</v>
      </c>
      <c r="R30" s="29" t="s">
        <v>1984</v>
      </c>
      <c r="S30" s="29" t="s">
        <v>1985</v>
      </c>
      <c r="T30" s="25"/>
      <c r="U30" s="25"/>
      <c r="V30" s="25"/>
    </row>
    <row r="31" customFormat="false" ht="36" hidden="false" customHeight="true" outlineLevel="0" collapsed="false">
      <c r="A31" s="10" t="s">
        <v>216</v>
      </c>
      <c r="B31" s="29"/>
      <c r="C31" s="25"/>
      <c r="D31" s="25"/>
      <c r="E31" s="25"/>
      <c r="F31" s="25"/>
      <c r="G31" s="25"/>
      <c r="H31" s="25"/>
      <c r="I31" s="25"/>
      <c r="J31" s="25"/>
      <c r="K31" s="25"/>
      <c r="L31" s="25"/>
      <c r="M31" s="25"/>
      <c r="N31" s="25"/>
      <c r="O31" s="25" t="s">
        <v>1986</v>
      </c>
      <c r="P31" s="25" t="s">
        <v>1987</v>
      </c>
      <c r="Q31" s="25" t="s">
        <v>1988</v>
      </c>
      <c r="R31" s="25" t="s">
        <v>1989</v>
      </c>
      <c r="S31" s="25" t="s">
        <v>1990</v>
      </c>
      <c r="T31" s="25"/>
      <c r="U31" s="25"/>
      <c r="V31" s="25"/>
    </row>
    <row r="33" customFormat="false" ht="18" hidden="false" customHeight="true" outlineLevel="0" collapsed="false">
      <c r="A33" s="6" t="s">
        <v>233</v>
      </c>
      <c r="B33" s="6"/>
      <c r="C33" s="6"/>
      <c r="D33" s="6"/>
      <c r="E33" s="6"/>
      <c r="F33" s="6"/>
      <c r="G33" s="6"/>
      <c r="H33" s="6"/>
      <c r="I33" s="6"/>
      <c r="J33" s="6"/>
      <c r="K33" s="6"/>
      <c r="L33" s="6"/>
      <c r="M33" s="6"/>
      <c r="N33" s="6"/>
      <c r="O33" s="6"/>
      <c r="P33" s="6"/>
      <c r="Q33" s="6"/>
      <c r="R33" s="6"/>
      <c r="S33" s="6"/>
      <c r="T33" s="6"/>
      <c r="U33" s="6"/>
      <c r="V33" s="6"/>
    </row>
    <row r="34" customFormat="false" ht="15" hidden="false" customHeight="true" outlineLevel="0" collapsed="false">
      <c r="A34" s="8" t="s">
        <v>234</v>
      </c>
      <c r="B34" s="9" t="s">
        <v>170</v>
      </c>
      <c r="C34" s="9" t="s">
        <v>71</v>
      </c>
      <c r="D34" s="9" t="s">
        <v>72</v>
      </c>
      <c r="E34" s="9" t="s">
        <v>73</v>
      </c>
      <c r="F34" s="9" t="s">
        <v>74</v>
      </c>
      <c r="G34" s="9" t="s">
        <v>75</v>
      </c>
      <c r="H34" s="9" t="s">
        <v>76</v>
      </c>
      <c r="I34" s="9" t="s">
        <v>77</v>
      </c>
      <c r="J34" s="9" t="s">
        <v>78</v>
      </c>
      <c r="K34" s="9" t="s">
        <v>79</v>
      </c>
      <c r="L34" s="9" t="s">
        <v>80</v>
      </c>
      <c r="M34" s="9" t="s">
        <v>81</v>
      </c>
      <c r="N34" s="9" t="s">
        <v>82</v>
      </c>
      <c r="O34" s="9" t="s">
        <v>83</v>
      </c>
      <c r="P34" s="9" t="s">
        <v>84</v>
      </c>
      <c r="Q34" s="9" t="s">
        <v>85</v>
      </c>
      <c r="R34" s="9" t="s">
        <v>86</v>
      </c>
      <c r="S34" s="9" t="s">
        <v>87</v>
      </c>
      <c r="T34" s="8" t="s">
        <v>235</v>
      </c>
      <c r="U34" s="8"/>
      <c r="V34" s="8"/>
    </row>
    <row r="35" customFormat="false" ht="15" hidden="false" customHeight="true" outlineLevel="0" collapsed="false">
      <c r="A35" s="10" t="s">
        <v>1991</v>
      </c>
      <c r="B35" s="29" t="s">
        <v>173</v>
      </c>
      <c r="C35" s="32"/>
      <c r="D35" s="32"/>
      <c r="E35" s="32"/>
      <c r="F35" s="32"/>
      <c r="G35" s="32"/>
      <c r="H35" s="32"/>
      <c r="I35" s="32"/>
      <c r="J35" s="32"/>
      <c r="K35" s="32"/>
      <c r="L35" s="32"/>
      <c r="M35" s="32"/>
      <c r="N35" s="32"/>
      <c r="O35" s="30" t="n">
        <v>120000</v>
      </c>
      <c r="P35" s="32"/>
      <c r="Q35" s="32"/>
      <c r="R35" s="32"/>
      <c r="S35" s="32"/>
      <c r="T35" s="25" t="s">
        <v>1992</v>
      </c>
      <c r="U35" s="25"/>
      <c r="V35" s="25"/>
    </row>
    <row r="36" customFormat="false" ht="15" hidden="false" customHeight="true" outlineLevel="0" collapsed="false">
      <c r="A36" s="10" t="s">
        <v>1993</v>
      </c>
      <c r="B36" s="29" t="s">
        <v>173</v>
      </c>
      <c r="C36" s="32"/>
      <c r="D36" s="32"/>
      <c r="E36" s="32"/>
      <c r="F36" s="32"/>
      <c r="G36" s="32"/>
      <c r="H36" s="32"/>
      <c r="I36" s="32"/>
      <c r="J36" s="32"/>
      <c r="K36" s="32"/>
      <c r="L36" s="32"/>
      <c r="M36" s="32"/>
      <c r="N36" s="32"/>
      <c r="O36" s="32"/>
      <c r="P36" s="30" t="n">
        <v>420000</v>
      </c>
      <c r="Q36" s="33" t="n">
        <v>420000</v>
      </c>
      <c r="R36" s="33" t="n">
        <v>420000</v>
      </c>
      <c r="S36" s="30" t="n">
        <v>420000</v>
      </c>
      <c r="T36" s="25" t="s">
        <v>1994</v>
      </c>
      <c r="U36" s="25"/>
      <c r="V36" s="25"/>
    </row>
    <row r="37" customFormat="false" ht="15" hidden="false" customHeight="true" outlineLevel="0" collapsed="false">
      <c r="A37" s="10" t="s">
        <v>1995</v>
      </c>
      <c r="B37" s="29" t="s">
        <v>173</v>
      </c>
      <c r="C37" s="32"/>
      <c r="D37" s="32"/>
      <c r="E37" s="32"/>
      <c r="F37" s="32"/>
      <c r="G37" s="32"/>
      <c r="H37" s="32"/>
      <c r="I37" s="32"/>
      <c r="J37" s="32"/>
      <c r="K37" s="32"/>
      <c r="L37" s="32"/>
      <c r="M37" s="32"/>
      <c r="N37" s="32"/>
      <c r="O37" s="32"/>
      <c r="P37" s="32"/>
      <c r="Q37" s="32"/>
      <c r="R37" s="32"/>
      <c r="S37" s="32"/>
      <c r="T37" s="25" t="s">
        <v>1996</v>
      </c>
      <c r="U37" s="25"/>
      <c r="V37" s="25"/>
    </row>
    <row r="39" customFormat="false" ht="18" hidden="false" customHeight="true" outlineLevel="0" collapsed="false">
      <c r="A39" s="6" t="s">
        <v>249</v>
      </c>
      <c r="B39" s="6"/>
      <c r="C39" s="6"/>
      <c r="D39" s="6"/>
      <c r="E39" s="6"/>
      <c r="F39" s="6"/>
      <c r="G39" s="6"/>
      <c r="H39" s="6"/>
      <c r="I39" s="6"/>
      <c r="J39" s="6"/>
      <c r="K39" s="6"/>
      <c r="L39" s="6"/>
      <c r="M39" s="6"/>
      <c r="N39" s="6"/>
      <c r="O39" s="6"/>
      <c r="P39" s="6"/>
      <c r="Q39" s="6"/>
      <c r="R39" s="6"/>
      <c r="S39" s="6"/>
      <c r="T39" s="6"/>
      <c r="U39" s="6"/>
      <c r="V39" s="6"/>
    </row>
    <row r="40" customFormat="false" ht="40.5" hidden="false" customHeight="true" outlineLevel="0" collapsed="false">
      <c r="A40" s="9" t="s">
        <v>250</v>
      </c>
      <c r="B40" s="9" t="s">
        <v>251</v>
      </c>
      <c r="C40" s="9"/>
      <c r="D40" s="9" t="s">
        <v>252</v>
      </c>
      <c r="E40" s="9"/>
      <c r="F40" s="9" t="s">
        <v>253</v>
      </c>
      <c r="G40" s="9" t="s">
        <v>254</v>
      </c>
      <c r="H40" s="9"/>
      <c r="I40" s="9" t="s">
        <v>255</v>
      </c>
      <c r="J40" s="9"/>
      <c r="K40" s="9"/>
      <c r="L40" s="9"/>
      <c r="M40" s="9" t="s">
        <v>256</v>
      </c>
      <c r="N40" s="9"/>
      <c r="O40" s="9" t="s">
        <v>257</v>
      </c>
      <c r="P40" s="9" t="s">
        <v>258</v>
      </c>
      <c r="Q40" s="9" t="s">
        <v>110</v>
      </c>
      <c r="R40" s="9" t="s">
        <v>259</v>
      </c>
      <c r="S40" s="9" t="s">
        <v>171</v>
      </c>
      <c r="T40" s="9"/>
      <c r="U40" s="9"/>
      <c r="V40" s="9" t="s">
        <v>260</v>
      </c>
    </row>
    <row r="41" customFormat="false" ht="27.75" hidden="false" customHeight="true" outlineLevel="0" collapsed="false">
      <c r="A41" s="10" t="s">
        <v>1991</v>
      </c>
      <c r="B41" s="5" t="s">
        <v>1997</v>
      </c>
      <c r="C41" s="5"/>
      <c r="D41" s="5" t="s">
        <v>106</v>
      </c>
      <c r="E41" s="5"/>
      <c r="F41" s="5" t="s">
        <v>825</v>
      </c>
      <c r="G41" s="5" t="s">
        <v>1998</v>
      </c>
      <c r="H41" s="5"/>
      <c r="I41" s="5" t="s">
        <v>1999</v>
      </c>
      <c r="J41" s="5"/>
      <c r="K41" s="5"/>
      <c r="L41" s="5"/>
      <c r="M41" s="5" t="s">
        <v>2000</v>
      </c>
      <c r="N41" s="5"/>
      <c r="O41" s="30" t="n">
        <v>120000</v>
      </c>
      <c r="P41" s="5" t="s">
        <v>2001</v>
      </c>
      <c r="Q41" s="5" t="s">
        <v>789</v>
      </c>
      <c r="R41" s="5" t="s">
        <v>277</v>
      </c>
      <c r="S41" s="5"/>
      <c r="T41" s="5"/>
      <c r="U41" s="5"/>
      <c r="V41" s="5" t="s">
        <v>2002</v>
      </c>
    </row>
    <row r="42" customFormat="false" ht="40.5" hidden="false" customHeight="true" outlineLevel="0" collapsed="false">
      <c r="A42" s="10" t="s">
        <v>2003</v>
      </c>
      <c r="B42" s="5" t="s">
        <v>1997</v>
      </c>
      <c r="C42" s="5"/>
      <c r="D42" s="5" t="s">
        <v>106</v>
      </c>
      <c r="E42" s="5"/>
      <c r="F42" s="5" t="s">
        <v>2004</v>
      </c>
      <c r="G42" s="5" t="s">
        <v>2005</v>
      </c>
      <c r="H42" s="5"/>
      <c r="I42" s="5" t="s">
        <v>2006</v>
      </c>
      <c r="J42" s="5"/>
      <c r="K42" s="5"/>
      <c r="L42" s="5"/>
      <c r="M42" s="5" t="s">
        <v>2007</v>
      </c>
      <c r="N42" s="5"/>
      <c r="O42" s="5"/>
      <c r="P42" s="5" t="s">
        <v>2008</v>
      </c>
      <c r="Q42" s="5" t="s">
        <v>1972</v>
      </c>
      <c r="R42" s="5" t="s">
        <v>2009</v>
      </c>
      <c r="S42" s="5" t="s">
        <v>2010</v>
      </c>
      <c r="T42" s="5"/>
      <c r="U42" s="5"/>
      <c r="V42" s="5" t="s">
        <v>2011</v>
      </c>
    </row>
    <row r="43" customFormat="false" ht="27.75" hidden="false" customHeight="true" outlineLevel="0" collapsed="false">
      <c r="A43" s="10" t="s">
        <v>1995</v>
      </c>
      <c r="B43" s="5" t="s">
        <v>1441</v>
      </c>
      <c r="C43" s="5"/>
      <c r="D43" s="5" t="s">
        <v>106</v>
      </c>
      <c r="E43" s="5"/>
      <c r="F43" s="5" t="s">
        <v>2012</v>
      </c>
      <c r="G43" s="5" t="s">
        <v>2013</v>
      </c>
      <c r="H43" s="5"/>
      <c r="I43" s="5" t="s">
        <v>2014</v>
      </c>
      <c r="J43" s="5"/>
      <c r="K43" s="5"/>
      <c r="L43" s="5"/>
      <c r="M43" s="5" t="s">
        <v>2015</v>
      </c>
      <c r="N43" s="5"/>
      <c r="O43" s="30" t="n">
        <v>500000</v>
      </c>
      <c r="P43" s="5" t="s">
        <v>2016</v>
      </c>
      <c r="Q43" s="5" t="s">
        <v>1972</v>
      </c>
      <c r="R43" s="5" t="s">
        <v>2017</v>
      </c>
      <c r="S43" s="5" t="s">
        <v>2018</v>
      </c>
      <c r="T43" s="5"/>
      <c r="U43" s="5"/>
      <c r="V43" s="5" t="s">
        <v>2019</v>
      </c>
    </row>
    <row r="45" customFormat="false" ht="18" hidden="false" customHeight="true" outlineLevel="0" collapsed="false">
      <c r="A45" s="6" t="s">
        <v>316</v>
      </c>
      <c r="B45" s="6"/>
      <c r="C45" s="6"/>
      <c r="D45" s="6"/>
      <c r="E45" s="6"/>
      <c r="F45" s="6"/>
      <c r="G45" s="6"/>
      <c r="H45" s="6"/>
      <c r="I45" s="6"/>
      <c r="J45" s="6"/>
      <c r="K45" s="6"/>
      <c r="L45" s="6"/>
      <c r="M45" s="6"/>
      <c r="N45" s="6"/>
      <c r="O45" s="6"/>
      <c r="P45" s="6"/>
      <c r="Q45" s="6"/>
      <c r="R45" s="6"/>
      <c r="S45" s="6"/>
      <c r="T45" s="6"/>
      <c r="U45" s="6"/>
      <c r="V45" s="6"/>
    </row>
    <row r="46" customFormat="false" ht="40.5" hidden="false" customHeight="true" outlineLevel="0" collapsed="false">
      <c r="A46" s="9" t="s">
        <v>317</v>
      </c>
      <c r="B46" s="9" t="s">
        <v>318</v>
      </c>
      <c r="C46" s="9" t="s">
        <v>319</v>
      </c>
      <c r="D46" s="9" t="s">
        <v>320</v>
      </c>
      <c r="E46" s="9"/>
      <c r="F46" s="9" t="s">
        <v>250</v>
      </c>
      <c r="G46" s="9"/>
      <c r="H46" s="9" t="s">
        <v>321</v>
      </c>
      <c r="I46" s="9" t="s">
        <v>322</v>
      </c>
      <c r="J46" s="9" t="s">
        <v>323</v>
      </c>
      <c r="K46" s="9" t="s">
        <v>324</v>
      </c>
      <c r="L46" s="9" t="s">
        <v>259</v>
      </c>
      <c r="M46" s="9"/>
      <c r="N46" s="9" t="s">
        <v>171</v>
      </c>
      <c r="O46" s="9"/>
      <c r="P46" s="9"/>
      <c r="Q46" s="9"/>
      <c r="R46" s="9"/>
      <c r="S46" s="9"/>
      <c r="T46" s="9"/>
      <c r="U46" s="9"/>
      <c r="V46" s="9" t="s">
        <v>325</v>
      </c>
    </row>
    <row r="47" customFormat="false" ht="15" hidden="false" customHeight="true" outlineLevel="0" collapsed="false">
      <c r="A47" s="10" t="s">
        <v>1991</v>
      </c>
      <c r="B47" s="5" t="s">
        <v>825</v>
      </c>
      <c r="C47" s="5" t="s">
        <v>83</v>
      </c>
      <c r="D47" s="5" t="s">
        <v>328</v>
      </c>
      <c r="E47" s="5"/>
      <c r="F47" s="5" t="s">
        <v>1362</v>
      </c>
      <c r="G47" s="5"/>
      <c r="H47" s="30" t="n">
        <v>120000</v>
      </c>
      <c r="I47" s="30" t="n">
        <v>120000</v>
      </c>
      <c r="J47" s="30" t="n">
        <v>120000</v>
      </c>
      <c r="K47" s="5"/>
      <c r="L47" s="5" t="s">
        <v>329</v>
      </c>
      <c r="M47" s="5"/>
      <c r="N47" s="5"/>
      <c r="O47" s="5"/>
      <c r="P47" s="5"/>
      <c r="Q47" s="5"/>
      <c r="R47" s="5"/>
      <c r="S47" s="5"/>
      <c r="T47" s="5"/>
      <c r="U47" s="5"/>
      <c r="V47" s="5" t="s">
        <v>1981</v>
      </c>
    </row>
    <row r="48" customFormat="false" ht="15" hidden="false" customHeight="true" outlineLevel="0" collapsed="false">
      <c r="A48" s="10" t="s">
        <v>2003</v>
      </c>
      <c r="B48" s="5" t="s">
        <v>2004</v>
      </c>
      <c r="C48" s="5" t="s">
        <v>84</v>
      </c>
      <c r="D48" s="5" t="s">
        <v>328</v>
      </c>
      <c r="E48" s="5"/>
      <c r="F48" s="5" t="s">
        <v>1362</v>
      </c>
      <c r="G48" s="5"/>
      <c r="H48" s="30" t="n">
        <v>300000</v>
      </c>
      <c r="I48" s="30" t="n">
        <v>420000</v>
      </c>
      <c r="J48" s="30" t="n">
        <v>420000</v>
      </c>
      <c r="K48" s="5"/>
      <c r="L48" s="5" t="s">
        <v>329</v>
      </c>
      <c r="M48" s="5"/>
      <c r="N48" s="5" t="s">
        <v>2020</v>
      </c>
      <c r="O48" s="5"/>
      <c r="P48" s="5"/>
      <c r="Q48" s="5"/>
      <c r="R48" s="5"/>
      <c r="S48" s="5"/>
      <c r="T48" s="5"/>
      <c r="U48" s="5"/>
      <c r="V48" s="5" t="s">
        <v>1982</v>
      </c>
    </row>
    <row r="49" customFormat="false" ht="15" hidden="false" customHeight="true" outlineLevel="0" collapsed="false">
      <c r="A49" s="10" t="s">
        <v>2021</v>
      </c>
      <c r="B49" s="5" t="s">
        <v>972</v>
      </c>
      <c r="C49" s="5" t="s">
        <v>86</v>
      </c>
      <c r="D49" s="5" t="s">
        <v>810</v>
      </c>
      <c r="E49" s="5"/>
      <c r="F49" s="5" t="s">
        <v>1995</v>
      </c>
      <c r="G49" s="5"/>
      <c r="H49" s="30" t="n">
        <v>1000000</v>
      </c>
      <c r="I49" s="5"/>
      <c r="J49" s="5"/>
      <c r="K49" s="30" t="n">
        <v>2000</v>
      </c>
      <c r="L49" s="5" t="s">
        <v>341</v>
      </c>
      <c r="M49" s="5"/>
      <c r="N49" s="5" t="s">
        <v>2013</v>
      </c>
      <c r="O49" s="5"/>
      <c r="P49" s="5"/>
      <c r="Q49" s="5"/>
      <c r="R49" s="5"/>
      <c r="S49" s="5"/>
      <c r="T49" s="5"/>
      <c r="U49" s="5"/>
      <c r="V49" s="5" t="s">
        <v>2022</v>
      </c>
    </row>
    <row r="50" customFormat="false" ht="15" hidden="false" customHeight="true" outlineLevel="0" collapsed="false">
      <c r="A50" s="10" t="s">
        <v>2023</v>
      </c>
      <c r="B50" s="5" t="s">
        <v>2024</v>
      </c>
      <c r="C50" s="5" t="s">
        <v>425</v>
      </c>
      <c r="D50" s="5" t="s">
        <v>328</v>
      </c>
      <c r="E50" s="5"/>
      <c r="F50" s="5" t="s">
        <v>1995</v>
      </c>
      <c r="G50" s="5"/>
      <c r="H50" s="30" t="n">
        <v>500000</v>
      </c>
      <c r="I50" s="30" t="n">
        <v>500000</v>
      </c>
      <c r="J50" s="30" t="n">
        <v>920000</v>
      </c>
      <c r="K50" s="5"/>
      <c r="L50" s="5" t="s">
        <v>2017</v>
      </c>
      <c r="M50" s="5"/>
      <c r="N50" s="5" t="s">
        <v>2025</v>
      </c>
      <c r="O50" s="5"/>
      <c r="P50" s="5"/>
      <c r="Q50" s="5"/>
      <c r="R50" s="5"/>
      <c r="S50" s="5"/>
      <c r="T50" s="5"/>
      <c r="U50" s="5"/>
      <c r="V50" s="5" t="s">
        <v>2026</v>
      </c>
    </row>
    <row r="52" customFormat="false" ht="18" hidden="false" customHeight="true" outlineLevel="0" collapsed="false">
      <c r="A52" s="6" t="s">
        <v>433</v>
      </c>
      <c r="B52" s="6"/>
      <c r="C52" s="6"/>
      <c r="D52" s="6"/>
      <c r="E52" s="6"/>
      <c r="F52" s="6"/>
      <c r="G52" s="6"/>
      <c r="H52" s="6"/>
      <c r="I52" s="6"/>
      <c r="J52" s="6"/>
      <c r="K52" s="6"/>
      <c r="L52" s="6"/>
      <c r="M52" s="6"/>
      <c r="N52" s="6"/>
      <c r="O52" s="6"/>
      <c r="P52" s="6"/>
      <c r="Q52" s="6"/>
      <c r="R52" s="6"/>
      <c r="S52" s="6"/>
      <c r="T52" s="6"/>
      <c r="U52" s="6"/>
      <c r="V52" s="6"/>
    </row>
    <row r="53" customFormat="false" ht="15" hidden="false" customHeight="true" outlineLevel="0" collapsed="false">
      <c r="A53" s="9" t="s">
        <v>434</v>
      </c>
      <c r="B53" s="9" t="s">
        <v>435</v>
      </c>
      <c r="C53" s="9"/>
      <c r="D53" s="9" t="s">
        <v>70</v>
      </c>
      <c r="E53" s="9"/>
      <c r="F53" s="9" t="s">
        <v>436</v>
      </c>
      <c r="G53" s="9"/>
      <c r="H53" s="9"/>
      <c r="I53" s="9"/>
      <c r="J53" s="9"/>
      <c r="K53" s="9"/>
      <c r="L53" s="9" t="s">
        <v>437</v>
      </c>
      <c r="M53" s="9"/>
      <c r="N53" s="9"/>
      <c r="O53" s="9" t="s">
        <v>438</v>
      </c>
      <c r="P53" s="9" t="s">
        <v>171</v>
      </c>
      <c r="Q53" s="9"/>
      <c r="R53" s="9"/>
      <c r="S53" s="9"/>
      <c r="T53" s="9"/>
      <c r="U53" s="9"/>
      <c r="V53" s="9" t="s">
        <v>260</v>
      </c>
    </row>
    <row r="54" customFormat="false" ht="15" hidden="false" customHeight="true" outlineLevel="0" collapsed="false">
      <c r="A54" s="10" t="s">
        <v>2000</v>
      </c>
      <c r="B54" s="5" t="s">
        <v>447</v>
      </c>
      <c r="C54" s="5"/>
      <c r="D54" s="5" t="s">
        <v>2027</v>
      </c>
      <c r="E54" s="5"/>
      <c r="F54" s="5" t="s">
        <v>2028</v>
      </c>
      <c r="G54" s="5"/>
      <c r="H54" s="5"/>
      <c r="I54" s="5"/>
      <c r="J54" s="5"/>
      <c r="K54" s="5"/>
      <c r="L54" s="5" t="s">
        <v>1362</v>
      </c>
      <c r="M54" s="5"/>
      <c r="N54" s="5"/>
      <c r="O54" s="5" t="s">
        <v>1749</v>
      </c>
      <c r="P54" s="5"/>
      <c r="Q54" s="5"/>
      <c r="R54" s="5"/>
      <c r="S54" s="5"/>
      <c r="T54" s="5"/>
      <c r="U54" s="5"/>
      <c r="V54" s="5" t="s">
        <v>2029</v>
      </c>
    </row>
    <row r="55" customFormat="false" ht="15" hidden="false" customHeight="true" outlineLevel="0" collapsed="false">
      <c r="A55" s="10" t="s">
        <v>2030</v>
      </c>
      <c r="B55" s="5" t="s">
        <v>447</v>
      </c>
      <c r="C55" s="5"/>
      <c r="D55" s="5" t="s">
        <v>2031</v>
      </c>
      <c r="E55" s="5"/>
      <c r="F55" s="5" t="s">
        <v>2030</v>
      </c>
      <c r="G55" s="5"/>
      <c r="H55" s="5"/>
      <c r="I55" s="5"/>
      <c r="J55" s="5"/>
      <c r="K55" s="5"/>
      <c r="L55" s="5" t="s">
        <v>1362</v>
      </c>
      <c r="M55" s="5"/>
      <c r="N55" s="5"/>
      <c r="O55" s="5" t="s">
        <v>1072</v>
      </c>
      <c r="P55" s="5"/>
      <c r="Q55" s="5"/>
      <c r="R55" s="5"/>
      <c r="S55" s="5"/>
      <c r="T55" s="5"/>
      <c r="U55" s="5"/>
      <c r="V55" s="5" t="s">
        <v>658</v>
      </c>
    </row>
    <row r="56" customFormat="false" ht="15" hidden="false" customHeight="true" outlineLevel="0" collapsed="false">
      <c r="A56" s="10" t="s">
        <v>2015</v>
      </c>
      <c r="B56" s="5" t="s">
        <v>447</v>
      </c>
      <c r="C56" s="5"/>
      <c r="D56" s="5" t="s">
        <v>2032</v>
      </c>
      <c r="E56" s="5"/>
      <c r="F56" s="5" t="s">
        <v>2033</v>
      </c>
      <c r="G56" s="5"/>
      <c r="H56" s="5"/>
      <c r="I56" s="5"/>
      <c r="J56" s="5"/>
      <c r="K56" s="5"/>
      <c r="L56" s="5" t="s">
        <v>2034</v>
      </c>
      <c r="M56" s="5"/>
      <c r="N56" s="5"/>
      <c r="O56" s="5" t="s">
        <v>425</v>
      </c>
      <c r="P56" s="5" t="s">
        <v>2035</v>
      </c>
      <c r="Q56" s="5"/>
      <c r="R56" s="5"/>
      <c r="S56" s="5"/>
      <c r="T56" s="5"/>
      <c r="U56" s="5"/>
      <c r="V56" s="5" t="s">
        <v>2036</v>
      </c>
    </row>
    <row r="57" customFormat="false" ht="15" hidden="false" customHeight="true" outlineLevel="0" collapsed="false">
      <c r="A57" s="10" t="s">
        <v>2037</v>
      </c>
      <c r="B57" s="5" t="s">
        <v>447</v>
      </c>
      <c r="C57" s="5"/>
      <c r="D57" s="5" t="s">
        <v>1947</v>
      </c>
      <c r="E57" s="5"/>
      <c r="F57" s="5" t="s">
        <v>301</v>
      </c>
      <c r="G57" s="5"/>
      <c r="H57" s="5"/>
      <c r="I57" s="5"/>
      <c r="J57" s="5"/>
      <c r="K57" s="5"/>
      <c r="L57" s="5" t="s">
        <v>121</v>
      </c>
      <c r="M57" s="5"/>
      <c r="N57" s="5"/>
      <c r="O57" s="5" t="s">
        <v>121</v>
      </c>
      <c r="P57" s="5" t="s">
        <v>2038</v>
      </c>
      <c r="Q57" s="5"/>
      <c r="R57" s="5"/>
      <c r="S57" s="5"/>
      <c r="T57" s="5"/>
      <c r="U57" s="5"/>
      <c r="V57" s="5" t="s">
        <v>467</v>
      </c>
    </row>
    <row r="59" customFormat="false" ht="18" hidden="false" customHeight="true" outlineLevel="0" collapsed="false">
      <c r="A59" s="6" t="s">
        <v>468</v>
      </c>
      <c r="B59" s="6"/>
      <c r="C59" s="6"/>
      <c r="D59" s="6"/>
      <c r="E59" s="6"/>
      <c r="F59" s="6"/>
      <c r="G59" s="6"/>
      <c r="H59" s="6"/>
      <c r="I59" s="6"/>
      <c r="J59" s="6"/>
      <c r="K59" s="6"/>
      <c r="L59" s="6"/>
      <c r="M59" s="6"/>
      <c r="N59" s="6"/>
      <c r="O59" s="6"/>
      <c r="P59" s="6"/>
      <c r="Q59" s="6"/>
      <c r="R59" s="6"/>
      <c r="S59" s="6"/>
      <c r="T59" s="6"/>
      <c r="U59" s="6"/>
      <c r="V59" s="6"/>
    </row>
    <row r="60" customFormat="false" ht="40.5" hidden="false" customHeight="true" outlineLevel="0" collapsed="false">
      <c r="A60" s="9" t="s">
        <v>469</v>
      </c>
      <c r="B60" s="9" t="s">
        <v>251</v>
      </c>
      <c r="C60" s="9"/>
      <c r="D60" s="9" t="s">
        <v>470</v>
      </c>
      <c r="E60" s="9" t="s">
        <v>471</v>
      </c>
      <c r="F60" s="9" t="s">
        <v>324</v>
      </c>
      <c r="G60" s="9" t="s">
        <v>472</v>
      </c>
      <c r="H60" s="9" t="s">
        <v>473</v>
      </c>
      <c r="I60" s="9"/>
      <c r="J60" s="9" t="s">
        <v>171</v>
      </c>
      <c r="K60" s="9"/>
      <c r="L60" s="9"/>
      <c r="M60" s="9"/>
      <c r="N60" s="9"/>
      <c r="O60" s="9"/>
      <c r="P60" s="9"/>
      <c r="Q60" s="9"/>
      <c r="R60" s="9"/>
      <c r="S60" s="9"/>
      <c r="T60" s="9"/>
      <c r="U60" s="9"/>
      <c r="V60" s="9" t="s">
        <v>325</v>
      </c>
    </row>
    <row r="61" customFormat="false" ht="15" hidden="false" customHeight="true" outlineLevel="0" collapsed="false">
      <c r="A61" s="10" t="s">
        <v>2039</v>
      </c>
      <c r="B61" s="5" t="s">
        <v>1314</v>
      </c>
      <c r="C61" s="5"/>
      <c r="D61" s="30" t="n">
        <v>500000</v>
      </c>
      <c r="E61" s="5" t="s">
        <v>2024</v>
      </c>
      <c r="F61" s="30" t="n">
        <v>2000</v>
      </c>
      <c r="G61" s="5" t="s">
        <v>477</v>
      </c>
      <c r="H61" s="5" t="s">
        <v>2017</v>
      </c>
      <c r="I61" s="5"/>
      <c r="J61" s="5" t="s">
        <v>2040</v>
      </c>
      <c r="K61" s="5"/>
      <c r="L61" s="5"/>
      <c r="M61" s="5"/>
      <c r="N61" s="5"/>
      <c r="O61" s="5"/>
      <c r="P61" s="5"/>
      <c r="Q61" s="5"/>
      <c r="R61" s="5"/>
      <c r="S61" s="5"/>
      <c r="T61" s="5"/>
      <c r="U61" s="5"/>
      <c r="V61" s="5" t="s">
        <v>2041</v>
      </c>
    </row>
    <row r="62" customFormat="false" ht="27.75" hidden="false" customHeight="true" outlineLevel="0" collapsed="false">
      <c r="A62" s="10" t="s">
        <v>2042</v>
      </c>
      <c r="B62" s="5" t="s">
        <v>1314</v>
      </c>
      <c r="C62" s="5"/>
      <c r="D62" s="30" t="n">
        <v>500000</v>
      </c>
      <c r="E62" s="5" t="s">
        <v>2043</v>
      </c>
      <c r="F62" s="5"/>
      <c r="G62" s="5" t="s">
        <v>484</v>
      </c>
      <c r="H62" s="5" t="s">
        <v>2044</v>
      </c>
      <c r="I62" s="5"/>
      <c r="J62" s="5" t="s">
        <v>2045</v>
      </c>
      <c r="K62" s="5"/>
      <c r="L62" s="5"/>
      <c r="M62" s="5"/>
      <c r="N62" s="5"/>
      <c r="O62" s="5"/>
      <c r="P62" s="5"/>
      <c r="Q62" s="5"/>
      <c r="R62" s="5"/>
      <c r="S62" s="5"/>
      <c r="T62" s="5"/>
      <c r="U62" s="5"/>
      <c r="V62" s="5" t="s">
        <v>2046</v>
      </c>
    </row>
    <row r="64" customFormat="false" ht="18" hidden="false" customHeight="true" outlineLevel="0" collapsed="false">
      <c r="A64" s="6" t="s">
        <v>502</v>
      </c>
      <c r="B64" s="6"/>
      <c r="C64" s="6"/>
      <c r="D64" s="6"/>
      <c r="E64" s="6"/>
      <c r="F64" s="6"/>
      <c r="G64" s="6"/>
      <c r="H64" s="6"/>
      <c r="I64" s="6"/>
      <c r="J64" s="6"/>
      <c r="K64" s="6"/>
      <c r="L64" s="6"/>
      <c r="M64" s="6"/>
      <c r="N64" s="6"/>
      <c r="O64" s="6"/>
      <c r="P64" s="6"/>
      <c r="Q64" s="6"/>
      <c r="R64" s="6"/>
      <c r="S64" s="6"/>
      <c r="T64" s="6"/>
      <c r="U64" s="6"/>
      <c r="V64" s="6"/>
    </row>
    <row r="65" customFormat="false" ht="15" hidden="false" customHeight="true" outlineLevel="0" collapsed="false">
      <c r="A65" s="10" t="s">
        <v>2047</v>
      </c>
      <c r="B65" s="10"/>
      <c r="C65" s="10"/>
      <c r="D65" s="10"/>
      <c r="E65" s="10"/>
      <c r="F65" s="10"/>
      <c r="G65" s="10"/>
      <c r="H65" s="10"/>
      <c r="I65" s="10"/>
      <c r="J65" s="10"/>
      <c r="K65" s="10"/>
      <c r="L65" s="10"/>
      <c r="M65" s="10"/>
      <c r="N65" s="10"/>
      <c r="O65" s="10"/>
      <c r="P65" s="10"/>
      <c r="Q65" s="10"/>
      <c r="R65" s="10"/>
      <c r="S65" s="10"/>
      <c r="T65" s="10"/>
      <c r="U65" s="10"/>
      <c r="V65" s="10"/>
    </row>
    <row r="66" customFormat="false" ht="15" hidden="false" customHeight="true" outlineLevel="0" collapsed="false">
      <c r="A66" s="10" t="s">
        <v>2048</v>
      </c>
      <c r="B66" s="10"/>
      <c r="C66" s="10"/>
      <c r="D66" s="10"/>
      <c r="E66" s="10"/>
      <c r="F66" s="10"/>
      <c r="G66" s="10"/>
      <c r="H66" s="10"/>
      <c r="I66" s="10"/>
      <c r="J66" s="10"/>
      <c r="K66" s="10"/>
      <c r="L66" s="10"/>
      <c r="M66" s="10"/>
      <c r="N66" s="10"/>
      <c r="O66" s="10"/>
      <c r="P66" s="10"/>
      <c r="Q66" s="10"/>
      <c r="R66" s="10"/>
      <c r="S66" s="10"/>
      <c r="T66" s="10"/>
      <c r="U66" s="10"/>
      <c r="V66" s="10"/>
    </row>
    <row r="67" customFormat="false" ht="15" hidden="false" customHeight="true" outlineLevel="0" collapsed="false">
      <c r="A67" s="10" t="s">
        <v>2049</v>
      </c>
      <c r="B67" s="10"/>
      <c r="C67" s="10"/>
      <c r="D67" s="10"/>
      <c r="E67" s="10"/>
      <c r="F67" s="10"/>
      <c r="G67" s="10"/>
      <c r="H67" s="10"/>
      <c r="I67" s="10"/>
      <c r="J67" s="10"/>
      <c r="K67" s="10"/>
      <c r="L67" s="10"/>
      <c r="M67" s="10"/>
      <c r="N67" s="10"/>
      <c r="O67" s="10"/>
      <c r="P67" s="10"/>
      <c r="Q67" s="10"/>
      <c r="R67" s="10"/>
      <c r="S67" s="10"/>
      <c r="T67" s="10"/>
      <c r="U67" s="10"/>
      <c r="V67" s="10"/>
    </row>
  </sheetData>
  <mergeCells count="140">
    <mergeCell ref="A3:V3"/>
    <mergeCell ref="A4:V4"/>
    <mergeCell ref="A5:B5"/>
    <mergeCell ref="C5:E5"/>
    <mergeCell ref="F5:V5"/>
    <mergeCell ref="A6:B6"/>
    <mergeCell ref="C6:E6"/>
    <mergeCell ref="F6:V6"/>
    <mergeCell ref="A7:B7"/>
    <mergeCell ref="C7:E7"/>
    <mergeCell ref="F7:V7"/>
    <mergeCell ref="A8:B8"/>
    <mergeCell ref="C8:E8"/>
    <mergeCell ref="F8:V8"/>
    <mergeCell ref="A9:B9"/>
    <mergeCell ref="C9:E9"/>
    <mergeCell ref="F9:V9"/>
    <mergeCell ref="A10:B10"/>
    <mergeCell ref="C10:E10"/>
    <mergeCell ref="F10:V10"/>
    <mergeCell ref="A11:B11"/>
    <mergeCell ref="C11:E11"/>
    <mergeCell ref="F11:V11"/>
    <mergeCell ref="A12:B12"/>
    <mergeCell ref="C12:E12"/>
    <mergeCell ref="F12:V12"/>
    <mergeCell ref="A13:B13"/>
    <mergeCell ref="C13:E13"/>
    <mergeCell ref="F13:V13"/>
    <mergeCell ref="A14:B14"/>
    <mergeCell ref="C14:E14"/>
    <mergeCell ref="F14:V14"/>
    <mergeCell ref="A15:B15"/>
    <mergeCell ref="C15:V15"/>
    <mergeCell ref="A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A33:V33"/>
    <mergeCell ref="T34:V34"/>
    <mergeCell ref="T35:V35"/>
    <mergeCell ref="T36:V36"/>
    <mergeCell ref="T37:V37"/>
    <mergeCell ref="A39:V39"/>
    <mergeCell ref="B40:C40"/>
    <mergeCell ref="D40:E40"/>
    <mergeCell ref="G40:H40"/>
    <mergeCell ref="I40:L40"/>
    <mergeCell ref="M40:N40"/>
    <mergeCell ref="S40:U40"/>
    <mergeCell ref="B41:C41"/>
    <mergeCell ref="D41:E41"/>
    <mergeCell ref="G41:H41"/>
    <mergeCell ref="I41:L41"/>
    <mergeCell ref="M41:N41"/>
    <mergeCell ref="S41:U41"/>
    <mergeCell ref="B42:C42"/>
    <mergeCell ref="D42:E42"/>
    <mergeCell ref="G42:H42"/>
    <mergeCell ref="I42:L42"/>
    <mergeCell ref="M42:N42"/>
    <mergeCell ref="S42:U42"/>
    <mergeCell ref="B43:C43"/>
    <mergeCell ref="D43:E43"/>
    <mergeCell ref="G43:H43"/>
    <mergeCell ref="I43:L43"/>
    <mergeCell ref="M43:N43"/>
    <mergeCell ref="S43:U43"/>
    <mergeCell ref="A45:V45"/>
    <mergeCell ref="D46:E46"/>
    <mergeCell ref="F46:G46"/>
    <mergeCell ref="L46:M46"/>
    <mergeCell ref="N46:U46"/>
    <mergeCell ref="D47:E47"/>
    <mergeCell ref="F47:G47"/>
    <mergeCell ref="L47:M47"/>
    <mergeCell ref="N47:U47"/>
    <mergeCell ref="D48:E48"/>
    <mergeCell ref="F48:G48"/>
    <mergeCell ref="L48:M48"/>
    <mergeCell ref="N48:U48"/>
    <mergeCell ref="D49:E49"/>
    <mergeCell ref="F49:G49"/>
    <mergeCell ref="L49:M49"/>
    <mergeCell ref="N49:U49"/>
    <mergeCell ref="D50:E50"/>
    <mergeCell ref="F50:G50"/>
    <mergeCell ref="L50:M50"/>
    <mergeCell ref="N50:U50"/>
    <mergeCell ref="A52:V52"/>
    <mergeCell ref="B53:C53"/>
    <mergeCell ref="D53:E53"/>
    <mergeCell ref="F53:K53"/>
    <mergeCell ref="L53:N53"/>
    <mergeCell ref="P53:U53"/>
    <mergeCell ref="B54:C54"/>
    <mergeCell ref="D54:E54"/>
    <mergeCell ref="F54:K54"/>
    <mergeCell ref="L54:N54"/>
    <mergeCell ref="P54:U54"/>
    <mergeCell ref="B55:C55"/>
    <mergeCell ref="D55:E55"/>
    <mergeCell ref="F55:K55"/>
    <mergeCell ref="L55:N55"/>
    <mergeCell ref="P55:U55"/>
    <mergeCell ref="B56:C56"/>
    <mergeCell ref="D56:E56"/>
    <mergeCell ref="F56:K56"/>
    <mergeCell ref="L56:N56"/>
    <mergeCell ref="P56:U56"/>
    <mergeCell ref="B57:C57"/>
    <mergeCell ref="D57:E57"/>
    <mergeCell ref="F57:K57"/>
    <mergeCell ref="L57:N57"/>
    <mergeCell ref="P57:U57"/>
    <mergeCell ref="A59:V59"/>
    <mergeCell ref="B60:C60"/>
    <mergeCell ref="H60:I60"/>
    <mergeCell ref="J60:U60"/>
    <mergeCell ref="B61:C61"/>
    <mergeCell ref="H61:I61"/>
    <mergeCell ref="J61:U61"/>
    <mergeCell ref="B62:C62"/>
    <mergeCell ref="H62:I62"/>
    <mergeCell ref="J62:U62"/>
    <mergeCell ref="A64:V64"/>
    <mergeCell ref="A65:V65"/>
    <mergeCell ref="A66:V66"/>
    <mergeCell ref="A67:V67"/>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4"/>
    <col collapsed="false" customWidth="true" hidden="false" outlineLevel="0" max="3" min="3" style="0" width="26"/>
    <col collapsed="false" customWidth="true" hidden="false" outlineLevel="0" max="4" min="4" style="0" width="80"/>
    <col collapsed="false" customWidth="true" hidden="false" outlineLevel="0" max="5" min="5" style="0" width="10"/>
  </cols>
  <sheetData>
    <row r="1" customFormat="false" ht="18.55" hidden="false" customHeight="false" outlineLevel="0" collapsed="false">
      <c r="A1" s="1" t="s">
        <v>2050</v>
      </c>
    </row>
    <row r="2" customFormat="false" ht="15" hidden="false" customHeight="false" outlineLevel="0" collapsed="false">
      <c r="A2" s="2" t="s">
        <v>2051</v>
      </c>
    </row>
    <row r="4" customFormat="false" ht="15" hidden="false" customHeight="false" outlineLevel="0" collapsed="false">
      <c r="A4" s="8" t="s">
        <v>69</v>
      </c>
      <c r="B4" s="8" t="s">
        <v>2052</v>
      </c>
      <c r="C4" s="8" t="s">
        <v>2053</v>
      </c>
      <c r="D4" s="8" t="s">
        <v>2054</v>
      </c>
      <c r="E4" s="8" t="s">
        <v>2055</v>
      </c>
    </row>
    <row r="5" customFormat="false" ht="27.75" hidden="false" customHeight="true" outlineLevel="0" collapsed="false">
      <c r="A5" s="10" t="s">
        <v>90</v>
      </c>
      <c r="B5" s="5" t="s">
        <v>2056</v>
      </c>
      <c r="C5" s="5" t="s">
        <v>2057</v>
      </c>
      <c r="D5" s="5" t="s">
        <v>2058</v>
      </c>
      <c r="E5" s="5" t="s">
        <v>2059</v>
      </c>
    </row>
    <row r="6" customFormat="false" ht="15" hidden="false" customHeight="true" outlineLevel="0" collapsed="false">
      <c r="A6" s="10" t="s">
        <v>90</v>
      </c>
      <c r="B6" s="5" t="s">
        <v>2060</v>
      </c>
      <c r="C6" s="5" t="s">
        <v>2061</v>
      </c>
      <c r="D6" s="5" t="s">
        <v>2062</v>
      </c>
      <c r="E6" s="5" t="s">
        <v>2063</v>
      </c>
    </row>
    <row r="7" customFormat="false" ht="15" hidden="false" customHeight="true" outlineLevel="0" collapsed="false">
      <c r="A7" s="10" t="s">
        <v>90</v>
      </c>
      <c r="B7" s="5" t="s">
        <v>2064</v>
      </c>
      <c r="C7" s="5" t="s">
        <v>2065</v>
      </c>
      <c r="D7" s="5" t="s">
        <v>2066</v>
      </c>
      <c r="E7" s="5" t="s">
        <v>2059</v>
      </c>
    </row>
    <row r="8" customFormat="false" ht="15" hidden="false" customHeight="true" outlineLevel="0" collapsed="false">
      <c r="A8" s="10" t="s">
        <v>90</v>
      </c>
      <c r="B8" s="5" t="s">
        <v>2067</v>
      </c>
      <c r="C8" s="5" t="s">
        <v>2068</v>
      </c>
      <c r="D8" s="5" t="s">
        <v>2069</v>
      </c>
      <c r="E8" s="5" t="s">
        <v>2059</v>
      </c>
    </row>
    <row r="9" customFormat="false" ht="27.75" hidden="false" customHeight="true" outlineLevel="0" collapsed="false">
      <c r="A9" s="10" t="s">
        <v>92</v>
      </c>
      <c r="B9" s="5" t="s">
        <v>2070</v>
      </c>
      <c r="C9" s="5" t="s">
        <v>2071</v>
      </c>
      <c r="D9" s="5" t="s">
        <v>2072</v>
      </c>
      <c r="E9" s="5" t="s">
        <v>2059</v>
      </c>
    </row>
    <row r="10" customFormat="false" ht="15" hidden="false" customHeight="true" outlineLevel="0" collapsed="false">
      <c r="A10" s="10" t="s">
        <v>92</v>
      </c>
      <c r="B10" s="5" t="s">
        <v>2073</v>
      </c>
      <c r="C10" s="5" t="s">
        <v>2074</v>
      </c>
      <c r="D10" s="5" t="s">
        <v>2075</v>
      </c>
      <c r="E10" s="5" t="s">
        <v>2063</v>
      </c>
    </row>
    <row r="11" customFormat="false" ht="15" hidden="false" customHeight="true" outlineLevel="0" collapsed="false">
      <c r="A11" s="10" t="s">
        <v>93</v>
      </c>
      <c r="B11" s="5" t="s">
        <v>2076</v>
      </c>
      <c r="C11" s="5" t="s">
        <v>2077</v>
      </c>
      <c r="D11" s="5" t="s">
        <v>2078</v>
      </c>
      <c r="E11" s="5" t="s">
        <v>2063</v>
      </c>
    </row>
    <row r="12" customFormat="false" ht="27.75" hidden="false" customHeight="true" outlineLevel="0" collapsed="false">
      <c r="A12" s="10" t="s">
        <v>93</v>
      </c>
      <c r="B12" s="5" t="s">
        <v>2079</v>
      </c>
      <c r="C12" s="5" t="s">
        <v>2080</v>
      </c>
      <c r="D12" s="5" t="s">
        <v>2081</v>
      </c>
      <c r="E12" s="5" t="s">
        <v>2059</v>
      </c>
    </row>
    <row r="13" customFormat="false" ht="15" hidden="false" customHeight="true" outlineLevel="0" collapsed="false">
      <c r="A13" s="10" t="s">
        <v>93</v>
      </c>
      <c r="B13" s="5" t="s">
        <v>2082</v>
      </c>
      <c r="C13" s="5" t="s">
        <v>2083</v>
      </c>
      <c r="D13" s="5" t="s">
        <v>2084</v>
      </c>
      <c r="E13" s="5" t="s">
        <v>2059</v>
      </c>
    </row>
    <row r="14" customFormat="false" ht="15" hidden="false" customHeight="true" outlineLevel="0" collapsed="false">
      <c r="A14" s="10" t="s">
        <v>94</v>
      </c>
      <c r="B14" s="5" t="s">
        <v>2085</v>
      </c>
      <c r="C14" s="5" t="s">
        <v>2086</v>
      </c>
      <c r="D14" s="5" t="s">
        <v>2087</v>
      </c>
      <c r="E14" s="5" t="s">
        <v>2063</v>
      </c>
    </row>
    <row r="15" customFormat="false" ht="27.75" hidden="false" customHeight="true" outlineLevel="0" collapsed="false">
      <c r="A15" s="10" t="s">
        <v>94</v>
      </c>
      <c r="B15" s="5" t="s">
        <v>2088</v>
      </c>
      <c r="C15" s="5" t="s">
        <v>2080</v>
      </c>
      <c r="D15" s="5" t="s">
        <v>2089</v>
      </c>
      <c r="E15" s="5" t="s">
        <v>2063</v>
      </c>
    </row>
    <row r="16" customFormat="false" ht="27.75" hidden="false" customHeight="true" outlineLevel="0" collapsed="false">
      <c r="A16" s="10" t="s">
        <v>95</v>
      </c>
      <c r="B16" s="5" t="s">
        <v>2090</v>
      </c>
      <c r="C16" s="5" t="s">
        <v>2083</v>
      </c>
      <c r="D16" s="5" t="s">
        <v>2091</v>
      </c>
      <c r="E16" s="5" t="s">
        <v>2063</v>
      </c>
    </row>
    <row r="17" customFormat="false" ht="15" hidden="false" customHeight="true" outlineLevel="0" collapsed="false">
      <c r="A17" s="10" t="s">
        <v>97</v>
      </c>
      <c r="B17" s="5" t="s">
        <v>2092</v>
      </c>
      <c r="C17" s="5" t="s">
        <v>2093</v>
      </c>
      <c r="D17" s="5" t="s">
        <v>2094</v>
      </c>
      <c r="E17" s="5" t="s">
        <v>2063</v>
      </c>
    </row>
    <row r="18" customFormat="false" ht="27.75" hidden="false" customHeight="true" outlineLevel="0" collapsed="false">
      <c r="A18" s="10" t="s">
        <v>97</v>
      </c>
      <c r="B18" s="5" t="s">
        <v>2095</v>
      </c>
      <c r="C18" s="5" t="s">
        <v>2080</v>
      </c>
      <c r="D18" s="5" t="s">
        <v>2096</v>
      </c>
      <c r="E18" s="5" t="s">
        <v>2059</v>
      </c>
    </row>
    <row r="19" customFormat="false" ht="15" hidden="false" customHeight="true" outlineLevel="0" collapsed="false">
      <c r="A19" s="10" t="s">
        <v>98</v>
      </c>
      <c r="B19" s="5" t="s">
        <v>2070</v>
      </c>
      <c r="C19" s="5" t="s">
        <v>2097</v>
      </c>
      <c r="D19" s="5" t="s">
        <v>2098</v>
      </c>
      <c r="E19" s="5" t="s">
        <v>2063</v>
      </c>
    </row>
    <row r="20" customFormat="false" ht="15" hidden="false" customHeight="true" outlineLevel="0" collapsed="false">
      <c r="A20" s="10" t="s">
        <v>98</v>
      </c>
      <c r="B20" s="5" t="s">
        <v>2060</v>
      </c>
      <c r="C20" s="5" t="s">
        <v>2083</v>
      </c>
      <c r="D20" s="5" t="s">
        <v>2099</v>
      </c>
      <c r="E20" s="5" t="s">
        <v>2059</v>
      </c>
    </row>
    <row r="21" customFormat="false" ht="15" hidden="false" customHeight="true" outlineLevel="0" collapsed="false">
      <c r="A21" s="10" t="s">
        <v>100</v>
      </c>
      <c r="B21" s="5" t="s">
        <v>2100</v>
      </c>
      <c r="C21" s="5" t="s">
        <v>2101</v>
      </c>
      <c r="D21" s="5" t="s">
        <v>2102</v>
      </c>
      <c r="E21" s="5" t="s">
        <v>2063</v>
      </c>
    </row>
    <row r="22" customFormat="false" ht="15" hidden="false" customHeight="true" outlineLevel="0" collapsed="false">
      <c r="A22" s="10" t="s">
        <v>101</v>
      </c>
      <c r="B22" s="5" t="s">
        <v>2103</v>
      </c>
      <c r="C22" s="5" t="s">
        <v>2104</v>
      </c>
      <c r="D22" s="5" t="s">
        <v>2105</v>
      </c>
      <c r="E22" s="5" t="s">
        <v>2063</v>
      </c>
    </row>
    <row r="23" customFormat="false" ht="15" hidden="false" customHeight="true" outlineLevel="0" collapsed="false">
      <c r="A23" s="10" t="s">
        <v>103</v>
      </c>
      <c r="B23" s="5" t="s">
        <v>2070</v>
      </c>
      <c r="C23" s="5" t="s">
        <v>2106</v>
      </c>
      <c r="D23" s="5" t="s">
        <v>2107</v>
      </c>
      <c r="E23" s="5" t="s">
        <v>2063</v>
      </c>
    </row>
    <row r="24" customFormat="false" ht="15" hidden="false" customHeight="true" outlineLevel="0" collapsed="false">
      <c r="A24" s="10" t="s">
        <v>103</v>
      </c>
      <c r="B24" s="5" t="s">
        <v>2108</v>
      </c>
      <c r="C24" s="5" t="s">
        <v>301</v>
      </c>
      <c r="D24" s="5" t="s">
        <v>2109</v>
      </c>
      <c r="E24" s="5" t="s">
        <v>2110</v>
      </c>
    </row>
    <row r="25" customFormat="false" ht="27.75" hidden="false" customHeight="true" outlineLevel="0" collapsed="false">
      <c r="A25" s="10" t="s">
        <v>104</v>
      </c>
      <c r="B25" s="5" t="s">
        <v>2111</v>
      </c>
      <c r="C25" s="5" t="s">
        <v>2112</v>
      </c>
      <c r="D25" s="5" t="s">
        <v>2113</v>
      </c>
      <c r="E25" s="5" t="s">
        <v>2059</v>
      </c>
    </row>
    <row r="26" customFormat="false" ht="27.75" hidden="false" customHeight="true" outlineLevel="0" collapsed="false">
      <c r="A26" s="10" t="s">
        <v>106</v>
      </c>
      <c r="B26" s="5" t="s">
        <v>2114</v>
      </c>
      <c r="C26" s="5" t="s">
        <v>2115</v>
      </c>
      <c r="D26" s="5" t="s">
        <v>2116</v>
      </c>
      <c r="E26" s="5" t="s">
        <v>2063</v>
      </c>
    </row>
    <row r="27" customFormat="false" ht="27.75" hidden="false" customHeight="true" outlineLevel="0" collapsed="false">
      <c r="A27" s="10" t="s">
        <v>1024</v>
      </c>
      <c r="B27" s="5" t="s">
        <v>2117</v>
      </c>
      <c r="C27" s="5" t="s">
        <v>2118</v>
      </c>
      <c r="D27" s="5" t="s">
        <v>2119</v>
      </c>
      <c r="E27" s="5" t="s">
        <v>2059</v>
      </c>
    </row>
  </sheetData>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70"/>
    <col collapsed="false" customWidth="true" hidden="false" outlineLevel="0" max="4" min="4" style="0" width="26"/>
    <col collapsed="false" customWidth="true" hidden="false" outlineLevel="0" max="5" min="5" style="0" width="12"/>
    <col collapsed="false" customWidth="true" hidden="false" outlineLevel="0" max="6" min="6" style="0" width="6"/>
    <col collapsed="false" customWidth="true" hidden="false" outlineLevel="0" max="7" min="7" style="0" width="70"/>
  </cols>
  <sheetData>
    <row r="1" customFormat="false" ht="18.55" hidden="false" customHeight="false" outlineLevel="0" collapsed="false">
      <c r="A1" s="1" t="s">
        <v>2120</v>
      </c>
    </row>
    <row r="2" customFormat="false" ht="15" hidden="false" customHeight="false" outlineLevel="0" collapsed="false">
      <c r="A2" s="2" t="s">
        <v>2121</v>
      </c>
    </row>
    <row r="4" customFormat="false" ht="15" hidden="false" customHeight="false" outlineLevel="0" collapsed="false">
      <c r="A4" s="8" t="s">
        <v>2122</v>
      </c>
      <c r="B4" s="8" t="s">
        <v>69</v>
      </c>
      <c r="C4" s="8" t="s">
        <v>2123</v>
      </c>
      <c r="D4" s="8" t="s">
        <v>2124</v>
      </c>
      <c r="E4" s="8" t="s">
        <v>318</v>
      </c>
      <c r="F4" s="8" t="s">
        <v>472</v>
      </c>
      <c r="G4" s="8" t="s">
        <v>2125</v>
      </c>
    </row>
    <row r="5" customFormat="false" ht="27.75" hidden="false" customHeight="true" outlineLevel="0" collapsed="false">
      <c r="A5" s="10" t="s">
        <v>2126</v>
      </c>
      <c r="B5" s="5" t="s">
        <v>90</v>
      </c>
      <c r="C5" s="5" t="s">
        <v>2127</v>
      </c>
      <c r="D5" s="5" t="s">
        <v>2128</v>
      </c>
      <c r="E5" s="5" t="s">
        <v>345</v>
      </c>
      <c r="F5" s="5" t="s">
        <v>47</v>
      </c>
      <c r="G5" s="37" t="s">
        <v>2129</v>
      </c>
    </row>
    <row r="6" customFormat="false" ht="27.75" hidden="false" customHeight="true" outlineLevel="0" collapsed="false">
      <c r="A6" s="10" t="s">
        <v>2130</v>
      </c>
      <c r="B6" s="5" t="s">
        <v>90</v>
      </c>
      <c r="C6" s="5" t="s">
        <v>2131</v>
      </c>
      <c r="D6" s="5" t="s">
        <v>2128</v>
      </c>
      <c r="E6" s="5" t="s">
        <v>2132</v>
      </c>
      <c r="F6" s="5" t="s">
        <v>47</v>
      </c>
      <c r="G6" s="37" t="s">
        <v>2133</v>
      </c>
    </row>
    <row r="7" customFormat="false" ht="27.75" hidden="false" customHeight="true" outlineLevel="0" collapsed="false">
      <c r="A7" s="10" t="s">
        <v>203</v>
      </c>
      <c r="B7" s="5" t="s">
        <v>90</v>
      </c>
      <c r="C7" s="5" t="s">
        <v>2134</v>
      </c>
      <c r="D7" s="5" t="s">
        <v>2128</v>
      </c>
      <c r="E7" s="5" t="s">
        <v>352</v>
      </c>
      <c r="F7" s="5" t="s">
        <v>47</v>
      </c>
      <c r="G7" s="37" t="s">
        <v>2135</v>
      </c>
    </row>
    <row r="8" customFormat="false" ht="27.75" hidden="false" customHeight="true" outlineLevel="0" collapsed="false">
      <c r="A8" s="10" t="s">
        <v>2136</v>
      </c>
      <c r="B8" s="5" t="s">
        <v>90</v>
      </c>
      <c r="C8" s="5" t="s">
        <v>2137</v>
      </c>
      <c r="D8" s="5" t="s">
        <v>2138</v>
      </c>
      <c r="E8" s="5" t="s">
        <v>995</v>
      </c>
      <c r="F8" s="5" t="s">
        <v>45</v>
      </c>
      <c r="G8" s="37" t="s">
        <v>2139</v>
      </c>
    </row>
    <row r="9" customFormat="false" ht="27.75" hidden="false" customHeight="true" outlineLevel="0" collapsed="false">
      <c r="A9" s="10" t="s">
        <v>331</v>
      </c>
      <c r="B9" s="5" t="s">
        <v>90</v>
      </c>
      <c r="C9" s="5" t="s">
        <v>2140</v>
      </c>
      <c r="D9" s="5" t="s">
        <v>2141</v>
      </c>
      <c r="E9" s="5" t="s">
        <v>2142</v>
      </c>
      <c r="F9" s="5" t="s">
        <v>47</v>
      </c>
      <c r="G9" s="37" t="s">
        <v>2143</v>
      </c>
    </row>
    <row r="10" customFormat="false" ht="27.75" hidden="false" customHeight="true" outlineLevel="0" collapsed="false">
      <c r="A10" s="10" t="s">
        <v>2144</v>
      </c>
      <c r="B10" s="5" t="s">
        <v>90</v>
      </c>
      <c r="C10" s="5" t="s">
        <v>2145</v>
      </c>
      <c r="D10" s="5" t="s">
        <v>2141</v>
      </c>
      <c r="E10" s="5" t="s">
        <v>2146</v>
      </c>
      <c r="F10" s="5" t="s">
        <v>47</v>
      </c>
      <c r="G10" s="37" t="s">
        <v>2147</v>
      </c>
    </row>
    <row r="11" customFormat="false" ht="27.75" hidden="false" customHeight="true" outlineLevel="0" collapsed="false">
      <c r="A11" s="10" t="s">
        <v>2148</v>
      </c>
      <c r="B11" s="5" t="s">
        <v>90</v>
      </c>
      <c r="C11" s="5" t="s">
        <v>2149</v>
      </c>
      <c r="D11" s="5" t="s">
        <v>2150</v>
      </c>
      <c r="E11" s="5" t="s">
        <v>2151</v>
      </c>
      <c r="F11" s="5" t="s">
        <v>49</v>
      </c>
      <c r="G11" s="37" t="s">
        <v>2152</v>
      </c>
    </row>
    <row r="12" customFormat="false" ht="27.75" hidden="false" customHeight="true" outlineLevel="0" collapsed="false">
      <c r="A12" s="10" t="s">
        <v>2153</v>
      </c>
      <c r="B12" s="5" t="s">
        <v>90</v>
      </c>
      <c r="C12" s="5" t="s">
        <v>2154</v>
      </c>
      <c r="D12" s="5" t="s">
        <v>2155</v>
      </c>
      <c r="E12" s="5" t="s">
        <v>2156</v>
      </c>
      <c r="F12" s="5" t="s">
        <v>49</v>
      </c>
      <c r="G12" s="37" t="s">
        <v>2157</v>
      </c>
    </row>
    <row r="13" customFormat="false" ht="27.75" hidden="false" customHeight="true" outlineLevel="0" collapsed="false">
      <c r="A13" s="10" t="s">
        <v>2158</v>
      </c>
      <c r="B13" s="5" t="s">
        <v>90</v>
      </c>
      <c r="C13" s="5" t="s">
        <v>2159</v>
      </c>
      <c r="D13" s="5" t="s">
        <v>2155</v>
      </c>
      <c r="E13" s="5" t="s">
        <v>377</v>
      </c>
      <c r="F13" s="5" t="s">
        <v>49</v>
      </c>
      <c r="G13" s="37" t="s">
        <v>2160</v>
      </c>
    </row>
    <row r="14" customFormat="false" ht="27.75" hidden="false" customHeight="true" outlineLevel="0" collapsed="false">
      <c r="A14" s="10" t="s">
        <v>211</v>
      </c>
      <c r="B14" s="5" t="s">
        <v>90</v>
      </c>
      <c r="C14" s="5" t="s">
        <v>2161</v>
      </c>
      <c r="D14" s="5" t="s">
        <v>2162</v>
      </c>
      <c r="E14" s="5" t="s">
        <v>2163</v>
      </c>
      <c r="F14" s="5" t="s">
        <v>47</v>
      </c>
      <c r="G14" s="37" t="s">
        <v>2164</v>
      </c>
    </row>
    <row r="15" customFormat="false" ht="27.75" hidden="false" customHeight="true" outlineLevel="0" collapsed="false">
      <c r="A15" s="10" t="s">
        <v>401</v>
      </c>
      <c r="B15" s="5" t="s">
        <v>90</v>
      </c>
      <c r="C15" s="5" t="s">
        <v>2165</v>
      </c>
      <c r="D15" s="5" t="s">
        <v>2141</v>
      </c>
      <c r="E15" s="5" t="s">
        <v>2166</v>
      </c>
      <c r="F15" s="5" t="s">
        <v>47</v>
      </c>
      <c r="G15" s="37" t="s">
        <v>2167</v>
      </c>
    </row>
    <row r="16" customFormat="false" ht="27.75" hidden="false" customHeight="true" outlineLevel="0" collapsed="false">
      <c r="A16" s="10" t="s">
        <v>2168</v>
      </c>
      <c r="B16" s="5" t="s">
        <v>90</v>
      </c>
      <c r="C16" s="5" t="s">
        <v>2169</v>
      </c>
      <c r="D16" s="5" t="s">
        <v>2170</v>
      </c>
      <c r="E16" s="5" t="s">
        <v>2171</v>
      </c>
      <c r="F16" s="5" t="s">
        <v>49</v>
      </c>
      <c r="G16" s="37" t="s">
        <v>2172</v>
      </c>
    </row>
    <row r="17" customFormat="false" ht="27.75" hidden="false" customHeight="true" outlineLevel="0" collapsed="false">
      <c r="A17" s="10" t="s">
        <v>204</v>
      </c>
      <c r="B17" s="5" t="s">
        <v>90</v>
      </c>
      <c r="C17" s="5" t="s">
        <v>2173</v>
      </c>
      <c r="D17" s="5" t="s">
        <v>2174</v>
      </c>
      <c r="E17" s="5" t="s">
        <v>403</v>
      </c>
      <c r="F17" s="5" t="s">
        <v>47</v>
      </c>
      <c r="G17" s="37" t="s">
        <v>2175</v>
      </c>
    </row>
    <row r="18" customFormat="false" ht="27.75" hidden="false" customHeight="true" outlineLevel="0" collapsed="false">
      <c r="A18" s="10" t="s">
        <v>2176</v>
      </c>
      <c r="B18" s="5" t="s">
        <v>90</v>
      </c>
      <c r="C18" s="5" t="s">
        <v>2177</v>
      </c>
      <c r="D18" s="5" t="s">
        <v>2128</v>
      </c>
      <c r="E18" s="5" t="s">
        <v>409</v>
      </c>
      <c r="F18" s="5" t="s">
        <v>47</v>
      </c>
      <c r="G18" s="37" t="s">
        <v>2178</v>
      </c>
    </row>
    <row r="19" customFormat="false" ht="27.75" hidden="false" customHeight="true" outlineLevel="0" collapsed="false">
      <c r="A19" s="10" t="s">
        <v>2179</v>
      </c>
      <c r="B19" s="5" t="s">
        <v>90</v>
      </c>
      <c r="C19" s="5" t="s">
        <v>2180</v>
      </c>
      <c r="D19" s="5" t="s">
        <v>2141</v>
      </c>
      <c r="E19" s="5" t="s">
        <v>409</v>
      </c>
      <c r="F19" s="5" t="s">
        <v>47</v>
      </c>
      <c r="G19" s="37" t="s">
        <v>2181</v>
      </c>
    </row>
    <row r="20" customFormat="false" ht="27.75" hidden="false" customHeight="true" outlineLevel="0" collapsed="false">
      <c r="A20" s="10" t="s">
        <v>2182</v>
      </c>
      <c r="B20" s="5" t="s">
        <v>90</v>
      </c>
      <c r="C20" s="5" t="s">
        <v>2183</v>
      </c>
      <c r="D20" s="5" t="s">
        <v>2184</v>
      </c>
      <c r="E20" s="5" t="s">
        <v>303</v>
      </c>
      <c r="F20" s="5" t="s">
        <v>49</v>
      </c>
      <c r="G20" s="37" t="s">
        <v>2185</v>
      </c>
    </row>
    <row r="21" customFormat="false" ht="27.75" hidden="false" customHeight="true" outlineLevel="0" collapsed="false">
      <c r="A21" s="10" t="s">
        <v>2186</v>
      </c>
      <c r="B21" s="5" t="s">
        <v>90</v>
      </c>
      <c r="C21" s="5" t="s">
        <v>2187</v>
      </c>
      <c r="D21" s="5" t="s">
        <v>2188</v>
      </c>
      <c r="E21" s="5" t="s">
        <v>2189</v>
      </c>
      <c r="F21" s="5" t="s">
        <v>45</v>
      </c>
      <c r="G21" s="37" t="s">
        <v>2190</v>
      </c>
    </row>
    <row r="22" customFormat="false" ht="27.75" hidden="false" customHeight="true" outlineLevel="0" collapsed="false">
      <c r="A22" s="10" t="s">
        <v>2191</v>
      </c>
      <c r="B22" s="5" t="s">
        <v>90</v>
      </c>
      <c r="C22" s="5" t="s">
        <v>2192</v>
      </c>
      <c r="D22" s="5" t="s">
        <v>2193</v>
      </c>
      <c r="E22" s="5" t="s">
        <v>2194</v>
      </c>
      <c r="F22" s="5" t="s">
        <v>49</v>
      </c>
      <c r="G22" s="37" t="s">
        <v>2195</v>
      </c>
    </row>
    <row r="23" customFormat="false" ht="15" hidden="false" customHeight="true" outlineLevel="0" collapsed="false">
      <c r="A23" s="10" t="s">
        <v>2196</v>
      </c>
      <c r="B23" s="5" t="s">
        <v>90</v>
      </c>
      <c r="C23" s="5" t="s">
        <v>2197</v>
      </c>
      <c r="D23" s="5" t="s">
        <v>2198</v>
      </c>
      <c r="E23" s="5" t="s">
        <v>2199</v>
      </c>
      <c r="F23" s="5" t="s">
        <v>49</v>
      </c>
      <c r="G23" s="37" t="s">
        <v>2200</v>
      </c>
    </row>
    <row r="24" customFormat="false" ht="27.75" hidden="false" customHeight="true" outlineLevel="0" collapsed="false">
      <c r="A24" s="10" t="s">
        <v>428</v>
      </c>
      <c r="B24" s="5" t="s">
        <v>90</v>
      </c>
      <c r="C24" s="5" t="s">
        <v>2201</v>
      </c>
      <c r="D24" s="5" t="s">
        <v>2202</v>
      </c>
      <c r="E24" s="5" t="s">
        <v>294</v>
      </c>
      <c r="F24" s="5" t="s">
        <v>47</v>
      </c>
      <c r="G24" s="37" t="s">
        <v>2203</v>
      </c>
    </row>
    <row r="25" customFormat="false" ht="27.75" hidden="false" customHeight="true" outlineLevel="0" collapsed="false">
      <c r="A25" s="10" t="s">
        <v>432</v>
      </c>
      <c r="B25" s="5" t="s">
        <v>90</v>
      </c>
      <c r="C25" s="5" t="s">
        <v>2204</v>
      </c>
      <c r="D25" s="5" t="s">
        <v>2205</v>
      </c>
      <c r="E25" s="5" t="s">
        <v>154</v>
      </c>
      <c r="F25" s="5" t="s">
        <v>45</v>
      </c>
      <c r="G25" s="37" t="s">
        <v>2206</v>
      </c>
    </row>
    <row r="26" customFormat="false" ht="27.75" hidden="false" customHeight="true" outlineLevel="0" collapsed="false">
      <c r="A26" s="10" t="s">
        <v>2207</v>
      </c>
      <c r="B26" s="5" t="s">
        <v>90</v>
      </c>
      <c r="C26" s="5" t="s">
        <v>2208</v>
      </c>
      <c r="D26" s="5" t="s">
        <v>2209</v>
      </c>
      <c r="E26" s="5" t="s">
        <v>2210</v>
      </c>
      <c r="F26" s="5" t="s">
        <v>45</v>
      </c>
      <c r="G26" s="37" t="s">
        <v>2211</v>
      </c>
    </row>
    <row r="27" customFormat="false" ht="27.75" hidden="false" customHeight="true" outlineLevel="0" collapsed="false">
      <c r="A27" s="10" t="s">
        <v>2212</v>
      </c>
      <c r="B27" s="5" t="s">
        <v>90</v>
      </c>
      <c r="C27" s="5" t="s">
        <v>2213</v>
      </c>
      <c r="D27" s="5" t="s">
        <v>2184</v>
      </c>
      <c r="E27" s="5" t="s">
        <v>2214</v>
      </c>
      <c r="F27" s="5" t="s">
        <v>49</v>
      </c>
      <c r="G27" s="37" t="s">
        <v>2215</v>
      </c>
    </row>
    <row r="28" customFormat="false" ht="15" hidden="false" customHeight="true" outlineLevel="0" collapsed="false">
      <c r="A28" s="10" t="s">
        <v>343</v>
      </c>
      <c r="B28" s="5" t="s">
        <v>90</v>
      </c>
      <c r="C28" s="5" t="s">
        <v>2216</v>
      </c>
      <c r="D28" s="5" t="s">
        <v>2217</v>
      </c>
      <c r="E28" s="5" t="s">
        <v>2218</v>
      </c>
      <c r="F28" s="5" t="s">
        <v>51</v>
      </c>
      <c r="G28" s="37" t="s">
        <v>2219</v>
      </c>
    </row>
    <row r="29" customFormat="false" ht="27.75" hidden="false" customHeight="true" outlineLevel="0" collapsed="false">
      <c r="A29" s="10" t="s">
        <v>2220</v>
      </c>
      <c r="B29" s="5" t="s">
        <v>90</v>
      </c>
      <c r="C29" s="5" t="s">
        <v>2221</v>
      </c>
      <c r="D29" s="5" t="s">
        <v>2222</v>
      </c>
      <c r="E29" s="5" t="s">
        <v>2214</v>
      </c>
      <c r="F29" s="5" t="s">
        <v>49</v>
      </c>
      <c r="G29" s="37" t="s">
        <v>2223</v>
      </c>
    </row>
    <row r="30" customFormat="false" ht="27.75" hidden="false" customHeight="true" outlineLevel="0" collapsed="false">
      <c r="A30" s="10" t="s">
        <v>389</v>
      </c>
      <c r="B30" s="5" t="s">
        <v>90</v>
      </c>
      <c r="C30" s="5" t="s">
        <v>2224</v>
      </c>
      <c r="D30" s="5" t="s">
        <v>2225</v>
      </c>
      <c r="E30" s="5" t="s">
        <v>385</v>
      </c>
      <c r="F30" s="5" t="s">
        <v>49</v>
      </c>
      <c r="G30" s="37" t="s">
        <v>2226</v>
      </c>
    </row>
    <row r="31" customFormat="false" ht="27.75" hidden="false" customHeight="true" outlineLevel="0" collapsed="false">
      <c r="A31" s="10" t="s">
        <v>2227</v>
      </c>
      <c r="B31" s="5" t="s">
        <v>90</v>
      </c>
      <c r="C31" s="5" t="s">
        <v>2228</v>
      </c>
      <c r="D31" s="5" t="s">
        <v>2155</v>
      </c>
      <c r="E31" s="5" t="s">
        <v>2229</v>
      </c>
      <c r="F31" s="5" t="s">
        <v>49</v>
      </c>
      <c r="G31" s="37" t="s">
        <v>2230</v>
      </c>
    </row>
    <row r="32" customFormat="false" ht="27.75" hidden="false" customHeight="true" outlineLevel="0" collapsed="false">
      <c r="A32" s="10" t="s">
        <v>2231</v>
      </c>
      <c r="B32" s="5" t="s">
        <v>90</v>
      </c>
      <c r="C32" s="5" t="s">
        <v>2232</v>
      </c>
      <c r="D32" s="5" t="s">
        <v>2233</v>
      </c>
      <c r="E32" s="5" t="s">
        <v>2234</v>
      </c>
      <c r="F32" s="5" t="s">
        <v>49</v>
      </c>
      <c r="G32" s="37" t="s">
        <v>2235</v>
      </c>
    </row>
    <row r="33" customFormat="false" ht="27.75" hidden="false" customHeight="true" outlineLevel="0" collapsed="false">
      <c r="A33" s="10" t="s">
        <v>2236</v>
      </c>
      <c r="B33" s="5" t="s">
        <v>90</v>
      </c>
      <c r="C33" s="5" t="s">
        <v>2237</v>
      </c>
      <c r="D33" s="5" t="s">
        <v>2155</v>
      </c>
      <c r="E33" s="5" t="s">
        <v>2238</v>
      </c>
      <c r="F33" s="5" t="s">
        <v>49</v>
      </c>
      <c r="G33" s="37" t="s">
        <v>2239</v>
      </c>
    </row>
    <row r="34" customFormat="false" ht="15" hidden="false" customHeight="true" outlineLevel="0" collapsed="false">
      <c r="A34" s="10" t="s">
        <v>202</v>
      </c>
      <c r="B34" s="5" t="s">
        <v>90</v>
      </c>
      <c r="C34" s="5" t="s">
        <v>2240</v>
      </c>
      <c r="D34" s="5" t="s">
        <v>2241</v>
      </c>
      <c r="E34" s="5" t="s">
        <v>1298</v>
      </c>
      <c r="F34" s="5" t="s">
        <v>49</v>
      </c>
      <c r="G34" s="37" t="s">
        <v>2242</v>
      </c>
    </row>
    <row r="35" customFormat="false" ht="27.75" hidden="false" customHeight="true" outlineLevel="0" collapsed="false">
      <c r="A35" s="10" t="s">
        <v>2243</v>
      </c>
      <c r="B35" s="5" t="s">
        <v>2244</v>
      </c>
      <c r="C35" s="5" t="s">
        <v>2245</v>
      </c>
      <c r="D35" s="5" t="s">
        <v>2246</v>
      </c>
      <c r="E35" s="5" t="s">
        <v>570</v>
      </c>
      <c r="F35" s="5" t="s">
        <v>47</v>
      </c>
      <c r="G35" s="37" t="s">
        <v>2247</v>
      </c>
    </row>
    <row r="36" customFormat="false" ht="27.75" hidden="false" customHeight="true" outlineLevel="0" collapsed="false">
      <c r="A36" s="10" t="s">
        <v>593</v>
      </c>
      <c r="B36" s="5" t="s">
        <v>2244</v>
      </c>
      <c r="C36" s="5" t="s">
        <v>2248</v>
      </c>
      <c r="D36" s="5" t="s">
        <v>2249</v>
      </c>
      <c r="E36" s="5" t="s">
        <v>2250</v>
      </c>
      <c r="F36" s="5" t="s">
        <v>49</v>
      </c>
      <c r="G36" s="37" t="s">
        <v>2251</v>
      </c>
    </row>
    <row r="37" customFormat="false" ht="15" hidden="false" customHeight="true" outlineLevel="0" collapsed="false">
      <c r="A37" s="10" t="s">
        <v>603</v>
      </c>
      <c r="B37" s="5" t="s">
        <v>2244</v>
      </c>
      <c r="C37" s="5" t="s">
        <v>2252</v>
      </c>
      <c r="D37" s="5" t="s">
        <v>2150</v>
      </c>
      <c r="E37" s="5" t="s">
        <v>2253</v>
      </c>
      <c r="F37" s="5" t="s">
        <v>49</v>
      </c>
      <c r="G37" s="37" t="s">
        <v>2254</v>
      </c>
    </row>
    <row r="38" customFormat="false" ht="27.75" hidden="false" customHeight="true" outlineLevel="0" collapsed="false">
      <c r="A38" s="10" t="s">
        <v>525</v>
      </c>
      <c r="B38" s="5" t="s">
        <v>2244</v>
      </c>
      <c r="C38" s="5" t="s">
        <v>2255</v>
      </c>
      <c r="D38" s="5" t="s">
        <v>2256</v>
      </c>
      <c r="E38" s="5" t="s">
        <v>2257</v>
      </c>
      <c r="F38" s="5" t="s">
        <v>49</v>
      </c>
      <c r="G38" s="37" t="s">
        <v>2258</v>
      </c>
    </row>
    <row r="39" customFormat="false" ht="27.75" hidden="false" customHeight="true" outlineLevel="0" collapsed="false">
      <c r="A39" s="10" t="s">
        <v>526</v>
      </c>
      <c r="B39" s="5" t="s">
        <v>2244</v>
      </c>
      <c r="C39" s="5" t="s">
        <v>2259</v>
      </c>
      <c r="D39" s="5" t="s">
        <v>2260</v>
      </c>
      <c r="E39" s="5" t="s">
        <v>2261</v>
      </c>
      <c r="F39" s="5" t="s">
        <v>49</v>
      </c>
      <c r="G39" s="37" t="s">
        <v>2262</v>
      </c>
    </row>
    <row r="40" customFormat="false" ht="27.75" hidden="false" customHeight="true" outlineLevel="0" collapsed="false">
      <c r="A40" s="10" t="s">
        <v>2263</v>
      </c>
      <c r="B40" s="5" t="s">
        <v>2244</v>
      </c>
      <c r="C40" s="5" t="s">
        <v>2264</v>
      </c>
      <c r="D40" s="5" t="s">
        <v>2150</v>
      </c>
      <c r="E40" s="5" t="s">
        <v>2265</v>
      </c>
      <c r="F40" s="5" t="s">
        <v>49</v>
      </c>
      <c r="G40" s="37" t="s">
        <v>2266</v>
      </c>
    </row>
    <row r="41" customFormat="false" ht="27.75" hidden="false" customHeight="true" outlineLevel="0" collapsed="false">
      <c r="A41" s="10" t="s">
        <v>529</v>
      </c>
      <c r="B41" s="5" t="s">
        <v>2244</v>
      </c>
      <c r="C41" s="5" t="s">
        <v>2267</v>
      </c>
      <c r="D41" s="5" t="s">
        <v>2268</v>
      </c>
      <c r="E41" s="5" t="s">
        <v>1749</v>
      </c>
      <c r="F41" s="5" t="s">
        <v>49</v>
      </c>
      <c r="G41" s="37" t="s">
        <v>2269</v>
      </c>
    </row>
    <row r="42" customFormat="false" ht="27.75" hidden="false" customHeight="true" outlineLevel="0" collapsed="false">
      <c r="A42" s="10" t="s">
        <v>2270</v>
      </c>
      <c r="B42" s="5" t="s">
        <v>2244</v>
      </c>
      <c r="C42" s="5" t="s">
        <v>2271</v>
      </c>
      <c r="D42" s="5" t="s">
        <v>2272</v>
      </c>
      <c r="E42" s="5" t="s">
        <v>972</v>
      </c>
      <c r="F42" s="5" t="s">
        <v>45</v>
      </c>
      <c r="G42" s="37" t="s">
        <v>2273</v>
      </c>
    </row>
    <row r="43" customFormat="false" ht="27.75" hidden="false" customHeight="true" outlineLevel="0" collapsed="false">
      <c r="A43" s="10" t="s">
        <v>530</v>
      </c>
      <c r="B43" s="5" t="s">
        <v>2244</v>
      </c>
      <c r="C43" s="5" t="s">
        <v>2274</v>
      </c>
      <c r="D43" s="5" t="s">
        <v>2170</v>
      </c>
      <c r="E43" s="5" t="s">
        <v>629</v>
      </c>
      <c r="F43" s="5" t="s">
        <v>49</v>
      </c>
      <c r="G43" s="37" t="s">
        <v>2275</v>
      </c>
    </row>
    <row r="44" customFormat="false" ht="27.75" hidden="false" customHeight="true" outlineLevel="0" collapsed="false">
      <c r="A44" s="10" t="s">
        <v>2276</v>
      </c>
      <c r="B44" s="5" t="s">
        <v>2244</v>
      </c>
      <c r="C44" s="5" t="s">
        <v>2277</v>
      </c>
      <c r="D44" s="5" t="s">
        <v>2278</v>
      </c>
      <c r="E44" s="5" t="s">
        <v>2279</v>
      </c>
      <c r="F44" s="5" t="s">
        <v>49</v>
      </c>
      <c r="G44" s="37" t="s">
        <v>2280</v>
      </c>
    </row>
    <row r="45" customFormat="false" ht="27.75" hidden="false" customHeight="true" outlineLevel="0" collapsed="false">
      <c r="A45" s="10" t="s">
        <v>533</v>
      </c>
      <c r="B45" s="5" t="s">
        <v>2244</v>
      </c>
      <c r="C45" s="5" t="s">
        <v>2281</v>
      </c>
      <c r="D45" s="5" t="s">
        <v>2282</v>
      </c>
      <c r="E45" s="5" t="s">
        <v>154</v>
      </c>
      <c r="F45" s="5" t="s">
        <v>45</v>
      </c>
      <c r="G45" s="37" t="s">
        <v>2283</v>
      </c>
    </row>
    <row r="46" customFormat="false" ht="27.75" hidden="false" customHeight="true" outlineLevel="0" collapsed="false">
      <c r="A46" s="10" t="s">
        <v>2284</v>
      </c>
      <c r="B46" s="5" t="s">
        <v>2244</v>
      </c>
      <c r="C46" s="5" t="s">
        <v>2285</v>
      </c>
      <c r="D46" s="5" t="s">
        <v>2222</v>
      </c>
      <c r="E46" s="5" t="s">
        <v>586</v>
      </c>
      <c r="F46" s="5" t="s">
        <v>49</v>
      </c>
      <c r="G46" s="37" t="s">
        <v>2286</v>
      </c>
    </row>
    <row r="47" customFormat="false" ht="27.75" hidden="false" customHeight="true" outlineLevel="0" collapsed="false">
      <c r="A47" s="10" t="s">
        <v>2287</v>
      </c>
      <c r="B47" s="5" t="s">
        <v>2244</v>
      </c>
      <c r="C47" s="5" t="s">
        <v>2288</v>
      </c>
      <c r="D47" s="5" t="s">
        <v>2222</v>
      </c>
      <c r="E47" s="5" t="s">
        <v>1701</v>
      </c>
      <c r="F47" s="5" t="s">
        <v>49</v>
      </c>
      <c r="G47" s="37" t="s">
        <v>2289</v>
      </c>
    </row>
    <row r="48" customFormat="false" ht="27.75" hidden="false" customHeight="true" outlineLevel="0" collapsed="false">
      <c r="A48" s="10" t="s">
        <v>2290</v>
      </c>
      <c r="B48" s="5" t="s">
        <v>2244</v>
      </c>
      <c r="C48" s="5" t="s">
        <v>2291</v>
      </c>
      <c r="D48" s="5" t="s">
        <v>2150</v>
      </c>
      <c r="E48" s="5" t="s">
        <v>641</v>
      </c>
      <c r="F48" s="5" t="s">
        <v>49</v>
      </c>
      <c r="G48" s="37" t="s">
        <v>2292</v>
      </c>
    </row>
    <row r="49" customFormat="false" ht="27.75" hidden="false" customHeight="true" outlineLevel="0" collapsed="false">
      <c r="A49" s="10" t="s">
        <v>2293</v>
      </c>
      <c r="B49" s="5" t="s">
        <v>2244</v>
      </c>
      <c r="C49" s="5" t="s">
        <v>2294</v>
      </c>
      <c r="D49" s="5" t="s">
        <v>2295</v>
      </c>
      <c r="E49" s="5" t="s">
        <v>2296</v>
      </c>
      <c r="F49" s="5" t="s">
        <v>49</v>
      </c>
      <c r="G49" s="37" t="s">
        <v>2297</v>
      </c>
    </row>
    <row r="50" customFormat="false" ht="27.75" hidden="false" customHeight="true" outlineLevel="0" collapsed="false">
      <c r="A50" s="10" t="s">
        <v>645</v>
      </c>
      <c r="B50" s="5" t="s">
        <v>2244</v>
      </c>
      <c r="C50" s="5" t="s">
        <v>2298</v>
      </c>
      <c r="D50" s="5" t="s">
        <v>2222</v>
      </c>
      <c r="E50" s="5" t="s">
        <v>2299</v>
      </c>
      <c r="F50" s="5" t="s">
        <v>49</v>
      </c>
      <c r="G50" s="37" t="s">
        <v>2300</v>
      </c>
    </row>
    <row r="51" customFormat="false" ht="27.75" hidden="false" customHeight="true" outlineLevel="0" collapsed="false">
      <c r="A51" s="10" t="s">
        <v>2301</v>
      </c>
      <c r="B51" s="5" t="s">
        <v>2244</v>
      </c>
      <c r="C51" s="5" t="s">
        <v>2302</v>
      </c>
      <c r="D51" s="5" t="s">
        <v>2303</v>
      </c>
      <c r="E51" s="5" t="s">
        <v>2304</v>
      </c>
      <c r="F51" s="5" t="s">
        <v>49</v>
      </c>
      <c r="G51" s="37" t="s">
        <v>2305</v>
      </c>
    </row>
    <row r="52" customFormat="false" ht="27.75" hidden="false" customHeight="true" outlineLevel="0" collapsed="false">
      <c r="A52" s="10" t="s">
        <v>2306</v>
      </c>
      <c r="B52" s="5" t="s">
        <v>2244</v>
      </c>
      <c r="C52" s="5" t="s">
        <v>2307</v>
      </c>
      <c r="D52" s="5" t="s">
        <v>2308</v>
      </c>
      <c r="E52" s="5" t="s">
        <v>2309</v>
      </c>
      <c r="F52" s="5" t="s">
        <v>49</v>
      </c>
      <c r="G52" s="37" t="s">
        <v>2310</v>
      </c>
    </row>
    <row r="53" customFormat="false" ht="15" hidden="false" customHeight="true" outlineLevel="0" collapsed="false">
      <c r="A53" s="10" t="s">
        <v>623</v>
      </c>
      <c r="B53" s="5" t="s">
        <v>2244</v>
      </c>
      <c r="C53" s="5" t="s">
        <v>2311</v>
      </c>
      <c r="D53" s="5" t="s">
        <v>2312</v>
      </c>
      <c r="E53" s="5" t="s">
        <v>2313</v>
      </c>
      <c r="F53" s="5" t="s">
        <v>49</v>
      </c>
      <c r="G53" s="37" t="s">
        <v>2314</v>
      </c>
    </row>
    <row r="54" customFormat="false" ht="27.75" hidden="false" customHeight="true" outlineLevel="0" collapsed="false">
      <c r="A54" s="10" t="s">
        <v>692</v>
      </c>
      <c r="B54" s="5" t="s">
        <v>2315</v>
      </c>
      <c r="C54" s="5" t="s">
        <v>2316</v>
      </c>
      <c r="D54" s="5" t="s">
        <v>2317</v>
      </c>
      <c r="E54" s="5" t="s">
        <v>2318</v>
      </c>
      <c r="F54" s="5" t="s">
        <v>47</v>
      </c>
      <c r="G54" s="37" t="s">
        <v>2319</v>
      </c>
    </row>
    <row r="55" customFormat="false" ht="27.75" hidden="false" customHeight="true" outlineLevel="0" collapsed="false">
      <c r="A55" s="10" t="s">
        <v>772</v>
      </c>
      <c r="B55" s="5" t="s">
        <v>2315</v>
      </c>
      <c r="C55" s="5" t="s">
        <v>2320</v>
      </c>
      <c r="D55" s="5" t="s">
        <v>2150</v>
      </c>
      <c r="E55" s="5" t="s">
        <v>831</v>
      </c>
      <c r="F55" s="5" t="s">
        <v>49</v>
      </c>
      <c r="G55" s="37" t="s">
        <v>2321</v>
      </c>
    </row>
    <row r="56" customFormat="false" ht="27.75" hidden="false" customHeight="true" outlineLevel="0" collapsed="false">
      <c r="A56" s="10" t="s">
        <v>793</v>
      </c>
      <c r="B56" s="5" t="s">
        <v>2315</v>
      </c>
      <c r="C56" s="5" t="s">
        <v>2322</v>
      </c>
      <c r="D56" s="5" t="s">
        <v>2323</v>
      </c>
      <c r="E56" s="5" t="s">
        <v>789</v>
      </c>
      <c r="F56" s="5" t="s">
        <v>49</v>
      </c>
      <c r="G56" s="37" t="s">
        <v>2324</v>
      </c>
    </row>
    <row r="57" customFormat="false" ht="27.75" hidden="false" customHeight="true" outlineLevel="0" collapsed="false">
      <c r="A57" s="10" t="s">
        <v>796</v>
      </c>
      <c r="B57" s="5" t="s">
        <v>2315</v>
      </c>
      <c r="C57" s="5" t="s">
        <v>2325</v>
      </c>
      <c r="D57" s="5" t="s">
        <v>2326</v>
      </c>
      <c r="E57" s="5" t="s">
        <v>2327</v>
      </c>
      <c r="F57" s="5" t="s">
        <v>49</v>
      </c>
      <c r="G57" s="37" t="s">
        <v>2328</v>
      </c>
    </row>
    <row r="58" customFormat="false" ht="27.75" hidden="false" customHeight="true" outlineLevel="0" collapsed="false">
      <c r="A58" s="10" t="s">
        <v>693</v>
      </c>
      <c r="B58" s="5" t="s">
        <v>2315</v>
      </c>
      <c r="C58" s="5" t="s">
        <v>2329</v>
      </c>
      <c r="D58" s="5" t="s">
        <v>2150</v>
      </c>
      <c r="E58" s="5" t="s">
        <v>1072</v>
      </c>
      <c r="F58" s="5" t="s">
        <v>49</v>
      </c>
      <c r="G58" s="37" t="s">
        <v>2330</v>
      </c>
    </row>
    <row r="59" customFormat="false" ht="27.75" hidden="false" customHeight="true" outlineLevel="0" collapsed="false">
      <c r="A59" s="10" t="s">
        <v>867</v>
      </c>
      <c r="B59" s="5" t="s">
        <v>2315</v>
      </c>
      <c r="C59" s="5" t="s">
        <v>2331</v>
      </c>
      <c r="D59" s="5" t="s">
        <v>2150</v>
      </c>
      <c r="E59" s="5" t="s">
        <v>800</v>
      </c>
      <c r="F59" s="5" t="s">
        <v>49</v>
      </c>
      <c r="G59" s="37" t="s">
        <v>2332</v>
      </c>
    </row>
    <row r="60" customFormat="false" ht="27.75" hidden="false" customHeight="true" outlineLevel="0" collapsed="false">
      <c r="A60" s="10" t="s">
        <v>2333</v>
      </c>
      <c r="B60" s="5" t="s">
        <v>2315</v>
      </c>
      <c r="C60" s="5" t="s">
        <v>2334</v>
      </c>
      <c r="D60" s="5" t="s">
        <v>2335</v>
      </c>
      <c r="E60" s="5" t="s">
        <v>2299</v>
      </c>
      <c r="F60" s="5" t="s">
        <v>49</v>
      </c>
      <c r="G60" s="37" t="s">
        <v>2336</v>
      </c>
    </row>
    <row r="61" customFormat="false" ht="27.75" hidden="false" customHeight="true" outlineLevel="0" collapsed="false">
      <c r="A61" s="10" t="s">
        <v>898</v>
      </c>
      <c r="B61" s="5" t="s">
        <v>2315</v>
      </c>
      <c r="C61" s="5" t="s">
        <v>2337</v>
      </c>
      <c r="D61" s="5" t="s">
        <v>2338</v>
      </c>
      <c r="E61" s="5" t="s">
        <v>154</v>
      </c>
      <c r="F61" s="5" t="s">
        <v>49</v>
      </c>
      <c r="G61" s="37" t="s">
        <v>2339</v>
      </c>
    </row>
    <row r="62" customFormat="false" ht="27.75" hidden="false" customHeight="true" outlineLevel="0" collapsed="false">
      <c r="A62" s="10" t="s">
        <v>889</v>
      </c>
      <c r="B62" s="5" t="s">
        <v>2315</v>
      </c>
      <c r="C62" s="5" t="s">
        <v>2340</v>
      </c>
      <c r="D62" s="5" t="s">
        <v>2150</v>
      </c>
      <c r="E62" s="5" t="s">
        <v>154</v>
      </c>
      <c r="F62" s="5" t="s">
        <v>49</v>
      </c>
      <c r="G62" s="37" t="s">
        <v>2341</v>
      </c>
    </row>
    <row r="63" customFormat="false" ht="27.75" hidden="false" customHeight="true" outlineLevel="0" collapsed="false">
      <c r="A63" s="10" t="s">
        <v>813</v>
      </c>
      <c r="B63" s="5" t="s">
        <v>2315</v>
      </c>
      <c r="C63" s="5" t="s">
        <v>2342</v>
      </c>
      <c r="D63" s="5" t="s">
        <v>2343</v>
      </c>
      <c r="E63" s="5" t="s">
        <v>809</v>
      </c>
      <c r="F63" s="5" t="s">
        <v>49</v>
      </c>
      <c r="G63" s="37" t="s">
        <v>2344</v>
      </c>
    </row>
    <row r="64" customFormat="false" ht="27.75" hidden="false" customHeight="true" outlineLevel="0" collapsed="false">
      <c r="A64" s="10" t="s">
        <v>2345</v>
      </c>
      <c r="B64" s="5" t="s">
        <v>2315</v>
      </c>
      <c r="C64" s="5" t="s">
        <v>2346</v>
      </c>
      <c r="D64" s="5" t="s">
        <v>2155</v>
      </c>
      <c r="E64" s="5" t="s">
        <v>268</v>
      </c>
      <c r="F64" s="5" t="s">
        <v>49</v>
      </c>
      <c r="G64" s="37" t="s">
        <v>2347</v>
      </c>
    </row>
    <row r="65" customFormat="false" ht="40.5" hidden="false" customHeight="true" outlineLevel="0" collapsed="false">
      <c r="A65" s="10" t="s">
        <v>2348</v>
      </c>
      <c r="B65" s="5" t="s">
        <v>2315</v>
      </c>
      <c r="C65" s="5" t="s">
        <v>2349</v>
      </c>
      <c r="D65" s="5" t="s">
        <v>2150</v>
      </c>
      <c r="E65" s="5" t="s">
        <v>2350</v>
      </c>
      <c r="F65" s="5" t="s">
        <v>49</v>
      </c>
      <c r="G65" s="37" t="s">
        <v>2351</v>
      </c>
    </row>
    <row r="66" customFormat="false" ht="27.75" hidden="false" customHeight="true" outlineLevel="0" collapsed="false">
      <c r="A66" s="10" t="s">
        <v>926</v>
      </c>
      <c r="B66" s="5" t="s">
        <v>2315</v>
      </c>
      <c r="C66" s="5" t="s">
        <v>2352</v>
      </c>
      <c r="D66" s="5" t="s">
        <v>2150</v>
      </c>
      <c r="E66" s="5" t="s">
        <v>1146</v>
      </c>
      <c r="F66" s="5" t="s">
        <v>49</v>
      </c>
      <c r="G66" s="37" t="s">
        <v>2353</v>
      </c>
    </row>
    <row r="67" customFormat="false" ht="27.75" hidden="false" customHeight="true" outlineLevel="0" collapsed="false">
      <c r="A67" s="10" t="s">
        <v>2354</v>
      </c>
      <c r="B67" s="5" t="s">
        <v>2315</v>
      </c>
      <c r="C67" s="5" t="s">
        <v>2355</v>
      </c>
      <c r="D67" s="5" t="s">
        <v>2155</v>
      </c>
      <c r="E67" s="5" t="s">
        <v>2356</v>
      </c>
      <c r="F67" s="5" t="s">
        <v>49</v>
      </c>
      <c r="G67" s="37" t="s">
        <v>2357</v>
      </c>
    </row>
    <row r="68" customFormat="false" ht="27.75" hidden="false" customHeight="true" outlineLevel="0" collapsed="false">
      <c r="A68" s="10" t="s">
        <v>2358</v>
      </c>
      <c r="B68" s="5" t="s">
        <v>2315</v>
      </c>
      <c r="C68" s="5" t="s">
        <v>2359</v>
      </c>
      <c r="D68" s="5" t="s">
        <v>2360</v>
      </c>
      <c r="E68" s="5" t="s">
        <v>2361</v>
      </c>
      <c r="F68" s="5" t="s">
        <v>49</v>
      </c>
      <c r="G68" s="37" t="s">
        <v>2362</v>
      </c>
    </row>
    <row r="69" customFormat="false" ht="15" hidden="false" customHeight="true" outlineLevel="0" collapsed="false">
      <c r="A69" s="10" t="s">
        <v>2363</v>
      </c>
      <c r="B69" s="5" t="s">
        <v>2315</v>
      </c>
      <c r="C69" s="5" t="s">
        <v>2364</v>
      </c>
      <c r="D69" s="5" t="s">
        <v>2365</v>
      </c>
      <c r="E69" s="5" t="s">
        <v>2366</v>
      </c>
      <c r="F69" s="5" t="s">
        <v>49</v>
      </c>
      <c r="G69" s="37" t="s">
        <v>2367</v>
      </c>
    </row>
    <row r="70" customFormat="false" ht="15" hidden="false" customHeight="true" outlineLevel="0" collapsed="false">
      <c r="A70" s="10" t="s">
        <v>778</v>
      </c>
      <c r="B70" s="5" t="s">
        <v>2315</v>
      </c>
      <c r="C70" s="5" t="s">
        <v>2368</v>
      </c>
      <c r="D70" s="5" t="s">
        <v>2260</v>
      </c>
      <c r="E70" s="5" t="s">
        <v>774</v>
      </c>
      <c r="F70" s="5" t="s">
        <v>49</v>
      </c>
      <c r="G70" s="37" t="s">
        <v>2369</v>
      </c>
    </row>
    <row r="71" customFormat="false" ht="27.75" hidden="false" customHeight="true" outlineLevel="0" collapsed="false">
      <c r="A71" s="10" t="s">
        <v>870</v>
      </c>
      <c r="B71" s="5" t="s">
        <v>2315</v>
      </c>
      <c r="C71" s="5" t="s">
        <v>2370</v>
      </c>
      <c r="D71" s="5" t="s">
        <v>2371</v>
      </c>
      <c r="E71" s="5" t="s">
        <v>121</v>
      </c>
      <c r="F71" s="5" t="s">
        <v>51</v>
      </c>
      <c r="G71" s="37" t="s">
        <v>2372</v>
      </c>
    </row>
    <row r="72" customFormat="false" ht="27.75" hidden="false" customHeight="true" outlineLevel="0" collapsed="false">
      <c r="A72" s="10" t="s">
        <v>2373</v>
      </c>
      <c r="B72" s="5" t="s">
        <v>2315</v>
      </c>
      <c r="C72" s="5" t="s">
        <v>2374</v>
      </c>
      <c r="D72" s="5" t="s">
        <v>2150</v>
      </c>
      <c r="E72" s="5" t="s">
        <v>268</v>
      </c>
      <c r="F72" s="5" t="s">
        <v>49</v>
      </c>
      <c r="G72" s="37" t="s">
        <v>2375</v>
      </c>
    </row>
    <row r="73" customFormat="false" ht="27.75" hidden="false" customHeight="true" outlineLevel="0" collapsed="false">
      <c r="A73" s="10" t="s">
        <v>920</v>
      </c>
      <c r="B73" s="5" t="s">
        <v>2376</v>
      </c>
      <c r="C73" s="5" t="s">
        <v>2377</v>
      </c>
      <c r="D73" s="5" t="s">
        <v>2378</v>
      </c>
      <c r="E73" s="5" t="s">
        <v>2379</v>
      </c>
      <c r="F73" s="5" t="s">
        <v>45</v>
      </c>
      <c r="G73" s="37" t="s">
        <v>2380</v>
      </c>
    </row>
    <row r="74" customFormat="false" ht="15" hidden="false" customHeight="true" outlineLevel="0" collapsed="false">
      <c r="A74" s="10" t="s">
        <v>2381</v>
      </c>
      <c r="B74" s="5" t="s">
        <v>2382</v>
      </c>
      <c r="C74" s="5" t="s">
        <v>2383</v>
      </c>
      <c r="D74" s="5" t="s">
        <v>2384</v>
      </c>
      <c r="E74" s="5" t="s">
        <v>1298</v>
      </c>
      <c r="F74" s="5" t="s">
        <v>49</v>
      </c>
      <c r="G74" s="37" t="s">
        <v>2385</v>
      </c>
    </row>
    <row r="75" customFormat="false" ht="15" hidden="false" customHeight="true" outlineLevel="0" collapsed="false">
      <c r="A75" s="10" t="s">
        <v>1012</v>
      </c>
      <c r="B75" s="5" t="s">
        <v>2382</v>
      </c>
      <c r="C75" s="5" t="s">
        <v>2386</v>
      </c>
      <c r="D75" s="5" t="s">
        <v>2217</v>
      </c>
      <c r="E75" s="5" t="s">
        <v>990</v>
      </c>
      <c r="F75" s="5" t="s">
        <v>51</v>
      </c>
      <c r="G75" s="37" t="s">
        <v>2387</v>
      </c>
    </row>
    <row r="76" customFormat="false" ht="27.75" hidden="false" customHeight="true" outlineLevel="0" collapsed="false">
      <c r="A76" s="10" t="s">
        <v>922</v>
      </c>
      <c r="B76" s="5" t="s">
        <v>2382</v>
      </c>
      <c r="C76" s="5" t="s">
        <v>2388</v>
      </c>
      <c r="D76" s="5" t="s">
        <v>2150</v>
      </c>
      <c r="E76" s="5" t="s">
        <v>2389</v>
      </c>
      <c r="F76" s="5" t="s">
        <v>49</v>
      </c>
      <c r="G76" s="37" t="s">
        <v>2390</v>
      </c>
    </row>
    <row r="77" customFormat="false" ht="27.75" hidden="false" customHeight="true" outlineLevel="0" collapsed="false">
      <c r="A77" s="10" t="s">
        <v>923</v>
      </c>
      <c r="B77" s="5" t="s">
        <v>2382</v>
      </c>
      <c r="C77" s="5" t="s">
        <v>2391</v>
      </c>
      <c r="D77" s="5" t="s">
        <v>2150</v>
      </c>
      <c r="E77" s="5" t="s">
        <v>1023</v>
      </c>
      <c r="F77" s="5" t="s">
        <v>49</v>
      </c>
      <c r="G77" s="37" t="s">
        <v>2392</v>
      </c>
    </row>
    <row r="78" customFormat="false" ht="15" hidden="false" customHeight="true" outlineLevel="0" collapsed="false">
      <c r="A78" s="10" t="s">
        <v>924</v>
      </c>
      <c r="B78" s="5" t="s">
        <v>2382</v>
      </c>
      <c r="C78" s="5" t="s">
        <v>2393</v>
      </c>
      <c r="D78" s="5" t="s">
        <v>2394</v>
      </c>
      <c r="E78" s="5" t="s">
        <v>1026</v>
      </c>
      <c r="F78" s="5" t="s">
        <v>47</v>
      </c>
      <c r="G78" s="37" t="s">
        <v>2395</v>
      </c>
    </row>
    <row r="79" customFormat="false" ht="27.75" hidden="false" customHeight="true" outlineLevel="0" collapsed="false">
      <c r="A79" s="10" t="s">
        <v>925</v>
      </c>
      <c r="B79" s="5" t="s">
        <v>2376</v>
      </c>
      <c r="C79" s="5" t="s">
        <v>2396</v>
      </c>
      <c r="D79" s="5" t="s">
        <v>2397</v>
      </c>
      <c r="E79" s="5" t="s">
        <v>1186</v>
      </c>
      <c r="F79" s="5" t="s">
        <v>45</v>
      </c>
      <c r="G79" s="37" t="s">
        <v>2398</v>
      </c>
    </row>
    <row r="80" customFormat="false" ht="27.75" hidden="false" customHeight="true" outlineLevel="0" collapsed="false">
      <c r="A80" s="10" t="s">
        <v>2399</v>
      </c>
      <c r="B80" s="5" t="s">
        <v>2382</v>
      </c>
      <c r="C80" s="5" t="s">
        <v>2400</v>
      </c>
      <c r="D80" s="5" t="s">
        <v>2384</v>
      </c>
      <c r="E80" s="5" t="s">
        <v>766</v>
      </c>
      <c r="F80" s="5" t="s">
        <v>49</v>
      </c>
      <c r="G80" s="37" t="s">
        <v>2401</v>
      </c>
    </row>
    <row r="81" customFormat="false" ht="27.75" hidden="false" customHeight="true" outlineLevel="0" collapsed="false">
      <c r="A81" s="10" t="s">
        <v>2402</v>
      </c>
      <c r="B81" s="5" t="s">
        <v>2382</v>
      </c>
      <c r="C81" s="5" t="s">
        <v>2403</v>
      </c>
      <c r="D81" s="5" t="s">
        <v>2404</v>
      </c>
      <c r="E81" s="5" t="s">
        <v>2405</v>
      </c>
      <c r="F81" s="5" t="s">
        <v>49</v>
      </c>
      <c r="G81" s="37" t="s">
        <v>2406</v>
      </c>
    </row>
    <row r="82" customFormat="false" ht="15" hidden="false" customHeight="true" outlineLevel="0" collapsed="false">
      <c r="A82" s="10" t="s">
        <v>2407</v>
      </c>
      <c r="B82" s="5" t="s">
        <v>2382</v>
      </c>
      <c r="C82" s="5" t="s">
        <v>2408</v>
      </c>
      <c r="D82" s="5" t="s">
        <v>2222</v>
      </c>
      <c r="E82" s="5" t="s">
        <v>641</v>
      </c>
      <c r="F82" s="5" t="s">
        <v>49</v>
      </c>
      <c r="G82" s="37" t="s">
        <v>2409</v>
      </c>
    </row>
    <row r="83" customFormat="false" ht="27.75" hidden="false" customHeight="true" outlineLevel="0" collapsed="false">
      <c r="A83" s="10" t="s">
        <v>1089</v>
      </c>
      <c r="B83" s="5" t="s">
        <v>2382</v>
      </c>
      <c r="C83" s="5" t="s">
        <v>2410</v>
      </c>
      <c r="D83" s="5" t="s">
        <v>2150</v>
      </c>
      <c r="E83" s="5" t="s">
        <v>1048</v>
      </c>
      <c r="F83" s="5" t="s">
        <v>49</v>
      </c>
      <c r="G83" s="37" t="s">
        <v>2411</v>
      </c>
    </row>
    <row r="84" customFormat="false" ht="27.75" hidden="false" customHeight="true" outlineLevel="0" collapsed="false">
      <c r="A84" s="10" t="s">
        <v>2412</v>
      </c>
      <c r="B84" s="5" t="s">
        <v>2382</v>
      </c>
      <c r="C84" s="5" t="s">
        <v>2413</v>
      </c>
      <c r="D84" s="5" t="s">
        <v>2150</v>
      </c>
      <c r="E84" s="5" t="s">
        <v>1468</v>
      </c>
      <c r="F84" s="5" t="s">
        <v>49</v>
      </c>
      <c r="G84" s="37" t="s">
        <v>2414</v>
      </c>
    </row>
    <row r="85" customFormat="false" ht="27.75" hidden="false" customHeight="true" outlineLevel="0" collapsed="false">
      <c r="A85" s="10" t="s">
        <v>2415</v>
      </c>
      <c r="B85" s="5" t="s">
        <v>2416</v>
      </c>
      <c r="C85" s="5" t="s">
        <v>2417</v>
      </c>
      <c r="D85" s="5" t="s">
        <v>2335</v>
      </c>
      <c r="E85" s="5" t="s">
        <v>2418</v>
      </c>
      <c r="F85" s="5" t="s">
        <v>49</v>
      </c>
      <c r="G85" s="37" t="s">
        <v>2419</v>
      </c>
    </row>
    <row r="86" customFormat="false" ht="27.75" hidden="false" customHeight="true" outlineLevel="0" collapsed="false">
      <c r="A86" s="10" t="s">
        <v>1200</v>
      </c>
      <c r="B86" s="5" t="s">
        <v>2416</v>
      </c>
      <c r="C86" s="5" t="s">
        <v>2420</v>
      </c>
      <c r="D86" s="5" t="s">
        <v>2421</v>
      </c>
      <c r="E86" s="5" t="s">
        <v>1197</v>
      </c>
      <c r="F86" s="5" t="s">
        <v>47</v>
      </c>
      <c r="G86" s="37" t="s">
        <v>2422</v>
      </c>
    </row>
    <row r="87" customFormat="false" ht="27.75" hidden="false" customHeight="true" outlineLevel="0" collapsed="false">
      <c r="A87" s="10" t="s">
        <v>1115</v>
      </c>
      <c r="B87" s="5" t="s">
        <v>2416</v>
      </c>
      <c r="C87" s="5" t="s">
        <v>2423</v>
      </c>
      <c r="D87" s="5" t="s">
        <v>2424</v>
      </c>
      <c r="E87" s="5" t="s">
        <v>2350</v>
      </c>
      <c r="F87" s="5" t="s">
        <v>49</v>
      </c>
      <c r="G87" s="37" t="s">
        <v>2425</v>
      </c>
    </row>
    <row r="88" customFormat="false" ht="27.75" hidden="false" customHeight="true" outlineLevel="0" collapsed="false">
      <c r="A88" s="10" t="s">
        <v>1042</v>
      </c>
      <c r="B88" s="5" t="s">
        <v>2416</v>
      </c>
      <c r="C88" s="5" t="s">
        <v>2426</v>
      </c>
      <c r="D88" s="5" t="s">
        <v>2427</v>
      </c>
      <c r="E88" s="5" t="s">
        <v>121</v>
      </c>
      <c r="F88" s="5" t="s">
        <v>51</v>
      </c>
      <c r="G88" s="37" t="s">
        <v>2428</v>
      </c>
    </row>
    <row r="89" customFormat="false" ht="27.75" hidden="false" customHeight="true" outlineLevel="0" collapsed="false">
      <c r="A89" s="10" t="s">
        <v>1207</v>
      </c>
      <c r="B89" s="5" t="s">
        <v>2416</v>
      </c>
      <c r="C89" s="5" t="s">
        <v>2429</v>
      </c>
      <c r="D89" s="5" t="s">
        <v>2249</v>
      </c>
      <c r="E89" s="5" t="s">
        <v>2430</v>
      </c>
      <c r="F89" s="5" t="s">
        <v>49</v>
      </c>
      <c r="G89" s="37" t="s">
        <v>2431</v>
      </c>
    </row>
    <row r="90" customFormat="false" ht="27.75" hidden="false" customHeight="true" outlineLevel="0" collapsed="false">
      <c r="A90" s="10" t="s">
        <v>1194</v>
      </c>
      <c r="B90" s="5" t="s">
        <v>2416</v>
      </c>
      <c r="C90" s="5" t="s">
        <v>2432</v>
      </c>
      <c r="D90" s="5" t="s">
        <v>2433</v>
      </c>
      <c r="E90" s="5" t="s">
        <v>2434</v>
      </c>
      <c r="F90" s="5" t="s">
        <v>49</v>
      </c>
      <c r="G90" s="37" t="s">
        <v>2435</v>
      </c>
    </row>
    <row r="91" customFormat="false" ht="27.75" hidden="false" customHeight="true" outlineLevel="0" collapsed="false">
      <c r="A91" s="10" t="s">
        <v>1184</v>
      </c>
      <c r="B91" s="5" t="s">
        <v>2416</v>
      </c>
      <c r="C91" s="5" t="s">
        <v>2436</v>
      </c>
      <c r="D91" s="5" t="s">
        <v>2437</v>
      </c>
      <c r="E91" s="5" t="s">
        <v>2438</v>
      </c>
      <c r="F91" s="5" t="s">
        <v>51</v>
      </c>
      <c r="G91" s="37" t="s">
        <v>2439</v>
      </c>
    </row>
    <row r="92" customFormat="false" ht="27.75" hidden="false" customHeight="true" outlineLevel="0" collapsed="false">
      <c r="A92" s="10" t="s">
        <v>2440</v>
      </c>
      <c r="B92" s="5" t="s">
        <v>2416</v>
      </c>
      <c r="C92" s="5" t="s">
        <v>2441</v>
      </c>
      <c r="D92" s="5" t="s">
        <v>2442</v>
      </c>
      <c r="E92" s="5" t="s">
        <v>2443</v>
      </c>
      <c r="F92" s="5" t="s">
        <v>47</v>
      </c>
      <c r="G92" s="37" t="s">
        <v>2444</v>
      </c>
    </row>
    <row r="93" customFormat="false" ht="27.75" hidden="false" customHeight="true" outlineLevel="0" collapsed="false">
      <c r="A93" s="10" t="s">
        <v>1353</v>
      </c>
      <c r="B93" s="5" t="s">
        <v>97</v>
      </c>
      <c r="C93" s="5" t="s">
        <v>2445</v>
      </c>
      <c r="D93" s="5" t="s">
        <v>2335</v>
      </c>
      <c r="E93" s="5" t="s">
        <v>2446</v>
      </c>
      <c r="F93" s="5" t="s">
        <v>49</v>
      </c>
      <c r="G93" s="37" t="s">
        <v>2447</v>
      </c>
    </row>
    <row r="94" customFormat="false" ht="27.75" hidden="false" customHeight="true" outlineLevel="0" collapsed="false">
      <c r="A94" s="10" t="s">
        <v>2448</v>
      </c>
      <c r="B94" s="5" t="s">
        <v>97</v>
      </c>
      <c r="C94" s="5" t="s">
        <v>2449</v>
      </c>
      <c r="D94" s="5" t="s">
        <v>2150</v>
      </c>
      <c r="E94" s="5" t="s">
        <v>995</v>
      </c>
      <c r="F94" s="5" t="s">
        <v>49</v>
      </c>
      <c r="G94" s="37" t="s">
        <v>2450</v>
      </c>
    </row>
    <row r="95" customFormat="false" ht="27.75" hidden="false" customHeight="true" outlineLevel="0" collapsed="false">
      <c r="A95" s="10" t="s">
        <v>1262</v>
      </c>
      <c r="B95" s="5" t="s">
        <v>97</v>
      </c>
      <c r="C95" s="5" t="s">
        <v>2451</v>
      </c>
      <c r="D95" s="5" t="s">
        <v>2335</v>
      </c>
      <c r="E95" s="5" t="s">
        <v>352</v>
      </c>
      <c r="F95" s="5" t="s">
        <v>49</v>
      </c>
      <c r="G95" s="37" t="s">
        <v>2452</v>
      </c>
    </row>
    <row r="96" customFormat="false" ht="27.75" hidden="false" customHeight="true" outlineLevel="0" collapsed="false">
      <c r="A96" s="10" t="s">
        <v>1263</v>
      </c>
      <c r="B96" s="5" t="s">
        <v>97</v>
      </c>
      <c r="C96" s="5" t="s">
        <v>2453</v>
      </c>
      <c r="D96" s="5" t="s">
        <v>2454</v>
      </c>
      <c r="E96" s="5" t="s">
        <v>2455</v>
      </c>
      <c r="F96" s="5" t="s">
        <v>49</v>
      </c>
      <c r="G96" s="37" t="s">
        <v>2456</v>
      </c>
    </row>
    <row r="97" customFormat="false" ht="27.75" hidden="false" customHeight="true" outlineLevel="0" collapsed="false">
      <c r="A97" s="10" t="s">
        <v>1265</v>
      </c>
      <c r="B97" s="5" t="s">
        <v>97</v>
      </c>
      <c r="C97" s="5" t="s">
        <v>2457</v>
      </c>
      <c r="D97" s="5" t="s">
        <v>2458</v>
      </c>
      <c r="E97" s="5" t="s">
        <v>1326</v>
      </c>
      <c r="F97" s="5" t="s">
        <v>47</v>
      </c>
      <c r="G97" s="37" t="s">
        <v>2459</v>
      </c>
    </row>
    <row r="98" customFormat="false" ht="15" hidden="false" customHeight="true" outlineLevel="0" collapsed="false">
      <c r="A98" s="10" t="s">
        <v>1399</v>
      </c>
      <c r="B98" s="5" t="s">
        <v>97</v>
      </c>
      <c r="C98" s="5" t="s">
        <v>2460</v>
      </c>
      <c r="D98" s="5" t="s">
        <v>2150</v>
      </c>
      <c r="E98" s="5" t="s">
        <v>1334</v>
      </c>
      <c r="F98" s="5" t="s">
        <v>49</v>
      </c>
      <c r="G98" s="37" t="s">
        <v>2461</v>
      </c>
    </row>
    <row r="99" customFormat="false" ht="27.75" hidden="false" customHeight="true" outlineLevel="0" collapsed="false">
      <c r="A99" s="10" t="s">
        <v>2462</v>
      </c>
      <c r="B99" s="5" t="s">
        <v>97</v>
      </c>
      <c r="C99" s="5" t="s">
        <v>2463</v>
      </c>
      <c r="D99" s="5" t="s">
        <v>2384</v>
      </c>
      <c r="E99" s="5" t="s">
        <v>2199</v>
      </c>
      <c r="F99" s="5" t="s">
        <v>49</v>
      </c>
      <c r="G99" s="37" t="s">
        <v>2464</v>
      </c>
    </row>
    <row r="100" customFormat="false" ht="27.75" hidden="false" customHeight="true" outlineLevel="0" collapsed="false">
      <c r="A100" s="10" t="s">
        <v>1349</v>
      </c>
      <c r="B100" s="5" t="s">
        <v>97</v>
      </c>
      <c r="C100" s="5" t="s">
        <v>2465</v>
      </c>
      <c r="D100" s="5" t="s">
        <v>2466</v>
      </c>
      <c r="E100" s="5" t="s">
        <v>121</v>
      </c>
      <c r="F100" s="5" t="s">
        <v>51</v>
      </c>
      <c r="G100" s="37" t="s">
        <v>2467</v>
      </c>
    </row>
    <row r="101" customFormat="false" ht="27.75" hidden="false" customHeight="true" outlineLevel="0" collapsed="false">
      <c r="A101" s="10" t="s">
        <v>2468</v>
      </c>
      <c r="B101" s="5" t="s">
        <v>97</v>
      </c>
      <c r="C101" s="5" t="s">
        <v>2469</v>
      </c>
      <c r="D101" s="5" t="s">
        <v>2470</v>
      </c>
      <c r="E101" s="5" t="s">
        <v>641</v>
      </c>
      <c r="F101" s="5" t="s">
        <v>49</v>
      </c>
      <c r="G101" s="37" t="s">
        <v>2471</v>
      </c>
    </row>
    <row r="102" customFormat="false" ht="27.75" hidden="false" customHeight="true" outlineLevel="0" collapsed="false">
      <c r="A102" s="10" t="s">
        <v>2472</v>
      </c>
      <c r="B102" s="5" t="s">
        <v>97</v>
      </c>
      <c r="C102" s="5" t="s">
        <v>2473</v>
      </c>
      <c r="D102" s="5" t="s">
        <v>2474</v>
      </c>
      <c r="E102" s="5" t="s">
        <v>1334</v>
      </c>
      <c r="F102" s="5" t="s">
        <v>49</v>
      </c>
      <c r="G102" s="37" t="s">
        <v>2475</v>
      </c>
    </row>
    <row r="103" customFormat="false" ht="27.75" hidden="false" customHeight="true" outlineLevel="0" collapsed="false">
      <c r="A103" s="10" t="s">
        <v>1264</v>
      </c>
      <c r="B103" s="5" t="s">
        <v>97</v>
      </c>
      <c r="C103" s="5" t="s">
        <v>2476</v>
      </c>
      <c r="D103" s="5" t="s">
        <v>2427</v>
      </c>
      <c r="E103" s="5" t="s">
        <v>121</v>
      </c>
      <c r="F103" s="5" t="s">
        <v>51</v>
      </c>
      <c r="G103" s="37" t="s">
        <v>2477</v>
      </c>
    </row>
    <row r="104" customFormat="false" ht="27.75" hidden="false" customHeight="true" outlineLevel="0" collapsed="false">
      <c r="A104" s="10" t="s">
        <v>1418</v>
      </c>
      <c r="B104" s="5" t="s">
        <v>98</v>
      </c>
      <c r="C104" s="5" t="s">
        <v>2478</v>
      </c>
      <c r="D104" s="5" t="s">
        <v>2479</v>
      </c>
      <c r="E104" s="5" t="s">
        <v>2480</v>
      </c>
      <c r="F104" s="5" t="s">
        <v>49</v>
      </c>
      <c r="G104" s="37" t="s">
        <v>2481</v>
      </c>
    </row>
    <row r="105" customFormat="false" ht="27.75" hidden="false" customHeight="true" outlineLevel="0" collapsed="false">
      <c r="A105" s="10" t="s">
        <v>2482</v>
      </c>
      <c r="B105" s="5" t="s">
        <v>98</v>
      </c>
      <c r="C105" s="5" t="s">
        <v>2483</v>
      </c>
      <c r="D105" s="5" t="s">
        <v>2184</v>
      </c>
      <c r="E105" s="5" t="s">
        <v>995</v>
      </c>
      <c r="F105" s="5" t="s">
        <v>49</v>
      </c>
      <c r="G105" s="37" t="s">
        <v>2484</v>
      </c>
    </row>
    <row r="106" customFormat="false" ht="27.75" hidden="false" customHeight="true" outlineLevel="0" collapsed="false">
      <c r="A106" s="10" t="s">
        <v>1423</v>
      </c>
      <c r="B106" s="5" t="s">
        <v>98</v>
      </c>
      <c r="C106" s="5" t="s">
        <v>2485</v>
      </c>
      <c r="D106" s="5" t="s">
        <v>2486</v>
      </c>
      <c r="E106" s="5" t="s">
        <v>121</v>
      </c>
      <c r="F106" s="5" t="s">
        <v>51</v>
      </c>
      <c r="G106" s="37" t="s">
        <v>2487</v>
      </c>
    </row>
    <row r="107" customFormat="false" ht="15" hidden="false" customHeight="true" outlineLevel="0" collapsed="false">
      <c r="A107" s="10" t="s">
        <v>1421</v>
      </c>
      <c r="B107" s="5" t="s">
        <v>98</v>
      </c>
      <c r="C107" s="5" t="s">
        <v>2488</v>
      </c>
      <c r="D107" s="5" t="s">
        <v>2479</v>
      </c>
      <c r="E107" s="5" t="s">
        <v>2489</v>
      </c>
      <c r="F107" s="5" t="s">
        <v>49</v>
      </c>
      <c r="G107" s="37" t="s">
        <v>2490</v>
      </c>
    </row>
    <row r="108" customFormat="false" ht="27.75" hidden="false" customHeight="true" outlineLevel="0" collapsed="false">
      <c r="A108" s="10" t="s">
        <v>1422</v>
      </c>
      <c r="B108" s="5" t="s">
        <v>98</v>
      </c>
      <c r="C108" s="5" t="s">
        <v>2491</v>
      </c>
      <c r="D108" s="5" t="s">
        <v>2492</v>
      </c>
      <c r="E108" s="5" t="s">
        <v>2493</v>
      </c>
      <c r="F108" s="5" t="s">
        <v>45</v>
      </c>
      <c r="G108" s="37" t="s">
        <v>2494</v>
      </c>
    </row>
    <row r="109" customFormat="false" ht="27.75" hidden="false" customHeight="true" outlineLevel="0" collapsed="false">
      <c r="A109" s="10" t="s">
        <v>1424</v>
      </c>
      <c r="B109" s="5" t="s">
        <v>98</v>
      </c>
      <c r="C109" s="5" t="s">
        <v>2495</v>
      </c>
      <c r="D109" s="5" t="s">
        <v>2496</v>
      </c>
      <c r="E109" s="5" t="s">
        <v>1072</v>
      </c>
      <c r="F109" s="5" t="s">
        <v>51</v>
      </c>
      <c r="G109" s="37" t="s">
        <v>2497</v>
      </c>
    </row>
    <row r="110" customFormat="false" ht="27.75" hidden="false" customHeight="true" outlineLevel="0" collapsed="false">
      <c r="A110" s="10" t="s">
        <v>1512</v>
      </c>
      <c r="B110" s="5" t="s">
        <v>98</v>
      </c>
      <c r="C110" s="5" t="s">
        <v>2498</v>
      </c>
      <c r="D110" s="5" t="s">
        <v>2249</v>
      </c>
      <c r="E110" s="5" t="s">
        <v>1509</v>
      </c>
      <c r="F110" s="5" t="s">
        <v>49</v>
      </c>
      <c r="G110" s="37" t="s">
        <v>2499</v>
      </c>
    </row>
    <row r="111" customFormat="false" ht="27.75" hidden="false" customHeight="true" outlineLevel="0" collapsed="false">
      <c r="A111" s="10" t="s">
        <v>2500</v>
      </c>
      <c r="B111" s="5" t="s">
        <v>98</v>
      </c>
      <c r="C111" s="5" t="s">
        <v>2501</v>
      </c>
      <c r="D111" s="5" t="s">
        <v>2502</v>
      </c>
      <c r="E111" s="5" t="s">
        <v>1146</v>
      </c>
      <c r="F111" s="5" t="s">
        <v>49</v>
      </c>
      <c r="G111" s="37" t="s">
        <v>2503</v>
      </c>
    </row>
    <row r="112" customFormat="false" ht="15" hidden="false" customHeight="true" outlineLevel="0" collapsed="false">
      <c r="A112" s="10" t="s">
        <v>1503</v>
      </c>
      <c r="B112" s="5" t="s">
        <v>98</v>
      </c>
      <c r="C112" s="5" t="s">
        <v>2504</v>
      </c>
      <c r="D112" s="5" t="s">
        <v>2505</v>
      </c>
      <c r="E112" s="5" t="s">
        <v>121</v>
      </c>
      <c r="F112" s="5" t="s">
        <v>51</v>
      </c>
      <c r="G112" s="37" t="s">
        <v>2506</v>
      </c>
    </row>
    <row r="113" customFormat="false" ht="27.75" hidden="false" customHeight="true" outlineLevel="0" collapsed="false">
      <c r="A113" s="10" t="s">
        <v>1603</v>
      </c>
      <c r="B113" s="5" t="s">
        <v>100</v>
      </c>
      <c r="C113" s="5" t="s">
        <v>2507</v>
      </c>
      <c r="D113" s="5" t="s">
        <v>2466</v>
      </c>
      <c r="E113" s="5" t="s">
        <v>121</v>
      </c>
      <c r="F113" s="5" t="s">
        <v>51</v>
      </c>
      <c r="G113" s="37" t="s">
        <v>2508</v>
      </c>
    </row>
    <row r="114" customFormat="false" ht="27.75" hidden="false" customHeight="true" outlineLevel="0" collapsed="false">
      <c r="A114" s="10" t="s">
        <v>1564</v>
      </c>
      <c r="B114" s="5" t="s">
        <v>100</v>
      </c>
      <c r="C114" s="5" t="s">
        <v>2509</v>
      </c>
      <c r="D114" s="5" t="s">
        <v>2150</v>
      </c>
      <c r="E114" s="5" t="s">
        <v>2510</v>
      </c>
      <c r="F114" s="5" t="s">
        <v>49</v>
      </c>
      <c r="G114" s="37" t="s">
        <v>2511</v>
      </c>
    </row>
    <row r="115" customFormat="false" ht="15" hidden="false" customHeight="true" outlineLevel="0" collapsed="false">
      <c r="A115" s="10" t="s">
        <v>1565</v>
      </c>
      <c r="B115" s="5" t="s">
        <v>100</v>
      </c>
      <c r="C115" s="5" t="s">
        <v>2512</v>
      </c>
      <c r="D115" s="5" t="s">
        <v>2513</v>
      </c>
      <c r="E115" s="5" t="s">
        <v>1612</v>
      </c>
      <c r="F115" s="5" t="s">
        <v>47</v>
      </c>
      <c r="G115" s="37" t="s">
        <v>2514</v>
      </c>
    </row>
    <row r="116" customFormat="false" ht="15" hidden="false" customHeight="true" outlineLevel="0" collapsed="false">
      <c r="A116" s="10" t="s">
        <v>2515</v>
      </c>
      <c r="B116" s="5" t="s">
        <v>100</v>
      </c>
      <c r="C116" s="5" t="s">
        <v>2516</v>
      </c>
      <c r="D116" s="5" t="s">
        <v>2513</v>
      </c>
      <c r="E116" s="5" t="s">
        <v>121</v>
      </c>
      <c r="F116" s="5" t="s">
        <v>47</v>
      </c>
      <c r="G116" s="37" t="s">
        <v>2517</v>
      </c>
    </row>
    <row r="117" customFormat="false" ht="27.75" hidden="false" customHeight="true" outlineLevel="0" collapsed="false">
      <c r="A117" s="10" t="s">
        <v>1617</v>
      </c>
      <c r="B117" s="5" t="s">
        <v>100</v>
      </c>
      <c r="C117" s="5" t="s">
        <v>2518</v>
      </c>
      <c r="D117" s="5" t="s">
        <v>2479</v>
      </c>
      <c r="E117" s="5" t="s">
        <v>2519</v>
      </c>
      <c r="F117" s="5" t="s">
        <v>49</v>
      </c>
      <c r="G117" s="37" t="s">
        <v>2520</v>
      </c>
    </row>
    <row r="118" customFormat="false" ht="27.75" hidden="false" customHeight="true" outlineLevel="0" collapsed="false">
      <c r="A118" s="10" t="s">
        <v>1566</v>
      </c>
      <c r="B118" s="5" t="s">
        <v>100</v>
      </c>
      <c r="C118" s="5" t="s">
        <v>2521</v>
      </c>
      <c r="D118" s="5" t="s">
        <v>2522</v>
      </c>
      <c r="E118" s="5" t="s">
        <v>2350</v>
      </c>
      <c r="F118" s="5" t="s">
        <v>47</v>
      </c>
      <c r="G118" s="37" t="s">
        <v>2523</v>
      </c>
    </row>
    <row r="119" customFormat="false" ht="27.75" hidden="false" customHeight="true" outlineLevel="0" collapsed="false">
      <c r="A119" s="10" t="s">
        <v>2524</v>
      </c>
      <c r="B119" s="5" t="s">
        <v>100</v>
      </c>
      <c r="C119" s="5" t="s">
        <v>2525</v>
      </c>
      <c r="D119" s="5" t="s">
        <v>2526</v>
      </c>
      <c r="E119" s="5" t="s">
        <v>2199</v>
      </c>
      <c r="F119" s="5" t="s">
        <v>45</v>
      </c>
      <c r="G119" s="37" t="s">
        <v>2527</v>
      </c>
    </row>
    <row r="120" customFormat="false" ht="27.75" hidden="false" customHeight="true" outlineLevel="0" collapsed="false">
      <c r="A120" s="10" t="s">
        <v>2528</v>
      </c>
      <c r="B120" s="5" t="s">
        <v>101</v>
      </c>
      <c r="C120" s="5" t="s">
        <v>2529</v>
      </c>
      <c r="D120" s="5" t="s">
        <v>2530</v>
      </c>
      <c r="E120" s="5" t="s">
        <v>2531</v>
      </c>
      <c r="F120" s="5" t="s">
        <v>49</v>
      </c>
      <c r="G120" s="37" t="s">
        <v>2532</v>
      </c>
    </row>
    <row r="121" customFormat="false" ht="15" hidden="false" customHeight="true" outlineLevel="0" collapsed="false">
      <c r="A121" s="10" t="s">
        <v>1666</v>
      </c>
      <c r="B121" s="5" t="s">
        <v>101</v>
      </c>
      <c r="C121" s="5" t="s">
        <v>2533</v>
      </c>
      <c r="D121" s="5" t="s">
        <v>2534</v>
      </c>
      <c r="E121" s="5" t="s">
        <v>361</v>
      </c>
      <c r="F121" s="5" t="s">
        <v>49</v>
      </c>
      <c r="G121" s="37" t="s">
        <v>2535</v>
      </c>
    </row>
    <row r="122" customFormat="false" ht="27.75" hidden="false" customHeight="true" outlineLevel="0" collapsed="false">
      <c r="A122" s="10" t="s">
        <v>1668</v>
      </c>
      <c r="B122" s="5" t="s">
        <v>101</v>
      </c>
      <c r="C122" s="5" t="s">
        <v>2536</v>
      </c>
      <c r="D122" s="5" t="s">
        <v>2537</v>
      </c>
      <c r="E122" s="5" t="s">
        <v>1697</v>
      </c>
      <c r="F122" s="5" t="s">
        <v>49</v>
      </c>
      <c r="G122" s="37" t="s">
        <v>2538</v>
      </c>
    </row>
    <row r="123" customFormat="false" ht="27.75" hidden="false" customHeight="true" outlineLevel="0" collapsed="false">
      <c r="A123" s="10" t="s">
        <v>1670</v>
      </c>
      <c r="B123" s="5" t="s">
        <v>101</v>
      </c>
      <c r="C123" s="5" t="s">
        <v>2539</v>
      </c>
      <c r="D123" s="5" t="s">
        <v>2155</v>
      </c>
      <c r="E123" s="5" t="s">
        <v>2540</v>
      </c>
      <c r="F123" s="5" t="s">
        <v>49</v>
      </c>
      <c r="G123" s="37" t="s">
        <v>2541</v>
      </c>
    </row>
    <row r="124" customFormat="false" ht="27.75" hidden="false" customHeight="true" outlineLevel="0" collapsed="false">
      <c r="A124" s="10" t="s">
        <v>1730</v>
      </c>
      <c r="B124" s="5" t="s">
        <v>101</v>
      </c>
      <c r="C124" s="5" t="s">
        <v>2542</v>
      </c>
      <c r="D124" s="5" t="s">
        <v>2222</v>
      </c>
      <c r="E124" s="5" t="s">
        <v>1701</v>
      </c>
      <c r="F124" s="5" t="s">
        <v>49</v>
      </c>
      <c r="G124" s="37" t="s">
        <v>2543</v>
      </c>
    </row>
    <row r="125" customFormat="false" ht="27.75" hidden="false" customHeight="true" outlineLevel="0" collapsed="false">
      <c r="A125" s="10" t="s">
        <v>2544</v>
      </c>
      <c r="B125" s="5" t="s">
        <v>101</v>
      </c>
      <c r="C125" s="5" t="s">
        <v>2545</v>
      </c>
      <c r="D125" s="5" t="s">
        <v>2546</v>
      </c>
      <c r="E125" s="5" t="s">
        <v>294</v>
      </c>
      <c r="F125" s="5" t="s">
        <v>45</v>
      </c>
      <c r="G125" s="37" t="s">
        <v>2547</v>
      </c>
    </row>
    <row r="126" customFormat="false" ht="27.75" hidden="false" customHeight="true" outlineLevel="0" collapsed="false">
      <c r="A126" s="10" t="s">
        <v>2548</v>
      </c>
      <c r="B126" s="5" t="s">
        <v>101</v>
      </c>
      <c r="C126" s="5" t="s">
        <v>2549</v>
      </c>
      <c r="D126" s="5" t="s">
        <v>2184</v>
      </c>
      <c r="E126" s="5" t="s">
        <v>766</v>
      </c>
      <c r="F126" s="5" t="s">
        <v>49</v>
      </c>
      <c r="G126" s="37" t="s">
        <v>2550</v>
      </c>
    </row>
    <row r="127" customFormat="false" ht="27.75" hidden="false" customHeight="true" outlineLevel="0" collapsed="false">
      <c r="A127" s="10" t="s">
        <v>1671</v>
      </c>
      <c r="B127" s="5" t="s">
        <v>101</v>
      </c>
      <c r="C127" s="5" t="s">
        <v>2551</v>
      </c>
      <c r="D127" s="5" t="s">
        <v>2479</v>
      </c>
      <c r="E127" s="5" t="s">
        <v>1146</v>
      </c>
      <c r="F127" s="5" t="s">
        <v>49</v>
      </c>
      <c r="G127" s="37" t="s">
        <v>2552</v>
      </c>
    </row>
    <row r="128" customFormat="false" ht="27.75" hidden="false" customHeight="true" outlineLevel="0" collapsed="false">
      <c r="A128" s="10" t="s">
        <v>1774</v>
      </c>
      <c r="B128" s="5" t="s">
        <v>103</v>
      </c>
      <c r="C128" s="5" t="s">
        <v>2553</v>
      </c>
      <c r="D128" s="5" t="s">
        <v>2479</v>
      </c>
      <c r="E128" s="5" t="s">
        <v>2554</v>
      </c>
      <c r="F128" s="5" t="s">
        <v>49</v>
      </c>
      <c r="G128" s="37" t="s">
        <v>2555</v>
      </c>
    </row>
    <row r="129" customFormat="false" ht="15" hidden="false" customHeight="true" outlineLevel="0" collapsed="false">
      <c r="A129" s="10" t="s">
        <v>1775</v>
      </c>
      <c r="B129" s="5" t="s">
        <v>103</v>
      </c>
      <c r="C129" s="5" t="s">
        <v>2556</v>
      </c>
      <c r="D129" s="5" t="s">
        <v>2343</v>
      </c>
      <c r="E129" s="5" t="s">
        <v>2557</v>
      </c>
      <c r="F129" s="5" t="s">
        <v>49</v>
      </c>
      <c r="G129" s="37" t="s">
        <v>2558</v>
      </c>
    </row>
    <row r="130" customFormat="false" ht="40.5" hidden="false" customHeight="true" outlineLevel="0" collapsed="false">
      <c r="A130" s="10" t="s">
        <v>1830</v>
      </c>
      <c r="B130" s="5" t="s">
        <v>103</v>
      </c>
      <c r="C130" s="5" t="s">
        <v>2559</v>
      </c>
      <c r="D130" s="5" t="s">
        <v>2150</v>
      </c>
      <c r="E130" s="5" t="s">
        <v>783</v>
      </c>
      <c r="F130" s="5" t="s">
        <v>49</v>
      </c>
      <c r="G130" s="37" t="s">
        <v>2560</v>
      </c>
    </row>
    <row r="131" customFormat="false" ht="27.75" hidden="false" customHeight="true" outlineLevel="0" collapsed="false">
      <c r="A131" s="10" t="s">
        <v>1776</v>
      </c>
      <c r="B131" s="5" t="s">
        <v>103</v>
      </c>
      <c r="C131" s="5" t="s">
        <v>2561</v>
      </c>
      <c r="D131" s="5" t="s">
        <v>2150</v>
      </c>
      <c r="E131" s="5" t="s">
        <v>2562</v>
      </c>
      <c r="F131" s="5" t="s">
        <v>49</v>
      </c>
      <c r="G131" s="37" t="s">
        <v>2563</v>
      </c>
    </row>
    <row r="132" customFormat="false" ht="27.75" hidden="false" customHeight="true" outlineLevel="0" collapsed="false">
      <c r="A132" s="10" t="s">
        <v>2564</v>
      </c>
      <c r="B132" s="5" t="s">
        <v>103</v>
      </c>
      <c r="C132" s="5" t="s">
        <v>2565</v>
      </c>
      <c r="D132" s="5" t="s">
        <v>2427</v>
      </c>
      <c r="E132" s="5" t="s">
        <v>121</v>
      </c>
      <c r="F132" s="5" t="s">
        <v>51</v>
      </c>
      <c r="G132" s="37" t="s">
        <v>2566</v>
      </c>
    </row>
    <row r="133" customFormat="false" ht="27.75" hidden="false" customHeight="true" outlineLevel="0" collapsed="false">
      <c r="A133" s="10" t="s">
        <v>1778</v>
      </c>
      <c r="B133" s="5" t="s">
        <v>103</v>
      </c>
      <c r="C133" s="5" t="s">
        <v>2567</v>
      </c>
      <c r="D133" s="5" t="s">
        <v>2479</v>
      </c>
      <c r="E133" s="5" t="s">
        <v>1146</v>
      </c>
      <c r="F133" s="5" t="s">
        <v>49</v>
      </c>
      <c r="G133" s="37" t="s">
        <v>2568</v>
      </c>
    </row>
    <row r="134" customFormat="false" ht="27.75" hidden="false" customHeight="true" outlineLevel="0" collapsed="false">
      <c r="A134" s="10" t="s">
        <v>1839</v>
      </c>
      <c r="B134" s="5" t="s">
        <v>103</v>
      </c>
      <c r="C134" s="5" t="s">
        <v>2569</v>
      </c>
      <c r="D134" s="5" t="s">
        <v>2150</v>
      </c>
      <c r="E134" s="5" t="s">
        <v>2570</v>
      </c>
      <c r="F134" s="5" t="s">
        <v>49</v>
      </c>
      <c r="G134" s="37" t="s">
        <v>2571</v>
      </c>
    </row>
    <row r="135" customFormat="false" ht="27.75" hidden="false" customHeight="true" outlineLevel="0" collapsed="false">
      <c r="A135" s="10" t="s">
        <v>1920</v>
      </c>
      <c r="B135" s="5" t="s">
        <v>104</v>
      </c>
      <c r="C135" s="5" t="s">
        <v>2572</v>
      </c>
      <c r="D135" s="5" t="s">
        <v>2573</v>
      </c>
      <c r="E135" s="5" t="s">
        <v>2574</v>
      </c>
      <c r="F135" s="5" t="s">
        <v>49</v>
      </c>
      <c r="G135" s="37" t="s">
        <v>2575</v>
      </c>
    </row>
    <row r="136" customFormat="false" ht="27.75" hidden="false" customHeight="true" outlineLevel="0" collapsed="false">
      <c r="A136" s="10" t="s">
        <v>1879</v>
      </c>
      <c r="B136" s="5" t="s">
        <v>104</v>
      </c>
      <c r="C136" s="5" t="s">
        <v>2576</v>
      </c>
      <c r="D136" s="5" t="s">
        <v>2343</v>
      </c>
      <c r="E136" s="5" t="s">
        <v>820</v>
      </c>
      <c r="F136" s="5" t="s">
        <v>49</v>
      </c>
      <c r="G136" s="37" t="s">
        <v>2577</v>
      </c>
    </row>
    <row r="137" customFormat="false" ht="27.75" hidden="false" customHeight="true" outlineLevel="0" collapsed="false">
      <c r="A137" s="10" t="s">
        <v>1931</v>
      </c>
      <c r="B137" s="5" t="s">
        <v>104</v>
      </c>
      <c r="C137" s="5" t="s">
        <v>2578</v>
      </c>
      <c r="D137" s="5" t="s">
        <v>2579</v>
      </c>
      <c r="E137" s="5" t="s">
        <v>1072</v>
      </c>
      <c r="F137" s="5" t="s">
        <v>49</v>
      </c>
      <c r="G137" s="37" t="s">
        <v>2580</v>
      </c>
    </row>
    <row r="138" customFormat="false" ht="27.75" hidden="false" customHeight="true" outlineLevel="0" collapsed="false">
      <c r="A138" s="10" t="s">
        <v>2581</v>
      </c>
      <c r="B138" s="5" t="s">
        <v>104</v>
      </c>
      <c r="C138" s="5" t="s">
        <v>2582</v>
      </c>
      <c r="D138" s="5" t="s">
        <v>2583</v>
      </c>
      <c r="E138" s="5" t="s">
        <v>1933</v>
      </c>
      <c r="F138" s="5" t="s">
        <v>45</v>
      </c>
      <c r="G138" s="37" t="s">
        <v>2584</v>
      </c>
    </row>
    <row r="139" customFormat="false" ht="27.75" hidden="false" customHeight="true" outlineLevel="0" collapsed="false">
      <c r="A139" s="10" t="s">
        <v>2585</v>
      </c>
      <c r="B139" s="5" t="s">
        <v>104</v>
      </c>
      <c r="C139" s="5" t="s">
        <v>2586</v>
      </c>
      <c r="D139" s="5" t="s">
        <v>2222</v>
      </c>
      <c r="E139" s="5" t="s">
        <v>2434</v>
      </c>
      <c r="F139" s="5" t="s">
        <v>49</v>
      </c>
      <c r="G139" s="37" t="s">
        <v>2587</v>
      </c>
    </row>
    <row r="140" customFormat="false" ht="27.75" hidden="false" customHeight="true" outlineLevel="0" collapsed="false">
      <c r="A140" s="10" t="s">
        <v>1942</v>
      </c>
      <c r="B140" s="5" t="s">
        <v>104</v>
      </c>
      <c r="C140" s="5" t="s">
        <v>2588</v>
      </c>
      <c r="D140" s="5" t="s">
        <v>2583</v>
      </c>
      <c r="E140" s="5" t="s">
        <v>1938</v>
      </c>
      <c r="F140" s="5" t="s">
        <v>45</v>
      </c>
      <c r="G140" s="37" t="s">
        <v>2589</v>
      </c>
    </row>
    <row r="141" customFormat="false" ht="15" hidden="false" customHeight="true" outlineLevel="0" collapsed="false">
      <c r="A141" s="10" t="s">
        <v>1963</v>
      </c>
      <c r="B141" s="5" t="s">
        <v>104</v>
      </c>
      <c r="C141" s="5" t="s">
        <v>2590</v>
      </c>
      <c r="D141" s="5" t="s">
        <v>2591</v>
      </c>
      <c r="E141" s="5" t="s">
        <v>1898</v>
      </c>
      <c r="F141" s="5" t="s">
        <v>49</v>
      </c>
      <c r="G141" s="37" t="s">
        <v>2592</v>
      </c>
    </row>
    <row r="142" customFormat="false" ht="27.75" hidden="false" customHeight="true" outlineLevel="0" collapsed="false">
      <c r="A142" s="10" t="s">
        <v>1915</v>
      </c>
      <c r="B142" s="5" t="s">
        <v>104</v>
      </c>
      <c r="C142" s="5" t="s">
        <v>2593</v>
      </c>
      <c r="D142" s="5" t="s">
        <v>2594</v>
      </c>
      <c r="E142" s="5" t="s">
        <v>825</v>
      </c>
      <c r="F142" s="5" t="s">
        <v>49</v>
      </c>
      <c r="G142" s="37" t="s">
        <v>2595</v>
      </c>
    </row>
    <row r="143" customFormat="false" ht="27.75" hidden="false" customHeight="true" outlineLevel="0" collapsed="false">
      <c r="A143" s="10" t="s">
        <v>2596</v>
      </c>
      <c r="B143" s="5" t="s">
        <v>106</v>
      </c>
      <c r="C143" s="5" t="s">
        <v>2597</v>
      </c>
      <c r="D143" s="5" t="s">
        <v>2150</v>
      </c>
      <c r="E143" s="5" t="s">
        <v>2004</v>
      </c>
      <c r="F143" s="5" t="s">
        <v>49</v>
      </c>
      <c r="G143" s="37" t="s">
        <v>2598</v>
      </c>
    </row>
    <row r="144" customFormat="false" ht="27.75" hidden="false" customHeight="true" outlineLevel="0" collapsed="false">
      <c r="A144" s="10" t="s">
        <v>2599</v>
      </c>
      <c r="B144" s="5" t="s">
        <v>106</v>
      </c>
      <c r="C144" s="5" t="s">
        <v>2600</v>
      </c>
      <c r="D144" s="5" t="s">
        <v>2601</v>
      </c>
      <c r="E144" s="5" t="s">
        <v>789</v>
      </c>
      <c r="F144" s="5" t="s">
        <v>49</v>
      </c>
      <c r="G144" s="37" t="s">
        <v>2602</v>
      </c>
    </row>
    <row r="145" customFormat="false" ht="27.75" hidden="false" customHeight="true" outlineLevel="0" collapsed="false">
      <c r="A145" s="10" t="s">
        <v>2603</v>
      </c>
      <c r="B145" s="5" t="s">
        <v>106</v>
      </c>
      <c r="C145" s="5" t="s">
        <v>2604</v>
      </c>
      <c r="D145" s="5" t="s">
        <v>2605</v>
      </c>
      <c r="E145" s="5" t="s">
        <v>972</v>
      </c>
      <c r="F145" s="5" t="s">
        <v>49</v>
      </c>
      <c r="G145" s="37" t="s">
        <v>2606</v>
      </c>
    </row>
    <row r="146" customFormat="false" ht="27.75" hidden="false" customHeight="true" outlineLevel="0" collapsed="false">
      <c r="A146" s="10" t="s">
        <v>2607</v>
      </c>
      <c r="B146" s="5" t="s">
        <v>106</v>
      </c>
      <c r="C146" s="5" t="s">
        <v>2608</v>
      </c>
      <c r="D146" s="5" t="s">
        <v>2470</v>
      </c>
      <c r="E146" s="5" t="s">
        <v>1072</v>
      </c>
      <c r="F146" s="5" t="s">
        <v>49</v>
      </c>
      <c r="G146" s="37" t="s">
        <v>2609</v>
      </c>
    </row>
    <row r="147" customFormat="false" ht="27.75" hidden="false" customHeight="true" outlineLevel="0" collapsed="false">
      <c r="A147" s="10" t="s">
        <v>2026</v>
      </c>
      <c r="B147" s="5" t="s">
        <v>106</v>
      </c>
      <c r="C147" s="5" t="s">
        <v>2610</v>
      </c>
      <c r="D147" s="5" t="s">
        <v>2150</v>
      </c>
      <c r="E147" s="5" t="s">
        <v>2611</v>
      </c>
      <c r="F147" s="5" t="s">
        <v>49</v>
      </c>
      <c r="G147" s="37" t="s">
        <v>2612</v>
      </c>
    </row>
    <row r="148" customFormat="false" ht="27.75" hidden="false" customHeight="true" outlineLevel="0" collapsed="false">
      <c r="A148" s="10" t="s">
        <v>1881</v>
      </c>
      <c r="B148" s="5" t="s">
        <v>2613</v>
      </c>
      <c r="C148" s="5" t="s">
        <v>2614</v>
      </c>
      <c r="D148" s="5" t="s">
        <v>2479</v>
      </c>
      <c r="E148" s="5" t="s">
        <v>1146</v>
      </c>
      <c r="F148" s="5" t="s">
        <v>49</v>
      </c>
      <c r="G148" s="37" t="s">
        <v>2615</v>
      </c>
    </row>
  </sheetData>
  <hyperlinks>
    <hyperlink ref="G5" r:id="rId1" display="https://www.marutisuzuki.com/corporate/media/press-releases/2010/january/maruti-suzuki-financial-results"/>
    <hyperlink ref="G6" r:id="rId2" display="https://www.marutisuzuki.com/corporate/media/press-releases/2010/march/maruti-suzuki-manufactures-10-lakh-units-in-2009-10"/>
    <hyperlink ref="G7" r:id="rId3" display="https://www.marutisuzuki.com/corporate/media/press-releases/2010/september/maruti-suzuki-to-establish-new-plant-at-manesar"/>
    <hyperlink ref="G8" r:id="rId4" display="https://www.scribd.com/doc/51372005/manish"/>
    <hyperlink ref="G9" r:id="rId5" display="https://www.globalsuzuki.com/globalnews/2011/0315.html"/>
    <hyperlink ref="G10" r:id="rId6" display="https://www.globalsuzuki.com/globalnews/2015/0512.html"/>
    <hyperlink ref="G11" r:id="rId7" display="https://autocarpro.in/news-national/maruti-suzuki-looks-squeeze-production-existing-plants-10531"/>
    <hyperlink ref="G12" r:id="rId8" display="https://www.rushlane.com/amp/suzuki-motor-gujarat-plant-approved-by-msil-12177864.html"/>
    <hyperlink ref="G13" r:id="rId9" display="https://www.rushlane.com/amp/maruti-swift-production-gets-a-boost-12294033.html"/>
    <hyperlink ref="G14" r:id="rId10" display="https://www.globalsuzuki.com/globalnews/2021/0402.html"/>
    <hyperlink ref="G15" r:id="rId11" display="https://www.globalsuzuki.com/globalnews/2023/1206a.html"/>
    <hyperlink ref="G16" r:id="rId12" display="https://www.outlookbusiness.com/news/maruti-suzuki-may-expand-manesar-plant-capacity-by-one-lakh-units-by-april-2024-news-235140"/>
    <hyperlink ref="G17" r:id="rId13" display="https://www.automotiveworld.com/?p=417537"/>
    <hyperlink ref="G18" r:id="rId14" display="https://www.marutisuzuki.com/corporate/media/press-releases/2025/february/maruti-suzuki-begins-commercial-production-at-kharkhoda"/>
    <hyperlink ref="G19" r:id="rId15" display="https://www.globalsuzuki.com/globalnews/2025/0225.html"/>
    <hyperlink ref="G20" r:id="rId16" display="https://www.motorbeam.com/?p=322906"/>
    <hyperlink ref="G21" r:id="rId17" display="https://nsearchives.nseindia.com/corporate/MARUTI_28042026145344_StxIntimation_PressRelease_31Mar2026.pdf"/>
    <hyperlink ref="G22" r:id="rId18" display="https://emobilityplus.com/2026/04/24/maruti-suzuki-hits-record-2-34-million-production-milestone-in-fy26-sets-sights-on-expansion/amp/"/>
    <hyperlink ref="G23" r:id="rId19" display="https://www.en.meroauto.com/?p=12740"/>
    <hyperlink ref="G24" r:id="rId20" display="https://www.marutisuzuki.com/corporate/media/press-releases/2026/may/maruti-suzuki-commences-commercial-production-at-2nd-plant-in-kharkhoda-haryana"/>
    <hyperlink ref="G25" r:id="rId21" display="https://nsearchives.nseindia.com/corporate/MARUTIASHISH_30072026133341_STxIntimation_Hansalpur_ProductionCommencement_30July2026.pdf"/>
    <hyperlink ref="G26" r:id="rId22" display="https://bseindia.com/xml-data/corpfiling/AttachHis/3b4d6cb6-9777-4619-a255-e0b0cfc4a7e7.pdf"/>
    <hyperlink ref="G27" r:id="rId23" display="https://www.motorbeam.com/?p=316344"/>
    <hyperlink ref="G28" r:id="rId24" display="https://www.moneyworks4me.com/mobile/news/index/id/16840/fincode/"/>
    <hyperlink ref="G29" r:id="rId25" display="https://machinist.in/2025/02/maruti-suzuki-starts-commercial-production-at-haryana-plant/"/>
    <hyperlink ref="G30" r:id="rId26" display="https://indiainfrahub.com/news/maruti-to-shift-from-gurugram-but-remain-in-haryana-gets-nod-for-900-acre-land-in-kharkhoda-for-new-facility/"/>
    <hyperlink ref="G31" r:id="rId27" display="https://www.rushlane.com/maruti-manesar-plant-capacity-increased-to-9-lakh-cars-per-annum-12492697.html"/>
    <hyperlink ref="G32" r:id="rId28" display="https://mobilityoutlook.com/news/maruti-suzukis-manesar-facility-achieves-milestone-of-1-crore-units"/>
    <hyperlink ref="G33" r:id="rId29" display="https://www.rushlane.com/amp/maruti-gurgaon-plant-shift-12291611.html"/>
    <hyperlink ref="G34" r:id="rId30" display="https://www.cartrade.com/news/maruti-suzuki-expansion-plans-for-india-112775.html"/>
    <hyperlink ref="G35" r:id="rId31" display="https://www.cartrade.com/news/hyundai-motor-india-inaugurates-new-plant-100053.html"/>
    <hyperlink ref="G36" r:id="rId32" display="https://businesstoday.in/magazine/current/story/getting-back-to-speed-129813-2008-02-05"/>
    <hyperlink ref="G37" r:id="rId33" display="https://www.autocarpro.in/analysis-report/automotive-oscars-4663"/>
    <hyperlink ref="G38" r:id="rId34" display="https://www.segmenty.com/GenerateNewsStaticJsps/Hyundai_to_ramp_up_production_capacity_by_12_.html"/>
    <hyperlink ref="G39" r:id="rId35" display="https://wardsauto.com/industry/hyundai-adding-capacity-build-success-india"/>
    <hyperlink ref="G40" r:id="rId36" display="https://www.autocarpro.in/news-national/hyundai-motor-indiaexpands-production-capacity-plans-8-new-models-over-next-2-years-40275"/>
    <hyperlink ref="G41" r:id="rId37" display="https://www.eqmagpro.com/hyundai-plans-to-roll-out-electric-vehicles-from-chennai-plant/"/>
    <hyperlink ref="G42" r:id="rId38" display="https://ipocentral.in/hyundai-motor-india-ipo-10-key-points/"/>
    <hyperlink ref="G43" r:id="rId39" display="https://www.outlookbusiness.com/news/hyundai-inks-asset-purchase-agreement-to-acquire-gm-s-talegaon-plant-news-311013"/>
    <hyperlink ref="G44" r:id="rId40" display="https://india.entrepreneur.com/news-and-trends/hyundai-india-eyes-yearly-output-of-1-million-units/475766"/>
    <hyperlink ref="G45" r:id="rId41" display="https://www.hyundai.com/content/dam/hyundai/in/en/images/investor-relations/annual-reports/Boards-Report.pdf"/>
    <hyperlink ref="G46" r:id="rId42" display="https://machinist.in/2025/10/hyundai-motor-india-expands-talegaon-plant-for-passenger-vehicle-production/"/>
    <hyperlink ref="G47" r:id="rId43" display="https://machinist.in/?p=4247"/>
    <hyperlink ref="G48" r:id="rId44" display="https://autocarpro.in/news-national/next-gen-hyundai-venue-to-roll-out-from-newly-acquired-talegaon-plant-116383"/>
    <hyperlink ref="G49" r:id="rId45" display="https://insights.dsij.in/dsijarticledetail/hyundai-motor-india-posts-record-september-sales-as-domestic-demand-and-exports-accelerate"/>
    <hyperlink ref="G50" r:id="rId46" display="https://machinist.in/?p=3559"/>
    <hyperlink ref="G51" r:id="rId47" display="https://www.industryweek.com/companies-amp-executives/hyundai-makes-india-its-biggest-foreign-manufacturing-site"/>
    <hyperlink ref="G52" r:id="rId48" display="https://www.sarkaritel.com/?p=219485"/>
    <hyperlink ref="G53" r:id="rId49" display="https://indbiz.gov.in/hyundai-to-expand-chennai-plant"/>
    <hyperlink ref="G54" r:id="rId50" display="https://www.mahindratruckandbus.com/english/blog/new-mahindra-mahindra-plant-inaugurated.aspx"/>
    <hyperlink ref="G55" r:id="rId51" display="https://autocarpro.in/news-national/mahindras-chakan-zaheerabad-and-haridwar-plants-roll-out-their-millionth-vehicle-43483"/>
    <hyperlink ref="G56" r:id="rId52" display="https://obeta.ttef.in/business/mahindra-suv-expansion-plan/cid/1897912"/>
    <hyperlink ref="G57" r:id="rId53" display="https://www.business-standard.com/amp/companies/news/aiming-to-maintain-leadership-position-in-suv-segment-mahindra-group-cfo-123060400220_1.html"/>
    <hyperlink ref="G58" r:id="rId54" display="https://autocarpro.in/analysis-sales/rapid-ramp-up-in-production-sees-mahindras-suv-backlog-reduce-to-220000-units-120561"/>
    <hyperlink ref="G59" r:id="rId55" display="https://autocarpro.in/news/mm-readies-itself-with-10000-units-per-month-capacity-for-evs-123428"/>
    <hyperlink ref="G60" r:id="rId56" display="https://www.business-standard.com/amp/companies/quarterly-results/mahindra-mahindra-q4-profit-rises-on-suv-tractor-demand-125050500650_1.html"/>
    <hyperlink ref="G61" r:id="rId57" display="https://www.autocarpro.in/news/mahindra-maps-2x-capacity-expansion-by-fy31-targets-92000-units-in-2-years-133820"/>
    <hyperlink ref="G62" r:id="rId58" display="https://www.autocarpro.in/news/mahindra-plans-production-capacity-ramp-up-to-double-by-fy31-133811?amp=1"/>
    <hyperlink ref="G63" r:id="rId59" display="https://www.autocarindia.com/car-news/mahindra-to-set-up-rs-15000-crore-manufacturing-plant-in-maharashtra-439001"/>
    <hyperlink ref="G64" r:id="rId60" display="https://www.rushlane.com/mahindra-to-launch-10-new-ice-suvs-6-bevs-produce-82k-suvs-12545847.html"/>
    <hyperlink ref="G65" r:id="rId61" display="https://www.autocarpro.in/news/mahindra-mahindra-reports-25-domestic-suv-growth-to-60272-units-in-march-2026-achieves-record-fy26-annual-volume-of-660276-131896?amp=1"/>
    <hyperlink ref="G66" r:id="rId62" display="https://www.autocarpro.in/news/hyundai-slips-to-no-4-as-mahindra-and-tata-motors-both-overtake-it-in-fy26-domestic-pv-sales-131913?amp=1"/>
    <hyperlink ref="G67" r:id="rId63" display="https://www.rushlane.com/mahindra-scorpio-n-deliveries-start-production-plant-12447400.html"/>
    <hyperlink ref="G68" r:id="rId64" display="https://nsearchives.nseindia.com/corporate/GREAVESCOT_07022026162856_Greavescot_07022026_signed.pdf"/>
    <hyperlink ref="G69" r:id="rId65" display="https://www.just-auto.com/?p=29481"/>
    <hyperlink ref="G70" r:id="rId66" display="https://www.wardsauto.com/node/353"/>
    <hyperlink ref="G71" r:id="rId67" display="https://www.marklines.com/en/search/0?q=Scorpio"/>
    <hyperlink ref="G72" r:id="rId68" display="https://www.autocarpro.in/NEWS/mahindra-expects-mid-teens-growth-for-its-suvs-in-fy-27-tractor-market-growth-in-mid-single-digits-132421"/>
    <hyperlink ref="G73" r:id="rId69" display="https://pages.stern.nyu.edu/~adamodar/pdfiles/acf4E/data/Tata%20Motors/20F2011.pdf"/>
    <hyperlink ref="G74" r:id="rId70" display="https://www.automotiveworld.com/?p=138222"/>
    <hyperlink ref="G75" r:id="rId71" display="https://www.moneyworks4me.com/company/news/index/id/16534"/>
    <hyperlink ref="G76" r:id="rId72" display="https://www.autocarpro.in/news-national/tata-motors-to-ramp-up-capacity-at-sanand-plant-40376?amp=1"/>
    <hyperlink ref="G77" r:id="rId73" display="https://autocarpro.in/news-national/tata-motors-boosting-capacity-to-sell-half-a-million-cars-annually-81399"/>
    <hyperlink ref="G78" r:id="rId74" display="https://www.automotiveworld.com/?p=370646"/>
    <hyperlink ref="G79" r:id="rId75" display="https://www.tatamotors.com/wp-content/uploads/2024/06/tata-motors-group-investor-day-presentation.pdf"/>
    <hyperlink ref="G80" r:id="rId76" display="https://www.automotiveworld.com/news/jlr-to-assemble-evoque-in-india-as-production-moves-east/"/>
    <hyperlink ref="G81" r:id="rId77" display="https://segmenty.com/GenerateNewsStaticJsps/Tata_Motors__JLR_begin_operations_at_new_Tamil_Nadu_manufacturing_plant.html"/>
    <hyperlink ref="G82" r:id="rId78" display="https://machinist.in/?p=6445"/>
    <hyperlink ref="G83" r:id="rId79" display="https://www.autocarpro.in/news/tata-motors-targets-13-million-annual-capacity-as-demand-outpaces-production-133296"/>
    <hyperlink ref="G84" r:id="rId80" display="https://www.autocarpro.in/news/tata-motors-readies-flexible-manufacturing-network-for-next-phase-of-pv-growth-133238?amp=1"/>
    <hyperlink ref="G85" r:id="rId81" display="https://www.business-standard.com/article/companies/tata-motors-pant-nagar-plant-to-start-by-april-106120801011_1.html"/>
    <hyperlink ref="G86" r:id="rId82" display="https://cv.tatamotors.com/news/tata-motors-achieves-10-lakh-commercial-vehicles-production-milestone-at-its-lucknow-plant"/>
    <hyperlink ref="G87" r:id="rId83" display="https://www.tataworld.com/news/openinside/tata-motors-q4-fy26-sales-growth-132465-units"/>
    <hyperlink ref="G88" r:id="rId84" display="https://en.wikipedia.org/wiki/Tata_Motors"/>
    <hyperlink ref="G89" r:id="rId85" display="https://www.businesstoday.in/auto/story/green-light-tata-motorss-eu3-8-billion-iveco-takeover-gets-italian-regulators-nod-553314-2026-09-04"/>
    <hyperlink ref="G90" r:id="rId86" display="https://fleetworld.co.uk/tata-motors-to-acquire-iveco-group-for-3-3bn/"/>
    <hyperlink ref="G91" r:id="rId87" display="https://trucks.cardekho.com/en/news/detail/tata-motors-to-enhance-capacity-at-pantnagar-plant-for-cv-production-337.html"/>
    <hyperlink ref="G92" r:id="rId88" display="https://www.icra.in/Rating/ShowRationalReportFilePdfViewer/126168"/>
    <hyperlink ref="G93" r:id="rId89" display="https://www.business-standard.com/article/companies/ashok-leyland-s-pantnagar-plant-to-go-onstream-soon-109100300068_1.html"/>
    <hyperlink ref="G94" r:id="rId90" display="https://www.autocarpro.in/interview/seshasayee-4306"/>
    <hyperlink ref="G95" r:id="rId91" display="https://www.business-standard.com/article/companies/to-raise-up-to-rs-600-cr-debt-this-fiscal-ashok-leyland-110090700203_1.html"/>
    <hyperlink ref="G96" r:id="rId92" display="https://equipmentindia.com/construction-machinery-news/top-equipment-news/webexclusive/Ashok-Leyland-capacity-utilisation/31724"/>
    <hyperlink ref="G97" r:id="rId93" display="https://ashokleyland.com/ae/pressrelease/ashok-leyland-inaugurates-new-bus-manufacturing-plant-near-vijayawada-andhra-pradesh"/>
    <hyperlink ref="G98" r:id="rId94" display="https://www.autocarpro.in/news/ashok-leyland-opens-ev-plant-in-lucknow-130495"/>
    <hyperlink ref="G99" r:id="rId95" display="https://www.automotiveworld.com/data/oem-production/ashok-leyland-performance-and-production-forecast-to-2031/"/>
    <hyperlink ref="G100" r:id="rId96" display="https://www.indiainfoline.com/company/ashok-leyland-ltd/summary"/>
    <hyperlink ref="G101" r:id="rId97" display="https://themachinemaker.com/news/ashok-leyland-aims-for-45-market-share-in-south-india/"/>
    <hyperlink ref="G102" r:id="rId98" display="https://oga-prod.angelone.in/news/stocks/ashok-leyland-expands-into-uttar-pradesh-with-landmark-1-000-crore-electric-bus-plant"/>
    <hyperlink ref="G103" r:id="rId99" display="https://en.wikipedia.org/wiki/Ashok_Leyland"/>
    <hyperlink ref="G104" r:id="rId100" display="https://bikeadvice.in/?p=6202"/>
    <hyperlink ref="G105" r:id="rId101" display="https://www.motorbeam.com/?p=21440"/>
    <hyperlink ref="G106" r:id="rId102" display="https://www.arihantcapital.com/company-information/about-company/28074"/>
    <hyperlink ref="G107" r:id="rId103" display="https://bikeadvice.in/?p=20788"/>
    <hyperlink ref="G108" r:id="rId104" display="https://www.scribd.com/document/870311235/chapter"/>
    <hyperlink ref="G109" r:id="rId105" display="https://in.tradingview.com/chart/BAJAJ_AUTO/SgEZNJon-After-falling-25-Nifty50-stock-is-giving-good-entry-to-go-long/"/>
    <hyperlink ref="G110" r:id="rId106" display="https://www.businesstoday.in/auto/story/bajaj-auto-to-ramp-up-capacity-of-chetak-to-60000-units-per-month-544296-2026-07-21"/>
    <hyperlink ref="G111" r:id="rId107" display="https://ticker.finology.in/discover/market-update/bajaj-auto-march-2026-sales-analysis"/>
    <hyperlink ref="G112" r:id="rId108" display="https://www.incredmoney.com/stocks/bajaj-auto-ltd"/>
    <hyperlink ref="G113" r:id="rId109" display="https://indiainfoline.com/company/tvs-motor-company-ltd/summary"/>
    <hyperlink ref="G114" r:id="rId110" display="https://www.autocarpro.in/news-national/tvsresumes-production-at-hosur-mysore-and-nalagarh-plants-56315"/>
    <hyperlink ref="G115" r:id="rId111" display="https://www.tvsmotor.com/en/ke/about-us/overview"/>
    <hyperlink ref="G116" r:id="rId112" display="https://kuwait.tvsmotor.com/overview"/>
    <hyperlink ref="G117" r:id="rId113" display="https://bikeadvice.in/?p=92063"/>
    <hyperlink ref="G118" r:id="rId114" display="https://www.tvsmotor.com/media/press-release/tvs-motor-company-highest-ever-sales-fy-2025-26"/>
    <hyperlink ref="G119" r:id="rId115" display="https://www.tvsmotor.com/ar-25-26/pdf/6.%20Statutory%20Reports/04.%20Management%20Discussion%20and%20Analysis.pdf"/>
    <hyperlink ref="G120" r:id="rId116" display="https://www.segmenty.com/GenerateNewsStaticJsps/Royal_Enfield_to_hike_annual_capacity_in_2014.html"/>
    <hyperlink ref="G121" r:id="rId117" display="https://bikeindia.in/?p=13474"/>
    <hyperlink ref="G122" r:id="rId118" display="https://autocarpro.in/news-national/royalenfieldexpandscapacitybeginsproductionplant-25942"/>
    <hyperlink ref="G123" r:id="rId119" display="https://www.rushlane.com/royal-enfield-production-capacity-12267755.html"/>
    <hyperlink ref="G124" r:id="rId120" display="https://machinist.in/2025/06/royal-enfield-opens-new-manufacturing-facility-in-cheyyar-tamil-nadu/"/>
    <hyperlink ref="G125" r:id="rId121" display="https://nsearchives.nseindia.com/corporate/EICHERMOT_18052026163025_EMLPressReleaseCapacityexpansionMay182026Signed.pdf"/>
    <hyperlink ref="G126" r:id="rId122" display="https://www.motorbeam.com/royal-enfield-capacity-expansion-20-lakh/amp"/>
    <hyperlink ref="G127" r:id="rId123" display="https://bikeadvice.in/?p=91466"/>
    <hyperlink ref="G128" r:id="rId124" display="https://bikeadvice.in/hero-motocorp-expand-annual-capacity-7-million-units/"/>
    <hyperlink ref="G129" r:id="rId125" display="https://www.autocarindia.com/bike-news-amp/hero-motocorp-391181"/>
    <hyperlink ref="G130" r:id="rId126" display="https://autocarpro.in/news-national/hero-motocorps-chittoor-plant-begins-production-55925"/>
    <hyperlink ref="G131" r:id="rId127" display="https://autocarpro.in/news-national/hero-motocorp-haridwar-plant-crosses-25-million-cumulative-production-milestone-44511"/>
    <hyperlink ref="G132" r:id="rId128" display="https://en.wikipedia.com/wiki/Hero_Honda"/>
    <hyperlink ref="G133" r:id="rId129" display="https://bikeadvice.in/?p=91491"/>
    <hyperlink ref="G134" r:id="rId130" display="https://www.autocarpro.in/news/hero-motocorp-lines-up-%e2%82%b91500-cr-capex-for-fy27-to-double-ev-capacity-132442"/>
    <hyperlink ref="G135" r:id="rId131" display="https://electrek.co/2021/03/10/this-carbon-negative-massive-megafactory-will-produce-an-ev-every-2-seconds/"/>
    <hyperlink ref="G136" r:id="rId132" display="https://www.autocarindia.com/auto-features-amp/inside-ola-electrics-futurefactory-424761"/>
    <hyperlink ref="G137" r:id="rId133" display="https://www.moneyworks4me.com/blog/ola-electric-drhp-insights"/>
    <hyperlink ref="G138" r:id="rId134" display="https://nsearchives.nseindia.com/corporate/OLAELECTRIC_14072025104713_Press_Release_OEM.pdf"/>
    <hyperlink ref="G139" r:id="rId135" display="https://machinist.in/2025/07/ola-electric-targets-in-house-battery-and-motor-production-by-fy27/"/>
    <hyperlink ref="G140" r:id="rId136" display="https://nsearchives.nseindia.com/corporate/OLAELECTRIC_13022026160923_Press_Release_Intimation_OEM.pdf"/>
    <hyperlink ref="G141" r:id="rId137" display="https://evreporter.com/ola-electric-secures-inr-3200-crores/"/>
    <hyperlink ref="G142" r:id="rId138" display="https://www.electronicsb2b.com/industry-buzz/ola-electric-2-wheeler-plant-to-begin-production-in-coming-months/"/>
    <hyperlink ref="G143" r:id="rId139" display="https://autocarpro.in/news-national/ather-energys-second-plant-at-hosur-goes-on-stream-expands-capacity-to-400000-units-113428"/>
    <hyperlink ref="G144" r:id="rId140" display="https://iamabiker.com/avin/2022/ather-energy-opens-second-manufacturing-facility-in-hosur/"/>
    <hyperlink ref="G145" r:id="rId141" display="https://deccanherald.com/business/ather-energy-to-set-up-third-manufacturing-plant-in-maharashtra-3082215"/>
    <hyperlink ref="G146" r:id="rId142" display="https://themachinemaker.com/news/ather-energy-to-invest-over-rs-2000-crore-in-new-maharashtra-plant/"/>
    <hyperlink ref="G147" r:id="rId143" display="https://www.autocarpro.in/news/ather-explores-accelerating-aurangabad-phase-2-expansion-if-ev-demand-surges-continue-133896"/>
    <hyperlink ref="G148" r:id="rId144" display="https://bikeadvice.in/?p=91574"/>
  </hyperlink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4" min="4" style="0" width="8"/>
    <col collapsed="false" customWidth="true" hidden="false" outlineLevel="0" max="5" min="5" style="0" width="13"/>
    <col collapsed="false" customWidth="true" hidden="false" outlineLevel="0" max="7" min="7" style="0" width="8"/>
    <col collapsed="false" customWidth="true" hidden="false" outlineLevel="0" max="8" min="8" style="0" width="13"/>
    <col collapsed="false" customWidth="true" hidden="false" outlineLevel="0" max="10" min="10" style="0" width="8"/>
    <col collapsed="false" customWidth="true" hidden="false" outlineLevel="0" max="11" min="11" style="0" width="13"/>
    <col collapsed="false" customWidth="true" hidden="false" outlineLevel="0" max="13" min="13" style="0" width="8"/>
    <col collapsed="false" customWidth="true" hidden="false" outlineLevel="0" max="14" min="14" style="0" width="13"/>
    <col collapsed="false" customWidth="true" hidden="false" outlineLevel="0" max="16" min="16" style="0" width="8"/>
    <col collapsed="false" customWidth="true" hidden="false" outlineLevel="0" max="17" min="17" style="0" width="13"/>
    <col collapsed="false" customWidth="true" hidden="false" outlineLevel="0" max="19" min="19" style="0" width="8"/>
    <col collapsed="false" customWidth="true" hidden="false" outlineLevel="0" max="20" min="20" style="0" width="13"/>
    <col collapsed="false" customWidth="true" hidden="false" outlineLevel="0" max="22" min="22" style="0" width="8"/>
    <col collapsed="false" customWidth="true" hidden="false" outlineLevel="0" max="23" min="23" style="0" width="13"/>
    <col collapsed="false" customWidth="true" hidden="false" outlineLevel="0" max="25" min="25" style="0" width="8"/>
    <col collapsed="false" customWidth="true" hidden="false" outlineLevel="0" max="26" min="26" style="0" width="13"/>
    <col collapsed="false" customWidth="true" hidden="false" outlineLevel="0" max="28" min="28" style="0" width="8"/>
    <col collapsed="false" customWidth="true" hidden="false" outlineLevel="0" max="29" min="29" style="0" width="13"/>
    <col collapsed="false" customWidth="true" hidden="false" outlineLevel="0" max="32" min="32" style="0" width="18"/>
  </cols>
  <sheetData>
    <row r="1" customFormat="false" ht="15" hidden="false" customHeight="false" outlineLevel="0" collapsed="false">
      <c r="A1" s="2" t="s">
        <v>2616</v>
      </c>
    </row>
    <row r="3" customFormat="false" ht="15" hidden="false" customHeight="false" outlineLevel="0" collapsed="false">
      <c r="A3" s="38" t="s">
        <v>90</v>
      </c>
      <c r="D3" s="38" t="s">
        <v>92</v>
      </c>
      <c r="G3" s="38" t="s">
        <v>93</v>
      </c>
      <c r="J3" s="38" t="s">
        <v>94</v>
      </c>
      <c r="M3" s="38" t="s">
        <v>98</v>
      </c>
      <c r="P3" s="38" t="s">
        <v>100</v>
      </c>
      <c r="S3" s="38" t="s">
        <v>101</v>
      </c>
      <c r="V3" s="38" t="s">
        <v>103</v>
      </c>
      <c r="Y3" s="38" t="s">
        <v>104</v>
      </c>
      <c r="AB3" s="38" t="s">
        <v>106</v>
      </c>
      <c r="AF3" s="38" t="s">
        <v>2617</v>
      </c>
    </row>
    <row r="4" customFormat="false" ht="15" hidden="false" customHeight="false" outlineLevel="0" collapsed="false">
      <c r="A4" s="39" t="s">
        <v>319</v>
      </c>
      <c r="B4" s="39" t="s">
        <v>2618</v>
      </c>
      <c r="D4" s="39" t="s">
        <v>319</v>
      </c>
      <c r="E4" s="39" t="s">
        <v>2618</v>
      </c>
      <c r="G4" s="39" t="s">
        <v>319</v>
      </c>
      <c r="H4" s="39" t="s">
        <v>2618</v>
      </c>
      <c r="J4" s="39" t="s">
        <v>319</v>
      </c>
      <c r="K4" s="39" t="s">
        <v>2618</v>
      </c>
      <c r="M4" s="39" t="s">
        <v>319</v>
      </c>
      <c r="N4" s="39" t="s">
        <v>2618</v>
      </c>
      <c r="P4" s="39" t="s">
        <v>319</v>
      </c>
      <c r="Q4" s="39" t="s">
        <v>2618</v>
      </c>
      <c r="S4" s="39" t="s">
        <v>319</v>
      </c>
      <c r="T4" s="39" t="s">
        <v>2618</v>
      </c>
      <c r="V4" s="39" t="s">
        <v>319</v>
      </c>
      <c r="W4" s="39" t="s">
        <v>2618</v>
      </c>
      <c r="Y4" s="39" t="s">
        <v>319</v>
      </c>
      <c r="Z4" s="39" t="s">
        <v>2618</v>
      </c>
      <c r="AB4" s="39" t="s">
        <v>319</v>
      </c>
      <c r="AC4" s="39" t="s">
        <v>2618</v>
      </c>
    </row>
    <row r="5" customFormat="false" ht="15" hidden="false" customHeight="false" outlineLevel="0" collapsed="false">
      <c r="A5" s="40" t="n">
        <v>2010</v>
      </c>
      <c r="B5" s="41" t="n">
        <f aca="false">'Maruti Suzuki'!C19/1000000</f>
        <v>1</v>
      </c>
      <c r="D5" s="40" t="n">
        <v>2010</v>
      </c>
      <c r="E5" s="41" t="n">
        <f aca="false">'Hyundai India'!C19/1000000</f>
        <v>0.6</v>
      </c>
      <c r="G5" s="40" t="n">
        <v>2020</v>
      </c>
      <c r="H5" s="41" t="n">
        <f aca="false">'M&amp;M'!M19/1000000</f>
        <v>0.228</v>
      </c>
      <c r="J5" s="40" t="n">
        <v>2022</v>
      </c>
      <c r="K5" s="41" t="n">
        <f aca="false">'Tata PV'!O19/1000000</f>
        <v>0.48</v>
      </c>
      <c r="M5" s="40" t="n">
        <v>2011</v>
      </c>
      <c r="N5" s="41" t="n">
        <f aca="false">'Bajaj Auto'!D19/1000000</f>
        <v>5.04</v>
      </c>
      <c r="P5" s="40" t="n">
        <v>2023</v>
      </c>
      <c r="Q5" s="41" t="n">
        <f aca="false">'TVS Motor'!P19/1000000</f>
        <v>5.19</v>
      </c>
      <c r="S5" s="40" t="n">
        <v>2018</v>
      </c>
      <c r="T5" s="41" t="n">
        <f aca="false">'Royal Enfield'!K19/1000000</f>
        <v>0.825</v>
      </c>
      <c r="V5" s="40" t="n">
        <v>2015</v>
      </c>
      <c r="W5" s="41" t="n">
        <f aca="false">'Hero MotoCorp'!H19/1000000</f>
        <v>7.65</v>
      </c>
      <c r="Y5" s="40" t="n">
        <v>2022</v>
      </c>
      <c r="Z5" s="41" t="n">
        <f aca="false">'Ola Electric'!O19/1000000</f>
        <v>0.5</v>
      </c>
      <c r="AB5" s="40" t="n">
        <v>2022</v>
      </c>
      <c r="AC5" s="41" t="n">
        <f aca="false">'Ather Energy'!O19/1000000</f>
        <v>0.12</v>
      </c>
      <c r="AF5" s="40" t="s">
        <v>90</v>
      </c>
      <c r="AG5" s="42" t="n">
        <f aca="false">Summary!L29</f>
        <v>0.975</v>
      </c>
    </row>
    <row r="6" customFormat="false" ht="15" hidden="false" customHeight="false" outlineLevel="0" collapsed="false">
      <c r="A6" s="40" t="n">
        <v>2011</v>
      </c>
      <c r="B6" s="41" t="n">
        <f aca="false">'Maruti Suzuki'!D19/1000000</f>
        <v>1.2</v>
      </c>
      <c r="D6" s="40" t="n">
        <v>2016</v>
      </c>
      <c r="E6" s="41" t="n">
        <f aca="false">'Hyundai India'!I19/1000000</f>
        <v>0.68</v>
      </c>
      <c r="G6" s="40" t="n">
        <v>2022</v>
      </c>
      <c r="H6" s="41" t="n">
        <f aca="false">'M&amp;M'!O19/1000000</f>
        <v>0.348</v>
      </c>
      <c r="J6" s="40" t="n">
        <v>2026</v>
      </c>
      <c r="K6" s="41" t="n">
        <f aca="false">'Tata PV'!S19/1000000</f>
        <v>0.9</v>
      </c>
      <c r="M6" s="40" t="n">
        <v>2012</v>
      </c>
      <c r="N6" s="41" t="n">
        <f aca="false">'Bajaj Auto'!E19/1000000</f>
        <v>5.04</v>
      </c>
      <c r="P6" s="40" t="n">
        <v>2026</v>
      </c>
      <c r="Q6" s="41" t="n">
        <f aca="false">'TVS Motor'!S19/1000000</f>
        <v>6.8</v>
      </c>
      <c r="S6" s="40" t="n">
        <v>2019</v>
      </c>
      <c r="T6" s="41" t="n">
        <f aca="false">'Royal Enfield'!L19/1000000</f>
        <v>0.95</v>
      </c>
      <c r="V6" s="40" t="n">
        <v>2020</v>
      </c>
      <c r="W6" s="41" t="n">
        <f aca="false">'Hero MotoCorp'!M19/1000000</f>
        <v>9.1</v>
      </c>
      <c r="Y6" s="40" t="n">
        <v>2024</v>
      </c>
      <c r="Z6" s="41" t="n">
        <f aca="false">'Ola Electric'!Q19/1000000</f>
        <v>1</v>
      </c>
      <c r="AB6" s="40" t="n">
        <v>2023</v>
      </c>
      <c r="AC6" s="41" t="n">
        <f aca="false">'Ather Energy'!P19/1000000</f>
        <v>0.42</v>
      </c>
      <c r="AF6" s="40" t="s">
        <v>92</v>
      </c>
      <c r="AG6" s="42" t="n">
        <f aca="false">Summary!L30</f>
        <v>0.773923541247485</v>
      </c>
    </row>
    <row r="7" customFormat="false" ht="15" hidden="false" customHeight="false" outlineLevel="0" collapsed="false">
      <c r="A7" s="40" t="n">
        <v>2015</v>
      </c>
      <c r="B7" s="41" t="n">
        <f aca="false">'Maruti Suzuki'!H19/1000000</f>
        <v>1.5</v>
      </c>
      <c r="D7" s="40" t="n">
        <v>2018</v>
      </c>
      <c r="E7" s="41" t="n">
        <f aca="false">'Hyundai India'!K19/1000000</f>
        <v>0.7</v>
      </c>
      <c r="G7" s="40" t="n">
        <v>2023</v>
      </c>
      <c r="H7" s="41" t="n">
        <f aca="false">'M&amp;M'!P19/1000000</f>
        <v>0.468</v>
      </c>
      <c r="M7" s="40" t="n">
        <v>2015</v>
      </c>
      <c r="N7" s="41" t="n">
        <f aca="false">'Bajaj Auto'!H19/1000000</f>
        <v>6.06</v>
      </c>
      <c r="S7" s="40" t="n">
        <v>2026</v>
      </c>
      <c r="T7" s="41" t="n">
        <f aca="false">'Royal Enfield'!S19/1000000</f>
        <v>1.46</v>
      </c>
      <c r="AB7" s="40" t="n">
        <v>2024</v>
      </c>
      <c r="AC7" s="41" t="n">
        <f aca="false">'Ather Energy'!Q19/1000000</f>
        <v>0.42</v>
      </c>
      <c r="AF7" s="40" t="s">
        <v>93</v>
      </c>
      <c r="AG7" s="42" t="n">
        <f aca="false">Summary!L31</f>
        <v>0.853069767441861</v>
      </c>
    </row>
    <row r="8" customFormat="false" ht="15" hidden="false" customHeight="false" outlineLevel="0" collapsed="false">
      <c r="A8" s="40" t="n">
        <v>2016</v>
      </c>
      <c r="B8" s="41" t="n">
        <f aca="false">'Maruti Suzuki'!I19/1000000</f>
        <v>1.5</v>
      </c>
      <c r="D8" s="40" t="n">
        <v>2019</v>
      </c>
      <c r="E8" s="41" t="n">
        <f aca="false">'Hyundai India'!L19/1000000</f>
        <v>0.75</v>
      </c>
      <c r="G8" s="40" t="n">
        <v>2024</v>
      </c>
      <c r="H8" s="41" t="n">
        <f aca="false">'M&amp;M'!Q19/1000000</f>
        <v>0.588</v>
      </c>
      <c r="M8" s="40" t="n">
        <v>2021</v>
      </c>
      <c r="N8" s="41" t="n">
        <f aca="false">'Bajaj Auto'!N19/1000000</f>
        <v>6.33</v>
      </c>
      <c r="AB8" s="40" t="n">
        <v>2025</v>
      </c>
      <c r="AC8" s="41" t="n">
        <f aca="false">'Ather Energy'!R19/1000000</f>
        <v>0.42</v>
      </c>
      <c r="AF8" s="40" t="s">
        <v>94</v>
      </c>
      <c r="AG8" s="42" t="n">
        <f aca="false">Summary!L32</f>
        <v>0.713333333333333</v>
      </c>
    </row>
    <row r="9" customFormat="false" ht="15" hidden="false" customHeight="false" outlineLevel="0" collapsed="false">
      <c r="A9" s="40" t="n">
        <v>2017</v>
      </c>
      <c r="B9" s="41" t="n">
        <f aca="false">'Maruti Suzuki'!J19/1000000</f>
        <v>1.75</v>
      </c>
      <c r="D9" s="40" t="n">
        <v>2020</v>
      </c>
      <c r="E9" s="41" t="n">
        <f aca="false">'Hyundai India'!M19/1000000</f>
        <v>0.75</v>
      </c>
      <c r="G9" s="40" t="n">
        <v>2025</v>
      </c>
      <c r="H9" s="41" t="n">
        <f aca="false">'M&amp;M'!R19/1000000</f>
        <v>0.708</v>
      </c>
      <c r="M9" s="40" t="n">
        <v>2024</v>
      </c>
      <c r="N9" s="41" t="n">
        <f aca="false">'Bajaj Auto'!Q19/1000000</f>
        <v>7.1</v>
      </c>
      <c r="AB9" s="40" t="n">
        <v>2026</v>
      </c>
      <c r="AC9" s="41" t="n">
        <f aca="false">'Ather Energy'!S19/1000000</f>
        <v>0.42</v>
      </c>
      <c r="AF9" s="40" t="s">
        <v>98</v>
      </c>
      <c r="AG9" s="42" t="n">
        <f aca="false">Summary!L35</f>
        <v>0.710787083333333</v>
      </c>
    </row>
    <row r="10" customFormat="false" ht="15" hidden="false" customHeight="false" outlineLevel="0" collapsed="false">
      <c r="A10" s="40" t="n">
        <v>2018</v>
      </c>
      <c r="B10" s="41" t="n">
        <f aca="false">'Maruti Suzuki'!K19/1000000</f>
        <v>1.75</v>
      </c>
      <c r="D10" s="40" t="n">
        <v>2021</v>
      </c>
      <c r="E10" s="41" t="n">
        <f aca="false">'Hyundai India'!N19/1000000</f>
        <v>0.75</v>
      </c>
      <c r="G10" s="40" t="n">
        <v>2026</v>
      </c>
      <c r="H10" s="41" t="n">
        <f aca="false">'M&amp;M'!S19/1000000</f>
        <v>0.774</v>
      </c>
      <c r="M10" s="40" t="n">
        <v>2026</v>
      </c>
      <c r="N10" s="41" t="n">
        <f aca="false">'Bajaj Auto'!S19/1000000</f>
        <v>7.2</v>
      </c>
      <c r="AF10" s="40" t="s">
        <v>100</v>
      </c>
      <c r="AG10" s="42" t="n">
        <f aca="false">Summary!L36</f>
        <v>0.866029411764706</v>
      </c>
    </row>
    <row r="11" customFormat="false" ht="15" hidden="false" customHeight="false" outlineLevel="0" collapsed="false">
      <c r="A11" s="40" t="n">
        <v>2019</v>
      </c>
      <c r="B11" s="41" t="n">
        <f aca="false">'Maruti Suzuki'!L19/1000000</f>
        <v>2</v>
      </c>
      <c r="D11" s="40" t="n">
        <v>2022</v>
      </c>
      <c r="E11" s="41" t="n">
        <f aca="false">'Hyundai India'!O19/1000000</f>
        <v>0.758</v>
      </c>
      <c r="AF11" s="40" t="s">
        <v>101</v>
      </c>
      <c r="AG11" s="42" t="n">
        <f aca="false">Summary!L37</f>
        <v>0.848396575342466</v>
      </c>
    </row>
    <row r="12" customFormat="false" ht="15" hidden="false" customHeight="false" outlineLevel="0" collapsed="false">
      <c r="A12" s="40" t="n">
        <v>2020</v>
      </c>
      <c r="B12" s="41" t="n">
        <f aca="false">'Maruti Suzuki'!M19/1000000</f>
        <v>2</v>
      </c>
      <c r="D12" s="40" t="n">
        <v>2023</v>
      </c>
      <c r="E12" s="41" t="n">
        <f aca="false">'Hyundai India'!P19/1000000</f>
        <v>0.77</v>
      </c>
      <c r="AF12" s="40" t="s">
        <v>104</v>
      </c>
      <c r="AG12" s="42" t="n">
        <f aca="false">Summary!L39</f>
        <v>0.164295</v>
      </c>
    </row>
    <row r="13" customFormat="false" ht="15" hidden="false" customHeight="false" outlineLevel="0" collapsed="false">
      <c r="A13" s="40" t="n">
        <v>2021</v>
      </c>
      <c r="B13" s="41" t="n">
        <f aca="false">'Maruti Suzuki'!N19/1000000</f>
        <v>2</v>
      </c>
      <c r="D13" s="40" t="n">
        <v>2024</v>
      </c>
      <c r="E13" s="41" t="n">
        <f aca="false">'Hyundai India'!Q19/1000000</f>
        <v>0.824</v>
      </c>
      <c r="AF13" s="40" t="s">
        <v>106</v>
      </c>
      <c r="AG13" s="42" t="n">
        <f aca="false">Summary!L40</f>
        <v>0.569471428571429</v>
      </c>
    </row>
    <row r="14" customFormat="false" ht="15" hidden="false" customHeight="false" outlineLevel="0" collapsed="false">
      <c r="A14" s="40" t="n">
        <v>2022</v>
      </c>
      <c r="B14" s="41" t="n">
        <f aca="false">'Maruti Suzuki'!O19/1000000</f>
        <v>2.25</v>
      </c>
      <c r="D14" s="40" t="n">
        <v>2025</v>
      </c>
      <c r="E14" s="41" t="n">
        <f aca="false">'Hyundai India'!R19/1000000</f>
        <v>0.824</v>
      </c>
    </row>
    <row r="15" customFormat="false" ht="15" hidden="false" customHeight="false" outlineLevel="0" collapsed="false">
      <c r="A15" s="40" t="n">
        <v>2023</v>
      </c>
      <c r="B15" s="41" t="n">
        <f aca="false">'Maruti Suzuki'!P19/1000000</f>
        <v>2.25</v>
      </c>
      <c r="D15" s="40" t="n">
        <v>2026</v>
      </c>
      <c r="E15" s="41" t="n">
        <f aca="false">'Hyundai India'!S19/1000000</f>
        <v>0.994</v>
      </c>
    </row>
    <row r="16" customFormat="false" ht="15" hidden="false" customHeight="false" outlineLevel="0" collapsed="false">
      <c r="A16" s="40" t="n">
        <v>2024</v>
      </c>
      <c r="B16" s="41" t="n">
        <f aca="false">'Maruti Suzuki'!Q19/1000000</f>
        <v>2.25</v>
      </c>
    </row>
    <row r="17" customFormat="false" ht="15" hidden="false" customHeight="false" outlineLevel="0" collapsed="false">
      <c r="A17" s="40" t="n">
        <v>2025</v>
      </c>
      <c r="B17" s="41" t="n">
        <f aca="false">'Maruti Suzuki'!R19/1000000</f>
        <v>2.6</v>
      </c>
    </row>
    <row r="18" customFormat="false" ht="15" hidden="false" customHeight="false" outlineLevel="0" collapsed="false">
      <c r="A18" s="40" t="n">
        <v>2026</v>
      </c>
      <c r="B18" s="41" t="n">
        <f aca="false">'Maruti Suzuki'!S19/1000000</f>
        <v>2.4</v>
      </c>
    </row>
  </sheetData>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2026-10-14T10:33:22Z</dcterms:created>
  <dc:creator>openpyxl</dc:creator>
  <dc:description/>
  <dc:language>en-US</dc:language>
  <cp:lastModifiedBy/>
  <dcterms:modified xsi:type="dcterms:W3CDTF">2026-10-14T16:03:26Z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